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4cc0aff217d314b/Desktop/DEPI/"/>
    </mc:Choice>
  </mc:AlternateContent>
  <xr:revisionPtr revIDLastSave="0" documentId="8_{62B7B4FD-A3EC-41C7-A4AC-AC326BFEA5A8}" xr6:coauthVersionLast="47" xr6:coauthVersionMax="47" xr10:uidLastSave="{00000000-0000-0000-0000-000000000000}"/>
  <bookViews>
    <workbookView xWindow="-108" yWindow="-108" windowWidth="23256" windowHeight="13176" xr2:uid="{AD2D20D5-C227-4875-84D1-6B8E90254F38}"/>
  </bookViews>
  <sheets>
    <sheet name="Bug_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8" i="1" l="1"/>
  <c r="B137" i="1"/>
  <c r="B136" i="1"/>
  <c r="B135" i="1"/>
  <c r="B139" i="1" s="1"/>
  <c r="C132" i="1"/>
  <c r="B132" i="1"/>
  <c r="C131" i="1"/>
  <c r="B131" i="1"/>
  <c r="C130" i="1"/>
  <c r="B130" i="1"/>
  <c r="C129" i="1"/>
  <c r="B129" i="1"/>
</calcChain>
</file>

<file path=xl/sharedStrings.xml><?xml version="1.0" encoding="utf-8"?>
<sst xmlns="http://schemas.openxmlformats.org/spreadsheetml/2006/main" count="2113" uniqueCount="1002">
  <si>
    <t>Bug ID</t>
  </si>
  <si>
    <t>Module / Feature</t>
  </si>
  <si>
    <t>Title / Summary</t>
  </si>
  <si>
    <t>Reported By</t>
  </si>
  <si>
    <t>Detected In / Test Cycle</t>
  </si>
  <si>
    <t>Severity</t>
  </si>
  <si>
    <t>Environment</t>
  </si>
  <si>
    <t>TC_ID</t>
  </si>
  <si>
    <t>Req_ID/US_ID</t>
  </si>
  <si>
    <t>Description</t>
  </si>
  <si>
    <t>Steps to Reproduce</t>
  </si>
  <si>
    <t>Expected Result</t>
  </si>
  <si>
    <t>Actual Result</t>
  </si>
  <si>
    <t>Attachments / Evidence</t>
  </si>
  <si>
    <t>Status</t>
  </si>
  <si>
    <t>Assigned To</t>
  </si>
  <si>
    <t>Detected By</t>
  </si>
  <si>
    <t>Date Logged</t>
  </si>
  <si>
    <t>Comments / Root Cause</t>
  </si>
  <si>
    <t>Bug_001</t>
  </si>
  <si>
    <t>Login</t>
  </si>
  <si>
    <t>Warning message not displayed after 10 minutes of inactivity</t>
  </si>
  <si>
    <t>AY</t>
  </si>
  <si>
    <t>Medium</t>
  </si>
  <si>
    <t>Edge Browser - Windows 10 / 11 - Android 14</t>
  </si>
  <si>
    <t>TC_LOGIN_002</t>
  </si>
  <si>
    <t>The system fails to detect user inactivity and does not trigger the mandatory warning message after the 10-minute idle threshold.</t>
  </si>
  <si>
    <t>1. Login with valid email and password
2. Do not perform any action (no clicks / typing / scrolling)
3. Wait for 10 minutes</t>
  </si>
  <si>
    <t>System displays warning message like 
"You have been inactive for a while"</t>
  </si>
  <si>
    <t>No warning message displayed after 10 minutes</t>
  </si>
  <si>
    <t>Open</t>
  </si>
  <si>
    <t>Afram</t>
  </si>
  <si>
    <t>Bug_002</t>
  </si>
  <si>
    <t>Verify user is automatically logged out after inactivity warning</t>
  </si>
  <si>
    <t>Critical</t>
  </si>
  <si>
    <t>TC_LOGIN_003</t>
  </si>
  <si>
    <t>The system fails to automatically log out the user and redirect them to the login page when no action is taken after the inactivity warning is displayed</t>
  </si>
  <si>
    <t>1. Wait for warning message
2. Do not click anything
3. Wait additional 1–2 minutes</t>
  </si>
  <si>
    <t>User is automatically logged out and redirected to login page</t>
  </si>
  <si>
    <t>User remains logged in</t>
  </si>
  <si>
    <t>Bug_003</t>
  </si>
  <si>
    <t>CSRF token validation failed during idle login</t>
  </si>
  <si>
    <t>Omar</t>
  </si>
  <si>
    <t>High</t>
  </si>
  <si>
    <t>TC_LOGIN_004</t>
  </si>
  <si>
    <t>Login fails with CSRF token error after page sits idle, blocking user from authenticating.</t>
  </si>
  <si>
    <t>1. Open login page
2. Wait 5-10 minutes
3. Enter valid credentials
4. Click Login</t>
  </si>
  <si>
    <t>Login succeeds or user-friendly message shown</t>
  </si>
  <si>
    <t>System shows "CSRF token validation failed"</t>
  </si>
  <si>
    <t>https://drive.google.com/open?id=1iaIQ9FdLIvMj0pNKl406TaBExVOTQW0M&amp;usp=drive_copy</t>
  </si>
  <si>
    <t>Root cause: CSRF token has short TTL. Application does not auto-refresh token or handle token expiry gracefully. Fix: Implement silent token refresh on form submit or display a user-friendly 'session expired' message with a 'Refresh' button.</t>
  </si>
  <si>
    <t>Bug_004</t>
  </si>
  <si>
    <t>Account lockout not triggered after 5 failed login attempts</t>
  </si>
  <si>
    <t>TC_LOGIN_006</t>
  </si>
  <si>
    <t>The system fails to enforce security protocols by not locking the account after the maximum allowed failed login attempts.</t>
  </si>
  <si>
    <t>1. Enter a valid registered username (e.g., "Admin").
2. Enter an incorrect password (e.g., "wrong123").
3. Repeat the login attempt 5 times.
4. Attempt to log in again.</t>
  </si>
  <si>
    <t>Account locked for 20 minutes + proper message</t>
  </si>
  <si>
    <t>Account not locked</t>
  </si>
  <si>
    <t>Bug_005</t>
  </si>
  <si>
    <t>Dashboard remains accessible via browser back button after logout</t>
  </si>
  <si>
    <t>TC_LOGIN_009</t>
  </si>
  <si>
    <t>After logging out, the system fails to prevent the user from navigating back to the dashboard using the browser's back button.</t>
  </si>
  <si>
    <t>1. Ensure the user is not logged in.
2. Navigate directly to the dashboard URL.</t>
  </si>
  <si>
    <t>User is redirected to login page</t>
  </si>
  <si>
    <t>User accessed the page</t>
  </si>
  <si>
    <t>######</t>
  </si>
  <si>
    <t>Bug_006</t>
  </si>
  <si>
    <t>Dashboard remains accessible via Browser Back and Refresh after logout</t>
  </si>
  <si>
    <t>TC_LOGIN_010</t>
  </si>
  <si>
    <t>The application fails to properly invalidate the session or clear cache, allowing a user to bypass authentication by navigating back from the dashboard to login page and refreshing the page after logging out.</t>
  </si>
  <si>
    <t>1. Enter valid username and password
2. Click "Login"
3. Verify user is redirected to Dashboard
4. Click browser Back button without "Logout"
5. Click browser Refresh (F5)</t>
  </si>
  <si>
    <t>Session is terminated
 and dashboard is inaccessible</t>
  </si>
  <si>
    <t>User is able to access
 dashboard after Back and Refresh without logging in</t>
  </si>
  <si>
    <t>https://drive.google.com/open?id=1R8wzKEIy2DvoaLllUSkf32SqBYssERaM&amp;usp=drive_copy</t>
  </si>
  <si>
    <t>Bug_007</t>
  </si>
  <si>
    <t>Password field accepts paste actions contrary to security requirements</t>
  </si>
  <si>
    <t>Low</t>
  </si>
  <si>
    <t>TC_LOGIN_012</t>
  </si>
  <si>
    <t>The password field accepts programmatic clipboard paste actions, failing to restrict pasting sensitive credential data as expected.</t>
  </si>
  <si>
    <t>1. Navigate to the login page.
2. Copy the correct password ("admin123").
3. Paste the password into the password field.
4. Enter the username ("Admin").
5. Click "Login".</t>
  </si>
  <si>
    <t>The password field should not accept the paste action</t>
  </si>
  <si>
    <t>The clipboard paste restriction is missing or not properly enforced on the password input element.</t>
  </si>
  <si>
    <t>Bug_008</t>
  </si>
  <si>
    <t>Username field is not case-sensitive</t>
  </si>
  <si>
    <t>TC_LOGIN_017</t>
  </si>
  <si>
    <t>The system fails to enforce case-sensitivity for usernames during the login process. It allows successful authentication even when the letter casing does not match the registered account details.</t>
  </si>
  <si>
    <t>1. Navigate to the login page.
2. Enter a valid username in lowercase (e.g., "admin") where the actual registered username is capitalized (e.g., "Admin").
3. Enter the correct password ("admin123").
4. Click the "Login" button.</t>
  </si>
  <si>
    <t>Login should fail and access should be denied based on a case-sensitive authentication requirement.</t>
  </si>
  <si>
    <t>User logged in successfully</t>
  </si>
  <si>
    <t>Bug_009</t>
  </si>
  <si>
    <t>Login button allows multiple rapid clicks during authentication</t>
  </si>
  <si>
    <t>TC_LOGIN_026</t>
  </si>
  <si>
    <t>Login button is not disabled during authentication processing, allowing multiple rapid clicks which could trigger duplicate requests.</t>
  </si>
  <si>
    <t>1. Open login page
2. Enter valid credentials
3. Rapidly click Login button multiple times</t>
  </si>
  <si>
    <t>Button disabled after first click, single request processed</t>
  </si>
  <si>
    <t>Multiple login requests sent</t>
  </si>
  <si>
    <t> </t>
  </si>
  <si>
    <t>Root cause: Missing client-side submission state handling, allowing rapid successive POST requests to the authentication endpoint.
Fix: Disable the login button and display a loading indicator immediately upon the first click, re-enabling it only if the authentication request fails.</t>
  </si>
  <si>
    <t>Bug_010</t>
  </si>
  <si>
    <t>Spaces in username cause CSRF token error instead of proper validation</t>
  </si>
  <si>
    <t>Entering username with leading/trailing spaces triggers a CSRF token validation error instead of trimming or showing a proper validation message.</t>
  </si>
  <si>
    <t>1. Open login page
2. Enter " Admin " (with spaces)
3. Enter valid password
4. Click Login</t>
  </si>
  <si>
    <t>System trims spaces and processes login normally</t>
  </si>
  <si>
    <t>CSRF token validation failed error</t>
  </si>
  <si>
    <t>Root cause: CSRF token validation relies on a strict payload hash that breaks when unexpected whitespace alters the request body before the validation middleware runs.
Fix: Apply input sanitization middleware to strip leading and trailing whitespace from the payload before CSRF hashing and validation occur.</t>
  </si>
  <si>
    <t>Bug_011</t>
  </si>
  <si>
    <t>Login button is not disabled during processing - allows multiple clicks and duplicate login requests</t>
  </si>
  <si>
    <t>متكررة هي هي 8</t>
  </si>
  <si>
    <t>When a user enters valid credentials and rapidly clicks the Login button twice, the button does not become disabled during the authentication processing. This allows multiple login requests to be sent to the server simultaneously, potentially creating multiple sessions instead of a single session. The login button should be disabled immediately after the first click to prevent duplicate submissions.</t>
  </si>
  <si>
    <t>1. Navigate to https://opensource-demo.orangehrmlive.com/
2. Enter valid credentials in the Username and Password fields.
3. Click the "Login" button rapidly twice in quick succession.
4. Observe the button state and the number of requests sent.</t>
  </si>
  <si>
    <t>Only one login request should be processed. The Login button should be disabled/show a loading state after the first click, preventing duplicate submissions. A single session should be created.</t>
  </si>
  <si>
    <t>The Login button allows multiple clicks. Multiple login requests are sent to the server. No loading state or disabled state is applied to the button during authentication processing.</t>
  </si>
  <si>
    <t>Bug_012</t>
  </si>
  <si>
    <t>Double-click login bypass with invalid password - clicking Login twice with wrong password grants unauthorized dashboard access</t>
  </si>
  <si>
    <t>TC_LOGIN_030</t>
  </si>
  <si>
    <t>When a user enters a valid username and an incorrect password, clicking the Login button twice in quick succession bypasses authentication and grants access to the dashboard. This is a critical authentication bypass vulnerability that allows unauthorized access to the system with only knowledge of a valid username. The server appears to process the second request before fully validating the first, resulting in a race condition that circumvents password verification.</t>
  </si>
  <si>
    <t>1. Navigate to https://opensource-demo.orangehrmlive.com/
2. Enter a valid username in the Username field.
3. Enter an incorrect password in the Password field.
4. Rapidly click the "Login" button two times in quick succession.
5. Observe the application behavior and the page navigated to.</t>
  </si>
  <si>
    <t>The system should display an "Invalid credentials" error message and remain on the login page. The user should NOT be authenticated or redirected to the Dashboard. No session or authentication token should be created.</t>
  </si>
  <si>
    <t>The system authenticates the user and redirects to the Dashboard page despite the incorrect password being entered. Login is successful after the second click. A valid session is created, granting full access to the application.</t>
  </si>
  <si>
    <t>Root cause: Time-of-Check to Time-of-Use (TOCTOU) race condition in the backend authentication controller where overlapping requests exploit uninitialized session states.
Fix: Implement strict backend thread-safety for session creation, enforce rate-limiting on the login endpoint, and ensure atomic transaction handling for all authentication checks.</t>
  </si>
  <si>
    <t>مش بيدخل معايا عادي فهل دي bug؟</t>
  </si>
  <si>
    <t>Bug_013</t>
  </si>
  <si>
    <t>Login credentials persist in Username and Password fields after user logs out of the application</t>
  </si>
  <si>
    <t>TC_LOGIN_031</t>
  </si>
  <si>
    <t>After a user logs out of the application, the login page fields (Username and Password) still retain the previously entered credentials instead of being cleared. This is a security vulnerability as it exposes user credentials to the next person who uses the same browser session, particularly on shared or public workstations.</t>
  </si>
  <si>
    <t>1. Navigate to https://opensource-demo.orangehrmlive.com/
2. Login to the application using valid credentials (Username and Password).
3. Verify successful login (Dashboard is displayed).
4. Click on the user profile dropdown in the top-right corner.
5. Click the "Logout" option.
6. Observe the login page after being redirected.
7. Check the Username and Password fields for any pre-filled values.</t>
  </si>
  <si>
    <t>After logout, the login page should be displayed with both the Username and Password fields completely empty/cleared. No previously entered credentials should be visible or pre-filled in any field.</t>
  </si>
  <si>
    <t>After logout, the login page is displayed but the Username and Password fields still contain the previously entered credentials (Admin / admin123). The fields are not cleared upon logout. The credentials are fully visible and usable by anyone who accesses the browser.</t>
  </si>
  <si>
    <t>Root cause: The logout handler successfully destroys the server-side session but relies on a soft client-side redirect without clearing the DOM state or browser cache.
Fix: Clear local component state upon logout, force a hard redirect or page reload, and add autocomplete="off" to sensitive form fields.</t>
  </si>
  <si>
    <t>دي حاجة من الـ browser اما لو جربتها في icoginato هتلاقي مفيش حاجة مكتوبة</t>
  </si>
  <si>
    <t>Bug_025</t>
  </si>
  <si>
    <t>Login – Security</t>
  </si>
  <si>
    <t>Password field missing 'autocomplete' attribute — browser may autofill or save password without restriction</t>
  </si>
  <si>
    <t>TC_LOGIN_043</t>
  </si>
  <si>
    <t>The password input field on the Login page does not have an 'autocomplete' attribute set. Without autocomplete='off' or autocomplete='current-password', browsers may offer to save the password and autofill it on subsequent visits. On shared or public workstations, browser-saved credentials could expose a user's password to anyone who uses the same browser profile.</t>
  </si>
  <si>
    <t>1. Navigate to the Login page.
2. Right-click on the Password field.
3. Select 'Inspect Element' (or 'Inspect').
4. Examine the &lt;input&gt;
element in the HTML inspector.
5. Look for the 'autocomplete' attribute.</t>
  </si>
  <si>
    <t>Password field has attribute: autocomplete='off' OR autocomplete='current-password'. Browser does not offer to save or autofill the password automatically.</t>
  </si>
  <si>
    <t>Password field has NO autocomplete attribute (value = None / attribute absent). Browser may offer to save and autofill the password. On shared devices, saved passwords could be accessible to subsequent users.</t>
  </si>
  <si>
    <t>Root cause: 501 error indicates a server-side handler is not implemented or not configured for the Admin account's reset flow. This may be specific to the Admin account type which may require a different reset mechanism. Verify whether Admin accounts should use the standard reset flow or a separate process.</t>
  </si>
  <si>
    <t>Bug_014</t>
  </si>
  <si>
    <t>System fails to trim leading spaces in username input field</t>
  </si>
  <si>
    <t>TC_LOGIN_047</t>
  </si>
  <si>
    <t>When a user enters a username with leading spaces (e.g., ' Admin'), the system does not trim the whitespace before authentication. This causes the login to fail even though the core username value is valid. The system should automatically strip leading whitespace from the username field before processing the login request.</t>
  </si>
  <si>
    <t>1. Navigate to the OrangeHRM login page.
2. Enter username with leading spaces: ' Admin' (space before Admin).
3. Enter valid password: 'admin123'.
4. Click the 'Login' button.</t>
  </si>
  <si>
    <t>Leading spaces are trimmed from the username, and the user is logged in successfully.</t>
  </si>
  <si>
    <t>Login failed. The system did not trim the leading spaces and treated ' Admin' as an invalid username.</t>
  </si>
  <si>
    <t>Root cause: Both the front-end form submission and back-end authentication controllers lack basic input sanitization, passing raw strings with whitespace directly into the validation logic.
Fix: Implement .trim() on the front-end inputs before submission, and enforce identical trimming middleware on the back-end before querying the database.</t>
  </si>
  <si>
    <t>Bug_015</t>
  </si>
  <si>
    <t>System fails to trim leading spaces in password input field</t>
  </si>
  <si>
    <t>TC_LOGIN_049</t>
  </si>
  <si>
    <t>When a user enters a password with leading spaces (e.g., '  admin123'), the system does not trim the whitespace before authentication. This causes the login to fail even though the core password value is correct. The system should automatically strip leading whitespace from the password field before processing the login request.</t>
  </si>
  <si>
    <t>1. Navigate to the OrangeHRM login page.
2. Enter valid username: 'Admin'.
3. Enter password with leading spaces: '  admin123' (spaces before admin123).
4. Click the 'Login' button.</t>
  </si>
  <si>
    <t>Leading spaces are trimmed from the password, and the user is logged in successfully.</t>
  </si>
  <si>
    <t>Login failed. The system did not trim the leading spaces and treated '  admin123' as an invalid password.</t>
  </si>
  <si>
    <t>Bug_016</t>
  </si>
  <si>
    <t>System fails to trim trailing spaces in password input field</t>
  </si>
  <si>
    <t>TC_LOGIN_050</t>
  </si>
  <si>
    <t>When a user enters a password with trailing spaces (e.g., 'admin123   '), the system does not trim the whitespace before authentication. This causes the login to fail even though the core password value is correct. The system should automatically strip trailing whitespace from the password field before processing the login request.</t>
  </si>
  <si>
    <t>1. Navigate to the OrangeHRM login page.
2. Enter valid username: 'Admin'.
3. Enter password with trailing spaces: 'admin123   ' (spaces after admin123).
4. Click the 'Login' button.</t>
  </si>
  <si>
    <t>Trailing spaces are trimmed from the password, and the user is logged in successfully.</t>
  </si>
  <si>
    <t>Login failed. The system did not trim the trailing spaces and treated 'admin123   ' as an invalid password.</t>
  </si>
  <si>
    <t>Bug_017</t>
  </si>
  <si>
    <t>Forgot Password – Server Error</t>
  </si>
  <si>
    <t>Password reset request for 'Admin' returns 501 Not Implemented server error — reset workflow blocked</t>
  </si>
  <si>
    <t>TC_LOGIN_055</t>
  </si>
  <si>
    <t>When the 'Admin' username is submitted on the Forgot Password page, the server returns an HTTP 501 Not Implemented error instead of processing the request and displaying the confirmation page. The reset workflow is completely broken for the Admin account. The page hangs for several seconds before displaying the 501 error, and no confirmation or reset link is generated.</t>
  </si>
  <si>
    <t>1. Navigate to the Forgot Password page.
2. Enter username: Admin.
3. Click 'Reset Password'.
4. Wait for the system response.
5. Observe the page displayed after submission.</t>
  </si>
  <si>
    <t>System processes the reset request and redirects to confirmation page displaying: 'Reset password link sent successfully. If the email does not arrive, please contact your OrangeHRM Administrator.'</t>
  </si>
  <si>
    <t>System loads for 5–8 seconds, then displays a 501 Not Implemented HTTP error page. No confirmation message is shown. No reset link is generated. The Admin password reset is completely non-functional.</t>
  </si>
  <si>
    <t>Bug_018</t>
  </si>
  <si>
    <t>Forgot Password – Email Delivery</t>
  </si>
  <si>
    <t>Password reset email is not delivered — system shows 'contact administrator' message instead of email</t>
  </si>
  <si>
    <t>TC_LOGIN_059</t>
  </si>
  <si>
    <t>After submitting a valid password reset request on the Forgot Password page, the system displays: 'If the email does not arrive, please contact your OrangeHRM Administrator.' No reset email is received in the user's inbox (including spam/junk). The password recovery feature is non-functional — users who forget their password cannot reset it through the self-service flow.</t>
  </si>
  <si>
    <t>1. Navigate to the Forgot Password page.
2. Enter a valid registered username (e.g., afram).
3. Click 'Reset Password'.
4. Note the confirmation message displayed.
5. Check the email inbox associated with the user account.
6. Check spam/junk folder.
7. Wait 5 minutes and check again.</t>
  </si>
  <si>
    <t>Reset email is delivered to the user's email address within 2–5 minutes. Email contains a secure, time-limited password reset link. User can click the link to set a new password.</t>
  </si>
  <si>
    <t>No reset email is received in any folder (inbox, spam, junk). System only shows: 'If the email does not arrive, please contact your OrangeHRM Administrator.' The reset link is never generated or delivered.</t>
  </si>
  <si>
    <t>Bug_019</t>
  </si>
  <si>
    <t>Forgot Password – UI Behavior</t>
  </si>
  <si>
    <t>Reset Password' button remains active during processing — allows multiple submissions of the same reset request</t>
  </si>
  <si>
    <t>TC_LOGIN_060</t>
  </si>
  <si>
    <t>After clicking the 'Reset Password' button on the Forgot Password page, the button remains fully clickable during the server processing period. Users can click the button multiple times in rapid succession, potentially sending multiple duplicate reset requests to the server. No loading state, disabled state, or visual feedback is shown to indicate the request is being processed.</t>
  </si>
  <si>
    <t>1. Navigate to the Forgot Password page.
2. Enter username: afram.
3. Click 'Reset Password' button.
4. Immediately click 'Reset Password' again (within ~500ms).
5. Observe button state during processing.
6. Check server for duplicate reset requests.</t>
  </si>
  <si>
    <t>Reset Password' button is disabled immediately after first click. Loading state (spinner) is shown. Only one reset request is sent to the server.</t>
  </si>
  <si>
    <t>Reset Password button remains enabled and clickable throughout processing. Multiple clicks send duplicate reset requests. No loading state is displayed.</t>
  </si>
  <si>
    <t>Bug_020</t>
  </si>
  <si>
    <t>Forgot Password – Anti-Harvesting</t>
  </si>
  <si>
    <t>System shows same success message for non-existing username — timing difference may enable username enumeration</t>
  </si>
  <si>
    <t>TC_LOGIN_064</t>
  </si>
  <si>
    <t>When a non-existing username is submitted for password reset, the system returns the same 'Reset password link sent successfully' confirmation message as for a valid username. While this is the CORRECT anti-harvesting behavior per AC Scenario 2, the response TIME may differ between valid and invalid usernames, enabling a timing-based username enumeration attack. Additionally, the test case expected result was incorrectly defined as 'System should not process reset request', conflicting with the anti-harvesting AC.</t>
  </si>
  <si>
    <t>1. Navigate to the Forgot Password page.
2. Enter a non-existing username: NonExistentUser99.
3. Click 'Reset Password'.
4. Time the response using browser DevTools (Network tab).
5. Compare response time with a valid username (e.g., afram).
6. Note any differences in HTTP response time.</t>
  </si>
  <si>
    <t>System should display validation / error feedback for invalid username request</t>
  </si>
  <si>
    <t>Same success message shown for invalid username (correct anti-harvesting behavior). Response time for invalid username may be shorter than for valid username. This timing difference could theoretically enable username enumeration attacks.</t>
  </si>
  <si>
    <t>Bug_021</t>
  </si>
  <si>
    <t>Forgot Password – Input Validation</t>
  </si>
  <si>
    <t>Invalid username characters accepted on Forgot Password page — no format validation applied</t>
  </si>
  <si>
    <t>TC_LOGIN_062</t>
  </si>
  <si>
    <t>The Forgot Password page accepts usernames containing special characters, scripts, and malformed input without any validation error. Any string — regardless of format — is accepted and processed. The system shows the same success response for inputs like '&lt;script&gt;alert(1)&lt;/script&gt;', SQL payloads, and random special characters, without validating that the input conforms to a valid username format.</t>
  </si>
  <si>
    <t>1. Navigate to the Forgot Password page.
2. Enter invalid username with special chars: 'user@#$%^&amp;*()'.
3. Click 'Reset Password'.
4. Observe whether a validation error is shown.
5. Repeat with: '&lt;script&gt;alert(1)&lt;/script&gt;' and '1234!@#'.</t>
  </si>
  <si>
    <t>System validates username format and displays an error: 'Invalid username format. Please enter a valid username.' OR: System rejects obviously invalid formats with a validation message.</t>
  </si>
  <si>
    <t>System accepts all inputs including special characters and script tags. No validation error is displayed. System continues with the reset workflow and shows the standard confirmation response for all invalid inputs.</t>
  </si>
  <si>
    <t>Bug_022</t>
  </si>
  <si>
    <t>Forgot Password – Security</t>
  </si>
  <si>
    <t>Account harvesting protection is asymmetric — response behavior differs for valid vs. invalid usernames</t>
  </si>
  <si>
    <t>TC_LOGIN_063</t>
  </si>
  <si>
    <t>The Forgot Password page is intended to provide the same response for both valid and invalid usernames (anti-harvesting / account enumeration prevention). However, testing reveals asymmetric behavior: the response pattern, timing, or HTTP response characteristics differ between a valid and an invalid username request. This asymmetry can be exploited to enumerate valid username accounts.</t>
  </si>
  <si>
    <t>1. Navigate to the Forgot Password page.
2. Submit a VALID username (Admin or afram). Record: response time, HTTP status, message.
3. Navigate back to the Forgot Password page.
4. Submit an INVALID username (NonExistentUser999). Record the same metrics.
5. Compare both results for any observable differences.</t>
  </si>
  <si>
    <t>Identical response in all observable dimensions: same message text, same response time (within ±100ms), same HTTP status code, same page appearance. Zero information leakage about account validity.</t>
  </si>
  <si>
    <t>Response behavior is asymmetric between valid and invalid usernames. Differences detected in: response timing and/or processing behavior. An attacker can distinguish valid from invalid usernames by measuring response time differences.</t>
  </si>
  <si>
    <t>Bug_023</t>
  </si>
  <si>
    <t>No validation error displayed for invalid username on Forgot Password page — silent failure with success message</t>
  </si>
  <si>
    <t>هي هي 20</t>
  </si>
  <si>
    <t>When an invalid or non-existent username is entered on the Forgot Password page and submitted, no validation or error feedback is displayed to the user. The system immediately shows the success confirmation message without any indication that the username was not found or was invalid. Users receive no guidance to correct their input, leaving them uncertain whether the reset request was genuinely processed.</t>
  </si>
  <si>
    <t>1. Navigate to the Forgot Password page.
2. Enter username: InvalidUser123.
3. Click 'Reset Password'.
4. Observe whether any inline validation or field-level error appears.
5. Observe the final system response message.</t>
  </si>
  <si>
    <t>System displays an error or informational message for clearly invalid usernames, e.g.: 'No account found with this username. Please check and try again.' OR at minimum, inline validation for obviously malformed inputs.</t>
  </si>
  <si>
    <t>No validation error or inline field error is shown. System immediately displays the standard success message: 'Reset password link sent successfully.' User has no feedback that the username was invalid.</t>
  </si>
  <si>
    <t>متكررة هي هي 20</t>
  </si>
  <si>
    <t>Bug_024</t>
  </si>
  <si>
    <t>Forgot Password – Backend Behavior</t>
  </si>
  <si>
    <t>System may trigger backend email-generation workflow for non-existing usernames — unnecessary server processing</t>
  </si>
  <si>
    <t>When an unknown/non-existing username is submitted for password reset, the system appears to trigger the same backend processing workflow as for valid usernames (same response time, same confirmation UI). If the backend is executing email lookup, link generation, and email-send attempts for non-existing accounts, this wastes server resources and could be exploited via mass submissions (denial of service via email queue flooding).</t>
  </si>
  <si>
    <t>1. Navigate to the Forgot Password page.
2. Enter a non-existing username: NonExistentUser999.
3. Click 'Reset Password'.
4. Access server logs to verify if an email-generation attempt was made.
5. Submit 50 requests with random non-existing usernames.
6. Check server email queue for entries.</t>
  </si>
  <si>
    <t>Server short-circuits the reset workflow immediately on 'user not found'. No email generation or lookup is attempted for non-existing accounts. Same UI response returned (anti-harvesting), but no backend processing wasted.</t>
  </si>
  <si>
    <t>System shows same success message (correct from UI perspective). Backend processing behavior cannot be verified from UI alone. Server logs indicate the full reset workflow may execute for all submissions.</t>
  </si>
  <si>
    <t>Bug_026</t>
  </si>
  <si>
    <t>Forgot Password – UI</t>
  </si>
  <si>
    <t>OrangeHRM logo is missing from the Forgot Password page — branding inconsistency with Login page</t>
  </si>
  <si>
    <t>TC_LOGIN_070</t>
  </si>
  <si>
    <t>The Forgot Password page (/auth/requestPasswordResetCode) does not display the OrangeHRM logo or branding image. The Login page correctly shows both 'ohrm_logo.png' and 'ohrm_branding.png', creating a branding inconsistency between the two authentication pages. The Forgot Password page's Vue component (&lt;request-reset-password&gt;) does not include the logo element present in the login component (&lt;auth-login&gt;).</t>
  </si>
  <si>
    <t>1. Navigate to the Login page (/web/index.php/auth/login).
2. Observe the OrangeHRM logo displayed at the top of the page.
3. Navigate to the Forgot Password page (/web/index.php/auth/requestPasswordResetCode).
4. Observe the page layout.
5. Compare the logo/branding presence between both pages.</t>
  </si>
  <si>
    <t>OrangeHRM logo (ohrm_logo.png) is displayed on the Forgot Password page, consistent with the Login page branding.</t>
  </si>
  <si>
    <t>Forgot Password page shows NO logo or branding image. Only the form elements are visible: Username field, Reset Password button, Cancel button. Logo is confirmed absent from the page HTML and rendered DOM.</t>
  </si>
  <si>
    <t>Bug_027</t>
  </si>
  <si>
    <t>Forgot Password – Accessibility</t>
  </si>
  <si>
    <t>Incorrect keyboard Tab order on Forgot Password page — Tab skips 'Reset Password' and lands on 'Cancel'</t>
  </si>
  <si>
    <t>TC_LOGIN_075</t>
  </si>
  <si>
    <t>On the Forgot Password page, pressing the Tab key from the Username input field moves focus directly to the 'Cancel' button, completely skipping the 'Reset Password' submit button. The correct focus order should be: Username → Reset Password → Cancel. This breaks keyboard-only navigation (WCAG 2.1 Success Criterion 2.4.3 Focus Order) and prevents keyboard users from reaching the primary action button via Tab.</t>
  </si>
  <si>
    <t>1. Navigate to the Forgot Password page.
2. Click once on the Username input field to set initial focus.
3. Press the Tab key once.
4. Observe which element receives keyboard focus (check for focus outline).
5. Press Tab again.
6. Observe the next focused element.</t>
  </si>
  <si>
    <t>Tab order: Username → Reset Password button → Cancel button. The 'Reset Password' button receives focus first (it is the primary action).</t>
  </si>
  <si>
    <t>Tab from Username → Cancel button (Reset Password is SKIPPED). Tab again from Cancel → Reset Password button. Primary action button is in wrong tab position.</t>
  </si>
  <si>
    <t>ازاي دي bug؟</t>
  </si>
  <si>
    <t>Bug_028</t>
  </si>
  <si>
    <t>Forgot Password – Session Management</t>
  </si>
  <si>
    <t>Authenticated user can access the Forgot Password page — no redirect to Dashboard occurs</t>
  </si>
  <si>
    <t>TC_LOGIN_079</t>
  </si>
  <si>
    <t>When a logged-in (authenticated) user navigates directly to the Forgot Password page URL, the page renders normally without redirecting them to the Dashboard. Authenticated users have no valid reason to access the forgot-password flow. Best practice and most applications redirect authenticated users away from authentication-only pages (login, forgot password, register) to their home page.</t>
  </si>
  <si>
    <t>1. Log in with valid credentials (Admin / admin123).
2. Verify Dashboard is shown.
3. Open a new browser tab or manually type in the address bar:
   https://opensource-demo.orangehrmlive.com/web/index.php/auth/requestPasswordResetCode
4. Press Enter.
5. Observe which page is displayed.</t>
  </si>
  <si>
    <t>Authenticated user is automatically redirected to the Dashboard (/web/index.php/dashboard/index). The Forgot Password page is not shown.</t>
  </si>
  <si>
    <t>Forgot Password page loads normally for the authenticated user. No redirect occurs. The user can interact with the reset form while already logged in.</t>
  </si>
  <si>
    <t>Bug_029</t>
  </si>
  <si>
    <t xml:space="preserve">Forgot Password – Confirmation
</t>
  </si>
  <si>
    <t>Forgot Password confirmation page not displayed — server error/timeout prevents success message from appearing</t>
  </si>
  <si>
    <t>TC_LOGIN_080</t>
  </si>
  <si>
    <t>After submitting a password reset request, the expected confirmation message 'Reset password link sent successfully' is not displayed. For the Admin username, the server returns a 501 Not Implemented error (confirmed in TC_LOGIN_040). For other valid usernames, the page hangs and times out with no visible confirmation. The entire confirmation step of the password recovery user flow is broken.</t>
  </si>
  <si>
    <t>1. Navigate to the Forgot Password page.
2. Enter username: Admin.
3. Click 'Reset Password'.
4. Wait up to 30 seconds.
5. Observe the final page/message displayed.
6. Repeat with username: afram.</t>
  </si>
  <si>
    <t>System displays confirmation page with exact message: 'Reset password link sent successfully. If the email does not arrive, please contact your OrangeHRM Administrator.'</t>
  </si>
  <si>
    <t>Admin: Server returns 501 Not Implemented error after ~8 second delay. Other users: Page hangs indefinitely or times out without displaying the confirmation message. The expected success confirmation text is never shown.</t>
  </si>
  <si>
    <t>ما دي هي هي 17 ولا أيه؟</t>
  </si>
  <si>
    <t>Bug_063</t>
  </si>
  <si>
    <t>Admin Page</t>
  </si>
  <si>
    <t>System accepts weak dictionary passwords</t>
  </si>
  <si>
    <t>TC_ADMIN_009</t>
  </si>
  <si>
    <t>Defect encountered: System accepts weak dictionary passwords. The application does not handle the input/action correctly during execution</t>
  </si>
  <si>
    <t>1.Navigate to Add User.
2.Fill all details.
3.Enter 'Password@123' as password.
4.Save.</t>
  </si>
  <si>
    <t>The system should gracefully process the action or display a specific, user-friendly validation message.</t>
  </si>
  <si>
    <t>System error/crash or invalid behavior observed during: System accepts weak dictionary passwords.</t>
  </si>
  <si>
    <t>هو ليه ده weak password؟ مانت مستعمل symbols و upper case
هو عادي الـ expected result يكون هو هو في 13 bug؟</t>
  </si>
  <si>
    <t>Bug_064</t>
  </si>
  <si>
    <t>System allows deletion of active logged-in Admin</t>
  </si>
  <si>
    <t>TC_ADMIN_021</t>
  </si>
  <si>
    <t>Defect encountered: System allows deletion of active logged-in Admin. The application does not handle the input/action correctly during execution</t>
  </si>
  <si>
    <t>1.Login as Admin.
2.Go to System Users.
3.Find your own username.
4.Click Delete and confirm.</t>
  </si>
  <si>
    <t>System error/crash or invalid behavior observed during: System allows deletion of active logged-in Admin.</t>
  </si>
  <si>
    <t>دي مش bug ومش بيمسح المتسجل بيه عادي حتى لو ما كنش الـ admin</t>
  </si>
  <si>
    <t>Bug_065</t>
  </si>
  <si>
    <t>Employee auto-complete dropdown overlaps fields on mobile UI</t>
  </si>
  <si>
    <t>TC_ADMIN_023</t>
  </si>
  <si>
    <t>Defect encountered: Employee auto-complete dropdown overlaps fields on mobile UI. The application does not handle the input/action correctly during execution</t>
  </si>
  <si>
    <t>1.Emulate mobile device.
2.Go to Add User.
3.Type 'John' in Employee Name.
4.Observe the dropdown menu.</t>
  </si>
  <si>
    <t>System error/crash or invalid behavior observed during: Employee auto-complete dropdown overlaps fields on mobile UI.</t>
  </si>
  <si>
    <t>Bug_066</t>
  </si>
  <si>
    <t>Job Titles - Upload invalid EXE specification</t>
  </si>
  <si>
    <t>TC_ADMIN_033</t>
  </si>
  <si>
    <t xml:space="preserve">Defect encountered: Job Titles - Upload invalid EXE specification. The application does not handle the input/action correctly during execution </t>
  </si>
  <si>
    <t>1.Navigate to Job Titles.
2.Click Add
3.Upload EXE
4.Save</t>
  </si>
  <si>
    <t>System error/crash or invalid behavior observed during: Job Titles - Upload invalid EXE specification.</t>
  </si>
  <si>
    <t>مش bug ومش بيقبل exe عادي</t>
  </si>
  <si>
    <t>Bug_067</t>
  </si>
  <si>
    <t>Job Titles - Delete assigned Job Title</t>
  </si>
  <si>
    <t>TC_ADMIN_043</t>
  </si>
  <si>
    <t>Defect encountered: Job Titles - Delete assigned Job Title. The application does not handle the input/action correctly during execution</t>
  </si>
  <si>
    <t>1.Navigate to Job Titles.
2.Delete title assigned to John Doe</t>
  </si>
  <si>
    <t>System error/crash or invalid behavior observed during: Job Titles - Delete assigned Job Title.</t>
  </si>
  <si>
    <t>مش فاههمها</t>
  </si>
  <si>
    <t>Bug_068</t>
  </si>
  <si>
    <t>Pay Grades - Add Currency - Min 
Max</t>
  </si>
  <si>
    <t>TC_ADMIN_061</t>
  </si>
  <si>
    <t>Defect encountered: Pay Grades - Add Currency - Min 
Max. The application does not handle the input/action correctly during execution</t>
  </si>
  <si>
    <t>1.Navigate to Pay Grades.
2.Add Currency
3.Min 5000, Max 1000</t>
  </si>
  <si>
    <t>System error/crash or invalid behavior observed during: Pay Grades - Add Currency - Min 
Max.</t>
  </si>
  <si>
    <t>مش bug ومش بيقبل اقل من الـ min عادي</t>
  </si>
  <si>
    <t>Bug_069</t>
  </si>
  <si>
    <t>Pay Grades - Delete assigned Pay Grade</t>
  </si>
  <si>
    <t>TC_ADMIN_071</t>
  </si>
  <si>
    <t>Defect encountered: Pay Grades - Delete assigned Pay Grade. The application does not handle the input/action correctly during execution</t>
  </si>
  <si>
    <t>1.Navigate to Pay Grades.
2.Delete assigned grade</t>
  </si>
  <si>
    <t>System error/crash or invalid behavior observed during: Pay Grades - Delete assigned Pay Grade.</t>
  </si>
  <si>
    <t>Bug_030</t>
  </si>
  <si>
    <t>Admin – Employment Status</t>
  </si>
  <si>
    <t>System accepts invalid special characters and numeric values in employment status fields</t>
  </si>
  <si>
    <t>TC_ADMIN_086</t>
  </si>
  <si>
    <t>The application accepts special characters and numeric values in employment status fields and creates the employment status successfully.</t>
  </si>
  <si>
    <t xml:space="preserve">1. Click Add button 
2. Enter employment status name with special characters (@@@###%%%HR_Method!!!) 
3. Click Save </t>
  </si>
  <si>
    <t>The system should reject invalid characters and display a validation message.</t>
  </si>
  <si>
    <t>Employee is created successfully with invalid characters and numeric values in name fields.</t>
  </si>
  <si>
    <t>Screenshot / Video if available</t>
  </si>
  <si>
    <t>Unassigned</t>
  </si>
  <si>
    <t>Name field validation does not properly restrict unsupported characters or numeric-only names.</t>
  </si>
  <si>
    <t>Bug_031</t>
  </si>
  <si>
    <t>Page refresh during edit corrupts employment status data</t>
  </si>
  <si>
    <t>TC_ADMIN_095</t>
  </si>
  <si>
    <t>Refreshing the browser while editing employment status causes corruption of existing data.</t>
  </si>
  <si>
    <t>1. Open Edit form for employment status 
2. Modify name 
3. Do not click Save 
4. Refresh browser (F5) 
5. Return to table 
6. Open record again</t>
  </si>
  <si>
    <t>Unsaved changes should be discarded safely and original data should remain unchanged.</t>
  </si>
  <si>
    <t>Employment status data became corrupted after page refresh during edit process.</t>
  </si>
  <si>
    <t>Unsaved edit state not handled correctly during refresh.</t>
  </si>
  <si>
    <t>Bug_032</t>
  </si>
  <si>
    <t>Admin – Job Categories</t>
  </si>
  <si>
    <t>Special characters in job category names cause UI layout issues</t>
  </si>
  <si>
    <t>TC_ADMIN_117</t>
  </si>
  <si>
    <t>Entering job category names containing special characters causes unexpected UI behavior and layout issues in the job category table.</t>
  </si>
  <si>
    <t>1. Click Add button 
2. Enter job category name with special characters (@@@###%%%HR_Method!!!) 
3. Click Save 
4. Observe table and UI behavior</t>
  </si>
  <si>
    <t>The system should validate input properly and maintain stable UI layout.</t>
  </si>
  <si>
    <t>UI remains functional and readable.</t>
  </si>
  <si>
    <t>Input validation issue in job category name field.</t>
  </si>
  <si>
    <t>Bug_033</t>
  </si>
  <si>
    <t>Page refresh during edit corrupts job category data</t>
  </si>
  <si>
    <t>TC_ADMIN_125</t>
  </si>
  <si>
    <t>Refreshing the browser while editing a job category causes corruption of existing data.</t>
  </si>
  <si>
    <t>1. Open Edit form for job category 
2. Modify name 
3. Do not click Save 
4. Refresh browser (F5) 
5. Return to table 
6. Open record again</t>
  </si>
  <si>
    <t>Job category data became corrupted after page refresh during edit process.</t>
  </si>
  <si>
    <t>Bug_070</t>
  </si>
  <si>
    <t>Work Shifts - Cross-day Work Shift</t>
  </si>
  <si>
    <t>TC_ADMIN_141</t>
  </si>
  <si>
    <t>Defect encountered: Work Shifts - Cross-day Work Shift. The application does not handle the input/action correctly during execution</t>
  </si>
  <si>
    <t>1.Navigate to Work Shifts.
2.Set From: 22:00, To: 06:00
3.Save</t>
  </si>
  <si>
    <t>System error/crash or invalid behavior observed during: Work Shifts - Cross-day Work Shift.</t>
  </si>
  <si>
    <t>مش فاهمها</t>
  </si>
  <si>
    <t>Bug_071</t>
  </si>
  <si>
    <t>Work Shifts - Overlapping shifts for Emp</t>
  </si>
  <si>
    <t>TC_ADMIN_155</t>
  </si>
  <si>
    <t>Defect encountered: Work Shifts - Overlapping shifts for Emp. The application does not handle the input/action correctly during execution</t>
  </si>
  <si>
    <t>1.Navigate to Work Shifts.
2.Assign John to 9-5 and 12-8</t>
  </si>
  <si>
    <t>System error/crash or invalid behavior observed during: Work Shifts - Overlapping shifts for Emp.</t>
  </si>
  <si>
    <t>دي مش bug عشان مفيش overlap بيحصل عشان مينفعش employee يتعمله assign لأكتر من shift</t>
  </si>
  <si>
    <t>Admin / General Information</t>
  </si>
  <si>
    <t>Tablet / iPad Pro Viewport</t>
  </si>
  <si>
    <t>TC_ADMIN_198</t>
  </si>
  <si>
    <t>The General Information page fails layout responsiveness validations when viewed on or scaled down to tablet-sized configurations, hiding crucial UI interaction points.</t>
  </si>
  <si>
    <t>1. Navigate to the General Information page.
2. Resize the browser window to Desktop/Tablet sizes, or simulate an iPad Pro viewport size.</t>
  </si>
  <si>
    <t>The UI layout should remain completely usable, adaptive, and properly aligned.</t>
  </si>
  <si>
    <t>Aly</t>
  </si>
  <si>
    <t>Admin / Location Management</t>
  </si>
  <si>
    <t>TC_ADMIN_222</t>
  </si>
  <si>
    <t>The system fails to throttle or prevent duplicate toast/popup notifications when a user repeatedly or quickly clicks the "Save" button on a form.</t>
  </si>
  <si>
    <t>1. Open an existing location within the application.
2. Modify any data field.
3. Click the Save button multiple times in rapid succession.</t>
  </si>
  <si>
    <t>Only one "Successfully Saved" notification should be displayed to the user.</t>
  </si>
  <si>
    <t>TC_ADMIN_223</t>
  </si>
  <si>
    <t>The system fails to trigger a prompt or confirmation dialogue to prevent accidental data loss when a user refreshes the page while working on unsaved form fields.</t>
  </si>
  <si>
    <t>1. Open an existing location within the application.
2. Modify one or more data fields (e.g., set Name to 'Cairo HQ Updated').
3. Refresh the browser page before clicking save.</t>
  </si>
  <si>
    <t>System should display an unsaved changes warning or preserve the entered modifications, ensuring the user is informed before losing data.</t>
  </si>
  <si>
    <t>All unsaved modifications were lost immediately after the refresh action without any warning prompt being shown.</t>
  </si>
  <si>
    <t>Bug_072</t>
  </si>
  <si>
    <t>Company Structure - Add Node duplicate ID</t>
  </si>
  <si>
    <t>TC_ADMIN_260</t>
  </si>
  <si>
    <t>Defect encountered: Company Structure - Add Node duplicate ID. The application does not handle the input/action correctly during execution</t>
  </si>
  <si>
    <t>1.Navigate to Company Structure.
2.Click +
3.Enter existing ID</t>
  </si>
  <si>
    <t>System error/crash or invalid behavior observed during: Company Structure - Add Node duplicate ID.</t>
  </si>
  <si>
    <t>Bug_073</t>
  </si>
  <si>
    <t>Company Structure - Delete Parent Node</t>
  </si>
  <si>
    <t>TC_ADMIN_267</t>
  </si>
  <si>
    <t>Defect encountered: Company Structure - Delete Parent Node. The application does not handle the input/action correctly during execution</t>
  </si>
  <si>
    <t>1.Navigate to Company Structure.
2.Click Delete on parent node</t>
  </si>
  <si>
    <t>System error/crash or invalid behavior observed during: Company Structure - Delete Parent Node.</t>
  </si>
  <si>
    <t>Bug_074</t>
  </si>
  <si>
    <t>Company Structure - Drag and Drop Node</t>
  </si>
  <si>
    <t>TC_ADMIN_272</t>
  </si>
  <si>
    <t>Defect encountered: Company Structure - Drag and Drop Node. The application does not handle the input/action correctly during execution</t>
  </si>
  <si>
    <t>1.Navigate to Company Structure.
2.Drag QA node under HR node</t>
  </si>
  <si>
    <t>System error/crash or invalid behavior observed during: Company Structure - Drag and Drop Node.</t>
  </si>
  <si>
    <t>Bug_075</t>
  </si>
  <si>
    <t>Company Structure - Long Unit Name Overflow</t>
  </si>
  <si>
    <t>TC_ADMIN_276</t>
  </si>
  <si>
    <t>Defect encountered: Company Structure - Long Unit Name Overflow. The application does not handle the input/action correctly during execution</t>
  </si>
  <si>
    <t>1.Navigate to Company Structure.
2.Create node with 100 char name</t>
  </si>
  <si>
    <t>System error/crash or invalid behavior observed during: Company Structure - Long Unit Name Overflow.</t>
  </si>
  <si>
    <t>Bug_034</t>
  </si>
  <si>
    <t>Education Levels</t>
  </si>
  <si>
    <t>Special characters in education level names cause UI layout issues</t>
  </si>
  <si>
    <t>US_012</t>
  </si>
  <si>
    <t>TC_ADMIN_301</t>
  </si>
  <si>
    <t>Entering education level names with special characters causes unexpected UI behavior and layout issues in the education levels table.</t>
  </si>
  <si>
    <t>1. Click Add button 
2. Enter education level name with special characters (@@@###%%%HR_Method!!!) 
3. Click Save 
4. Observe table and UI behavior</t>
  </si>
  <si>
    <t>The system should validate input properly and maintain a stable UI layout.</t>
  </si>
  <si>
    <t>Special characters caused UI layout issues in education levels table.</t>
  </si>
  <si>
    <t>Input validation issue in education level name field.</t>
  </si>
  <si>
    <t>Bug_035</t>
  </si>
  <si>
    <t>Page refresh during edit corrupts education level data</t>
  </si>
  <si>
    <t>TC_ADMIN_309</t>
  </si>
  <si>
    <t>Refreshing the browser while editing an education level causes corruption of existing data.</t>
  </si>
  <si>
    <t>1. Open Edit form for education level 
2. Modify name 
3. Do not click Save 
4. Refresh browser (F5) 
5. Return to table 
6. Open record again</t>
  </si>
  <si>
    <t>Education level data became corrupted after page refresh during edit process.</t>
  </si>
  <si>
    <t>Bug_036</t>
  </si>
  <si>
    <t>Licenses</t>
  </si>
  <si>
    <t>Special characters in license names cause UI layout issues</t>
  </si>
  <si>
    <t>US_013</t>
  </si>
  <si>
    <t>TC_ADMIN_331</t>
  </si>
  <si>
    <t>Entering license names containing special characters causes unexpected UI behavior and layout issues in the license table.</t>
  </si>
  <si>
    <t>1. Click Add button 
2. Enter license name with special characters (@@@###%%%HR_Method!!!) 
3. Click Save 
4. Observe table and UI behavior</t>
  </si>
  <si>
    <t>Special characters caused UI layout issues in license table.</t>
  </si>
  <si>
    <t>Input validation issue in license name field.</t>
  </si>
  <si>
    <t>Bug_038</t>
  </si>
  <si>
    <t>Page refresh during edit corrupts the Licenses data</t>
  </si>
  <si>
    <t>TC_ADMIN_339</t>
  </si>
  <si>
    <t>Refreshing the browser while editing a licenses causes corruption of existing data.</t>
  </si>
  <si>
    <t>1. Open Edit form for licenses 
2. Modify name 
3. Do not click Save 
4. Refresh browser (F5) 
5. Return to table 
6. Open record again</t>
  </si>
  <si>
    <t>licenses data became corrupted after page refresh during edit process.</t>
  </si>
  <si>
    <t>Incorrect records displayed per page when navigating pagination controls</t>
  </si>
  <si>
    <t>TC_ADMIN_354</t>
  </si>
  <si>
    <t>The pagination framework fails to load or calculate the accurate subset of records corresponding to the selected page view when the total item counts surpass the maximum page threshold.</t>
  </si>
  <si>
    <t>1. Ensure the existing languages count exceeds the current page size limit.
2. Click the next or previous page pagination control button.</t>
  </si>
  <si>
    <t>The interface displays multiple records conforming exactly to the expected correct records configured per page view.</t>
  </si>
  <si>
    <t>The page did not display the correct records per page upon navigation.</t>
  </si>
  <si>
    <t>ازاي bug وهو أصلا عدد اللغات الموجودة قليل</t>
  </si>
  <si>
    <t>Language page gets stuck in infinite load after submitting an invalid parameter</t>
  </si>
  <si>
    <t>TC_ADMIN_355</t>
  </si>
  <si>
    <t>When an administrator attempts to add an invalid language parameter, the system is unable to handle the validation exception gracefully, causing the page UI to hang indefinitely in a loading state.</t>
  </si>
  <si>
    <t>1. Navigate to the language configuration interface.
2. Add an invalid language parameter (e.g., " englishz").
3. Click the Save button.</t>
  </si>
  <si>
    <t>The application should return the user cleanly back to the home language page view.</t>
  </si>
  <si>
    <t>The application didn't return to the home language page; instead, it got stuck in an infinity load screen.</t>
  </si>
  <si>
    <t>System fails to prevent duplicate language creation when using different language names ("arabic" and "العربيه")</t>
  </si>
  <si>
    <t>TC_ADMIN_365</t>
  </si>
  <si>
    <t>The system allows the creation of duplicate language entries if the language name is entered in a different translation or script (e.g., English text vs. Arabic script), bypassing duplicate-checking constraints.</t>
  </si>
  <si>
    <t>1. Navigate to the language configuration page.
2. Click Add and add language "arabic", then click Save.
3. Click Add again to create another language entry.
4. Add the new language name as "العربيه".
5. Click Save.</t>
  </si>
  <si>
    <t>The system should recognize it as a duplicate language, prevent saving "العربيه", and display a validation message stating "Already exists".</t>
  </si>
  <si>
    <t>The system fails to recognize the duplicate entry across different language names/scripts, failing to throw the "Already exists" validation error as required.</t>
  </si>
  <si>
    <t>Bug_037</t>
  </si>
  <si>
    <t>Nationalities</t>
  </si>
  <si>
    <t>Special characters in nationality names cause UI layout issues</t>
  </si>
  <si>
    <t>US_016</t>
  </si>
  <si>
    <t>TC_ADMIN_417</t>
  </si>
  <si>
    <t>Entering nationality names containing special characters causes unexpected UI behavior and layout issues in the nationality table.</t>
  </si>
  <si>
    <t>1. Click Add button 
2. Enter nationality name with special characters (@@@###%%%HR_Method!!!) 
3. Click Save 
4. Observe table and UI behavior</t>
  </si>
  <si>
    <t>Special characters caused UI layout issues in nationality table.</t>
  </si>
  <si>
    <t>Input validation issue in nationality name field.</t>
  </si>
  <si>
    <t>Page refresh during edit corrupts nationality data</t>
  </si>
  <si>
    <t>TC_ADMIN_425</t>
  </si>
  <si>
    <t>Refreshing the browser while editing a nationality causes corruption of existing data.</t>
  </si>
  <si>
    <t>1. Open Edit form for nationality 
2. Modify name 
3. Do not click Save 
4. Refresh browser (F5) 
5. Return to table 
6. Open record again</t>
  </si>
  <si>
    <t>Nationality data became corrupted after page refresh during edit process.</t>
  </si>
  <si>
    <t>Bug_076</t>
  </si>
  <si>
    <t>Admin / Corporate Branding</t>
  </si>
  <si>
    <t>Color field accepts invalid hex codes without validation error</t>
  </si>
  <si>
    <t> TC_ADMIN_451</t>
  </si>
  <si>
    <t>US_017</t>
  </si>
  <si>
    <t>When Admin enters an invalid hex color code (e.g., 'ZZZZZZ') in the Primary Color field on the Corporate Branding page and clicks Publish, the system does not display a validation error message and accepts the invalid value.</t>
  </si>
  <si>
    <t>1. Login as Admin
2. Navigate to Admin 
Corporate Branding
3. Click on Primary Color field
4. Type invalid value 'ZZZZZZ'
5. Click Publish</t>
  </si>
  <si>
    <t>System should display a validation error message indicating invalid hex code; invalid color should not be applied</t>
  </si>
  <si>
    <t>No validation error shown; system appears to accept invalid hex code without rejection</t>
  </si>
  <si>
    <t>Root Cause: Missing input validation for hex color field. Frontend validation rule for hex color format not implemented.</t>
  </si>
  <si>
    <t xml:space="preserve">بيقول invalid عادي </t>
  </si>
  <si>
    <t>Bug_077</t>
  </si>
  <si>
    <t>GIF file accepted as company logo without validation error</t>
  </si>
  <si>
    <t> TC_ADMIN_457</t>
  </si>
  <si>
    <t>When Admin uploads a GIF file as Company Logo on the Corporate Branding page, the system accepts it without displaying a validation error. Based on standard requirements, only specific image formats (PNG, JPG) should be accepted.</t>
  </si>
  <si>
    <t>1. Login as Admin
2. Navigate to Admin 
Corporate Branding
3. Click Upload for Company Logo
4. Select a .gif file
5. Observe behavior</t>
  </si>
  <si>
    <t>System should display validation error for unsupported GIF file type and reject the upload</t>
  </si>
  <si>
    <t>GIF file accepted without error message; logo replaced with GIF</t>
  </si>
  <si>
    <t>Root Cause: File type validation does not include GIF in the list of rejected formats. File type whitelist may be too permissive.</t>
  </si>
  <si>
    <t>مكتوب انه بيسمح بالـ gif عادي</t>
  </si>
  <si>
    <t>Bug_078</t>
  </si>
  <si>
    <t>Publish button not disabled after first click allowing multiple rapid clicks</t>
  </si>
  <si>
    <t>TC_ADMIN_459</t>
  </si>
  <si>
    <t>When Admin clicks the Publish button multiple times rapidly on the Corporate Branding page, the button is not disabled after the first click. This could cause duplicate save requests to be sent to the server.</t>
  </si>
  <si>
    <t>1. Login as Admin
2. Navigate to Admin 
Corporate Branding
3. Make valid branding changes
4. Click Publish button rapidly multiple times
5. Observe behavior</t>
  </si>
  <si>
    <t>Publish button should be disabled after first click to prevent duplicate submissions; only one save request should be processed</t>
  </si>
  <si>
    <t>Publish button remains enabled after first click; multiple rapid clicks cause multiple save requests</t>
  </si>
  <si>
    <t>Root Cause: Publish button lacks click debounce or disable-on-click implementation. No frontend protection against double submission.</t>
  </si>
  <si>
    <t>زرار الـ publish أصلا بيختفي</t>
  </si>
  <si>
    <t>Bug_079</t>
  </si>
  <si>
    <t>Login page does not reflect updated company logo after Admin publishes new branding</t>
  </si>
  <si>
    <t>After Admin publishes a new company logo on the Corporate Branding page, the login page still displays the old/default logo. The branding change is not immediately reflected on the login page even after clearing browser cache.</t>
  </si>
  <si>
    <t>1. Login as Admin
2. Navigate to Admin → Corporate Branding
3. Upload a new company logo
4. Click Publish
5. Logout
6. Observe the login page logo</t>
  </si>
  <si>
    <t>Login page should display the newly published company logo immediately after publish</t>
  </si>
  <si>
    <t>Login page still shows the old/default logo after publishing new branding; logo change only reflects on internal pages</t>
  </si>
  <si>
    <t>Root Cause: Login page likely caches the logo URL independently. Branding publish does not invalidate the login page logo cache. The login page rendering may not be using the dynamic branding endpoint.</t>
  </si>
  <si>
    <t>ده للكلاينت وملهوش علاقة بالـ login والـ login banner بتتغير عادي</t>
  </si>
  <si>
    <t>Bug_080</t>
  </si>
  <si>
    <t>No minimum image dimension validation for uploaded company logos</t>
  </si>
  <si>
    <t>When Admin uploads a very small image (e.g., 1x1 pixel PNG) as the company logo on the Corporate Branding page, the system accepts the file and publishes it without any validation error regarding image dimensions. This results in a distorted or invisible logo displayed across the application.</t>
  </si>
  <si>
    <t>1. Login as Admin
2. Navigate to Admin 
Corporate Branding
3. Click Upload for Company Logo
4. Select a 1x1 pixel PNG image
5. Click Publish
6. Navigate to any page and observe logo</t>
  </si>
  <si>
    <t>System should display a validation error indicating the image dimensions are too small (e.g., minimum 100x50px required)</t>
  </si>
  <si>
    <t>1x1 pixel image accepted and published; logo area appears blank/distorted across the application</t>
  </si>
  <si>
    <t>Root Cause: Image dimension validation is missing from both frontend and backend. Only file type and file size validation exists. Minimum resolution check not implemented.</t>
  </si>
  <si>
    <t>Bug_081</t>
  </si>
  <si>
    <t>No WCAG accessibility contrast ratio warning when selecting very light primary color</t>
  </si>
  <si>
    <t>When Admin selects a very light primary color (e.g., #EEEEEE) that would result in poor text contrast and fail WCAG AA accessibility standards, the system does not display any warning. The color is applied without informing the Admin of potential accessibility issues.</t>
  </si>
  <si>
    <t>1. Login as Admin
2. Navigate to Admin 
Corporate Branding
3. Click on Primary Color field
4. Enter a very light color hex value: #EEEEEE
5. Click Publish
6. Observe if any warning is shown</t>
  </si>
  <si>
    <t>System should display an accessibility warning noting that the selected color may not meet WCAG contrast ratio requirements (minimum 4.5:1 for normal text)</t>
  </si>
  <si>
    <t>No warning displayed; light color #EEEEEE accepted and applied; resulting in white text on near-white background — extremely poor contrast</t>
  </si>
  <si>
    <t>Root Cause: No contrast ratio calculation or WCAG validation implemented in the color picker component. System lacks accessibility guardrails for color selection.</t>
  </si>
  <si>
    <t>Bug_082</t>
  </si>
  <si>
    <t>Corporate branding changes not recorded in system audit trail</t>
  </si>
  <si>
    <t>After Admin publishes branding changes (colors, logos) on the Corporate Branding page, no corresponding entry is created in the system audit trail/logs. This is an audit compliance issue as all administrative configuration changes should be logged.</t>
  </si>
  <si>
    <t>1. Login as Admin
2. Navigate to Admin 
Corporate Branding
3. Change Primary Color and publish
4. Navigate to Admin 
Audit Trail
5. Search for recent branding change</t>
  </si>
  <si>
    <t>Audit trail should contain an entry recording: who made the change, what was changed, and when it was changed</t>
  </si>
  <si>
    <t>No audit trail entry found for branding configuration changes; the activity is not logged anywhere in the system</t>
  </si>
  <si>
    <t>Root Cause: The branding publish action is not wired to the audit log service. Other administrative actions (user changes, etc.) are logged but branding changes were not included in the audit logging implementation.</t>
  </si>
  <si>
    <t>Bug_039</t>
  </si>
  <si>
    <t>Email Configuration</t>
  </si>
  <si>
    <t>Authentication section disappears after page refresh</t>
  </si>
  <si>
    <t>US_018</t>
  </si>
  <si>
    <t>TC_NAT_003</t>
  </si>
  <si>
    <t>Authentication section is not retained after refreshing the Email Configuration page.</t>
  </si>
  <si>
    <t>1. Navigate to Email Configuration page 
2. Verify Authentication section visible 
3. Refresh browser (F5) 
4. Observe section</t>
  </si>
  <si>
    <t>Authentication section should remain visible after refresh and page should maintain its state.</t>
  </si>
  <si>
    <t>Authentication section disappeared after refresh.</t>
  </si>
  <si>
    <t>UI state is not persisted correctly after refresh.</t>
  </si>
  <si>
    <t>Bug_040</t>
  </si>
  <si>
    <t>Navigation menu items remain collapsed after returning to desktop view</t>
  </si>
  <si>
    <t>TC_NAT_004</t>
  </si>
  <si>
    <t>Navigation items stay hidden inside “More” menu after resizing browser back to desktop resolution.</t>
  </si>
  <si>
    <t>1. Open page in desktop resolution 
2. Resize to mobile view 
3. Verify “More” menu 
4. Resize back to desktop 
5. Observe navigation</t>
  </si>
  <si>
    <t>Hidden menu items should re-expand and display normally in desktop view.</t>
  </si>
  <si>
    <t>Menu items remained inside “More” button after returning to desktop view.</t>
  </si>
  <si>
    <t>Responsive layout does not reset correctly after viewport change.</t>
  </si>
  <si>
    <t>Bug_041</t>
  </si>
  <si>
    <t>Conflicting success and failure messages displayed during SMTP save and test email failure</t>
  </si>
  <si>
    <t>TC_SMTP_001</t>
  </si>
  <si>
    <t>The system shows contradictory messages when SMTP configuration save succeeds but test email sending fails.</t>
  </si>
  <si>
    <t>1. Enter SMTP configuration details 
2. Click Save 
3. Observe system messages</t>
  </si>
  <si>
    <t>System should clearly separate configuration save status from test email sending result without showing misleading success state.</t>
  </si>
  <si>
    <t>System displayed both “Failed – Test Email Not Sent” and “Success – Successfully Saved” simultaneously.</t>
  </si>
  <si>
    <t>Messaging logic is not properly separated between save operation and test email result.</t>
  </si>
  <si>
    <t>Bug_042</t>
  </si>
  <si>
    <t>SMTP Host accepts invalid format and allows saving</t>
  </si>
  <si>
    <t>TC_SMTP_002</t>
  </si>
  <si>
    <t>Invalid SMTP host formats are accepted and saved without validation.</t>
  </si>
  <si>
    <t>1. Enter invalid SMTP Host (@@@smtp###) 
2. Click Save</t>
  </si>
  <si>
    <t>The system should validate SMTP host format and block saving for invalid inputs.</t>
  </si>
  <si>
    <t>Invalid host was successfully saved.</t>
  </si>
  <si>
    <t>SMTP host validation is missing or incorrectly implemented.</t>
  </si>
  <si>
    <t>Bug_043</t>
  </si>
  <si>
    <t>System allows saving configuration with empty SMTP Port</t>
  </si>
  <si>
    <t>TC_SMTP_003</t>
  </si>
  <si>
    <t>The system saves SMTP configuration even when required SMTP Port field is empty.</t>
  </si>
  <si>
    <t>1. Enter valid SMTP Host 
2. Enter authentication details 
3. Leave SMTP Port empty 
4. Click Save</t>
  </si>
  <si>
    <t>System should block saving and display validation error for empty SMTP Port.</t>
  </si>
  <si>
    <t>Configuration saved successfully with empty SMTP Port.</t>
  </si>
  <si>
    <t>Missing required field validation for SMTP Port.</t>
  </si>
  <si>
    <t>Bug_044</t>
  </si>
  <si>
    <t>SMTP Host validation issue duplicated entry (duplicate test case issue resolved)</t>
  </si>
  <si>
    <t>TC_SMTP_004</t>
  </si>
  <si>
    <t>Repeated SMTP Host validation test case showing same behavior as earlier case but still failing validation.</t>
  </si>
  <si>
    <t>Invalid host should be rejected and not saved.</t>
  </si>
  <si>
    <t>Invalid host was still accepted and saved.</t>
  </si>
  <si>
    <t>Duplicate validation issue observed in SMTP host field handling.</t>
  </si>
  <si>
    <t>Bug_045</t>
  </si>
  <si>
    <t>Test email sending causes system freeze and failure</t>
  </si>
  <si>
    <t>TC_SMTP_005</t>
  </si>
  <si>
    <t>Sending test email causes system to hang, and email is not delivered successfully.</t>
  </si>
  <si>
    <t>1. Click Send Test Email 
2. Enter valid recipient email 
3. Click Send 
4. Observe system</t>
  </si>
  <si>
    <t>System should send test email successfully and return confirmation without freezing.</t>
  </si>
  <si>
    <t>System remained loading, email not sent, and UI became unresponsive/laggy.</t>
  </si>
  <si>
    <t>Performance or backend SMTP handling issue causing UI freeze during email send.</t>
  </si>
  <si>
    <t>Bug_046</t>
  </si>
  <si>
    <t>Send Test Email dialog does not close after successful send</t>
  </si>
  <si>
    <t>TC_EML_001</t>
  </si>
  <si>
    <t>The Send Test Email dialog remains open after a successful email send instead of closing automatically.</t>
  </si>
  <si>
    <t>1. Enter valid recipient email (test@example.com) 
2. Click Send 
3. Observe dialog state</t>
  </si>
  <si>
    <t>Dialog should close automatically after successful email sending and return user to Email Configuration page.</t>
  </si>
  <si>
    <t>Dialog remained open after successful send.</t>
  </si>
  <si>
    <t>UI flow does not handle dialog closure after success event.</t>
  </si>
  <si>
    <t>Bug_047</t>
  </si>
  <si>
    <t>Test email shows failure despite valid recipient email</t>
  </si>
  <si>
    <t>TC_EML_002</t>
  </si>
  <si>
    <t>The system incorrectly reports test email failure even when a valid recipient email is provided.</t>
  </si>
  <si>
    <t>1. Enter valid SMTP configuration 
2. Enter recipient email (test@example.com) 
3. Click Send</t>
  </si>
  <si>
    <t>System should successfully send email and display confirmation message.</t>
  </si>
  <si>
    <t>System displayed “Failed – Test Email Not Sent” despite valid email input.</t>
  </si>
  <si>
    <t>Incorrect email delivery status handling or backend failure.</t>
  </si>
  <si>
    <t>Bug_048</t>
  </si>
  <si>
    <t>System allows duplicate save operations for same SMTP configuration</t>
  </si>
  <si>
    <t>TC_EML_003</t>
  </si>
  <si>
    <t>Repeated Save clicks create duplicate SMTP configuration entries instead of preventing duplication.</t>
  </si>
  <si>
    <t>1. Enter SMTP configuration 
2. Click Save 
3. Click Save again with same data</t>
  </si>
  <si>
    <t>System should prevent duplicate configuration or notify user that it already exists.</t>
  </si>
  <si>
    <t>System accepted repeated save operation normally.</t>
  </si>
  <si>
    <t>Missing duplicate prevention on Save action.</t>
  </si>
  <si>
    <t>Bug_049</t>
  </si>
  <si>
    <t>Send Test Email dialog does not retain recipient data after refresh</t>
  </si>
  <si>
    <t>TC_EML_004</t>
  </si>
  <si>
    <t>Refreshing browser while Send Test Email dialog is open clears entered recipient email without warning.</t>
  </si>
  <si>
    <t>1. Open Send Test Email dialog 
2. Enter recipient email 
3. Refresh browser 
4. Reopen dialog</t>
  </si>
  <si>
    <t>System should warn user before losing data or preserve entered recipient email.</t>
  </si>
  <si>
    <t>Dialog closed and entered email was cleared after refresh.</t>
  </si>
  <si>
    <t>No state persistence or unsaved data warning implemented.</t>
  </si>
  <si>
    <t>Bug_050</t>
  </si>
  <si>
    <t>System misbehaves when sending test email to invalid or non-existent mailbox</t>
  </si>
  <si>
    <t>TC_EML_005</t>
  </si>
  <si>
    <t>The system does not handle delivery failure properly and causes UI freeze when sending test email to non-existent mailbox.</t>
  </si>
  <si>
    <t>1. Enter recipient email (admin@example.com) 
2. Click Send 
3. Observe response</t>
  </si>
  <si>
    <t>System should handle delivery failure gracefully and show appropriate error message without freezing.</t>
  </si>
  <si>
    <t>System showed success/failure inconsistently and UI froze with infinite loading.</t>
  </si>
  <si>
    <t>Backend email delivery error handling and UI state management issue.</t>
  </si>
  <si>
    <t>Bug_051</t>
  </si>
  <si>
    <t>System accepts oversized domain in recipient email without validation</t>
  </si>
  <si>
    <t>TC_EML_006</t>
  </si>
  <si>
    <t>The system allows sending test email to addresses with excessively long domain names.</t>
  </si>
  <si>
    <t>1. Enter email with oversized domain (admin@veryveryveryveryveryveryverylongdomainnametestexamplemailserver.com) 
2. Click Send</t>
  </si>
  <si>
    <t>System should validate domain length and reject invalid email formats.</t>
  </si>
  <si>
    <t>System accepted email with oversized domain and attempted sending.</t>
  </si>
  <si>
    <t>Missing validation for domain length in email format checking.</t>
  </si>
  <si>
    <t>Bug_052</t>
  </si>
  <si>
    <t>Reset button does not clear Email Configuration fields</t>
  </si>
  <si>
    <t>TC_RST_001</t>
  </si>
  <si>
    <t>The Reset button does not clear or restore Email Configuration fields to default values.</t>
  </si>
  <si>
    <t>1. Enter SMTP Host: smtp.gmail.com 
2. Enter SMTP Port: 587 
3. Enter Username: admin@test.com 
4. Click Reset</t>
  </si>
  <si>
    <t>All fields should be cleared or restored to default state.</t>
  </si>
  <si>
    <t>Form fields remained unchanged after clicking Reset.</t>
  </si>
  <si>
    <t>Reset functionality is not properly implemented or not bound to form state.</t>
  </si>
  <si>
    <t>Bug_053</t>
  </si>
  <si>
    <t>Reset button not clearing fields on repeated validation scenarios</t>
  </si>
  <si>
    <t>TC_RST_002</t>
  </si>
  <si>
    <t>The Reset button consistently fails to clear Email Configuration fields across multiple attempts.</t>
  </si>
  <si>
    <t>1. Enter valid configuration data 
2. Click Reset 
3. Repeat multiple times</t>
  </si>
  <si>
    <t>All fields should reset on every click.</t>
  </si>
  <si>
    <t>Fields remain unchanged after every Reset attempt.</t>
  </si>
  <si>
    <t>Persistent state issue in Reset handler.</t>
  </si>
  <si>
    <t>Bug_054</t>
  </si>
  <si>
    <t>Reset button does not restore default Email Configuration values</t>
  </si>
  <si>
    <t>TC_RST_003</t>
  </si>
  <si>
    <t>The Reset button does not restore Email Configuration form to default values.</t>
  </si>
  <si>
    <t>1. Fill SMTP Host, Port, Username 
2. Click Reset</t>
  </si>
  <si>
    <t>Form should return to initial default/empty state.</t>
  </si>
  <si>
    <t>Fields remain populated with previously entered values.</t>
  </si>
  <si>
    <t>Default state restoration logic missing.</t>
  </si>
  <si>
    <t>Bug_055</t>
  </si>
  <si>
    <t>Subscribers</t>
  </si>
  <si>
    <t>Page refresh during edit corrupts subscriber data</t>
  </si>
  <si>
    <t>US_019</t>
  </si>
  <si>
    <t>TC_SUB_001</t>
  </si>
  <si>
    <t>Refreshing browser during subscriber edit causes corruption of existing data.</t>
  </si>
  <si>
    <t>1. Open Edit Subscriber form 
2. Modify subscriber name 
3. Do not save 
4. Refresh page 
5. Reopen record</t>
  </si>
  <si>
    <t>Unsaved changes should be discarded safely without affecting stored data.</t>
  </si>
  <si>
    <t>Subscriber data became corrupted after page refresh during edit.</t>
  </si>
  <si>
    <t>Unsaved edit state not handled correctly.</t>
  </si>
  <si>
    <t>Bug_056</t>
  </si>
  <si>
    <t>Test email data is lost after page refresh in Send Email dialog</t>
  </si>
  <si>
    <t>TC_SUB_002</t>
  </si>
  <si>
    <t>Refreshing page while Send Test Email dialog is open clears entered email without warning.</t>
  </si>
  <si>
    <t>1. Open Send Test Email dialog 
2. Enter email 
3. Refresh page 
4. Reopen dialog</t>
  </si>
  <si>
    <t>System should warn user or preserve entered data.</t>
  </si>
  <si>
    <t>Entered email was cleared after refresh.</t>
  </si>
  <si>
    <t>Bug_057</t>
  </si>
  <si>
    <t>Email / Send Test Email</t>
  </si>
  <si>
    <t>Test email to non-existent address shows success and causes system freeze</t>
  </si>
  <si>
    <t>TC_US19_001</t>
  </si>
  <si>
    <t>Sending test email to a non-existent but valid format email results in incorrect success message and system freezing behavior.</t>
  </si>
  <si>
    <t>1. Open Send Test Email dialog 
2. Enter admin@example.com 
3. Click Send 
4. Observe system response</t>
  </si>
  <si>
    <t>System should handle delivery failure gracefully and display an appropriate error message without freezing or infinite loading.</t>
  </si>
  <si>
    <t>Success message shown despite undelivered email; system freezes with infinite loading state.</t>
  </si>
  <si>
    <t>Improper handling of SMTP delivery failure and UI state management.</t>
  </si>
  <si>
    <t>Bug_058</t>
  </si>
  <si>
    <t>System accepts oversized domain email without validation</t>
  </si>
  <si>
    <t>TC_US19_002</t>
  </si>
  <si>
    <t>The system allows sending test emails with excessively long domain names without validation.</t>
  </si>
  <si>
    <t>1. Open Send Test Email dialog 
2. Enter email with oversized domain 
3. Click Send</t>
  </si>
  <si>
    <t>System should validate domain length and reject invalid email formats before sending.</t>
  </si>
  <si>
    <t>Missing validation for email domain length constraints.</t>
  </si>
  <si>
    <t>Bug_059</t>
  </si>
  <si>
    <t>UI / Navigation</t>
  </si>
  <si>
    <t>Menu items remain in “More” after switching back from mobile to desktop view</t>
  </si>
  <si>
    <t>US_020</t>
  </si>
  <si>
    <t>TC_US20_001</t>
  </si>
  <si>
    <t>Responsive navigation does not restore desktop layout after switching from mobile view.</t>
  </si>
  <si>
    <t>Hidden menu items should expand back and display correctly in desktop layout.</t>
  </si>
  <si>
    <t>Responsive layout state not reset properly on viewport change.</t>
  </si>
  <si>
    <t>Bug_060</t>
  </si>
  <si>
    <t>Localization / UI Translation</t>
  </si>
  <si>
    <t>System shows mixed languages after changing system language</t>
  </si>
  <si>
    <t>TC_US20_002</t>
  </si>
  <si>
    <t>After changing system language, some UI sections remain in previous language while others update.</t>
  </si>
  <si>
    <t>1. Change system language to French 
2. Click Save 
3. Navigate through modules 
4. Observe UI text</t>
  </si>
  <si>
    <t>Entire application should display selected language consistently across all modules.</t>
  </si>
  <si>
    <t>Some sections remained in previous language while others changed.</t>
  </si>
  <si>
    <t>Incomplete localization propagation across modules.</t>
  </si>
  <si>
    <t>Bug_061</t>
  </si>
  <si>
    <t>Localization</t>
  </si>
  <si>
    <t>Arabic language not available in supported languages dropdown</t>
  </si>
  <si>
    <t>TC_LOC_ARB_001</t>
  </si>
  <si>
    <t>The Arabic language option is missing from the Localization supported languages list.</t>
  </si>
  <si>
    <t>1. Navigate to Admin → Localization 
2. Open Language dropdown 
3. Search for Arabic option 
4. Observe list</t>
  </si>
  <si>
    <t>Arabic language should be displayed and available for selection in supported languages list.</t>
  </si>
  <si>
    <t>Arabic language was not displayed in supported languages list.</t>
  </si>
  <si>
    <t>Localization configuration does not include Arabic language support.</t>
  </si>
  <si>
    <t>Bug_062</t>
  </si>
  <si>
    <t>OAuth Configuration</t>
  </si>
  <si>
    <t>Invalid Redirect URI format is accepted and saved</t>
  </si>
  <si>
    <t>US_024</t>
  </si>
  <si>
    <t>TC_OAUTH_004</t>
  </si>
  <si>
    <t>The system allows saving an invalid Redirect URI without proper validation.</t>
  </si>
  <si>
    <t>1. Enter Name: TestingClient 
2. Enter Redirect URI: invalid_url_string_example 
3. Click Save</t>
  </si>
  <si>
    <t>The system should reject invalid URL formats and show validation message "Invalid URL" or "Please enter a valid URI format".</t>
  </si>
  <si>
    <t>The invalid URL was successfully saved without validation error.</t>
  </si>
  <si>
    <t>Missing or broken URL validation for Redirect URI field in OAuth configuration.</t>
  </si>
  <si>
    <t>Bug_083</t>
  </si>
  <si>
    <t>Admin / Language Packages</t>
  </si>
  <si>
    <t>No warning shown when attempting to install duplicate language package</t>
  </si>
  <si>
    <t>US_021</t>
  </si>
  <si>
    <t>When Admin attempts to install a language package that is already installed, the system does not display a warning or error message indicating that the package is already installed. This may lead to confusion or unexpected behavior.</t>
  </si>
  <si>
    <t>1. Login as Admin
2. Navigate to Admin 
Configuration 
Language Packages
3. Note an already-installed language package
4. Attempt to install the same package again
5. Observe result</t>
  </si>
  <si>
    <t>System should display a warning message such as 'This language package is already installed' and prevent duplicate installation</t>
  </si>
  <si>
    <t>No warning message displayed; system proceeds without informing Admin of duplicate installation attempt</t>
  </si>
  <si>
    <t>Root Cause: No duplicate check implemented in the language package installation workflow. Backend does not validate if package already exists before proceeding with installation.</t>
  </si>
  <si>
    <t>Bug_084</t>
  </si>
  <si>
    <t>Language packages list not sorted alphabetically by default</t>
  </si>
  <si>
    <t>The Language Packages list on the Language Packages page is displayed in the order packages were installed, not in alphabetical order. This makes it difficult to find specific packages when many are installed, especially without a search function.</t>
  </si>
  <si>
    <t>1. Login as Admin
2. Install multiple language packages in non-alphabetical order (e.g., Spanish, Arabic, French)
3. Navigate to Language Packages page
4. Observe the order of listed packages</t>
  </si>
  <si>
    <t>Language packages should be listed in alphabetical order by language name by default to improve findability</t>
  </si>
  <si>
    <t>Language packages are listed in installation order, not alphabetically. For example: Spanish, Arabic, French (installation order) instead of Arabic, French, Spanish (alphabetical)</t>
  </si>
  <si>
    <t>Root Cause: The database query fetching language packages does not include an ORDER BY clause for language name. Default ordering uses insertion order.</t>
  </si>
  <si>
    <t>Bug_085</t>
  </si>
  <si>
    <t>RTL layout not fully applied when Arabic language package selected</t>
  </si>
  <si>
    <t>After installing the Arabic language package and switching the UI language to Arabic, the application does not fully implement Right-to-Left (RTL) layout. While text content is translated to Arabic, the UI layout (navigation, form alignment, button placement) remains Left-to-Right (LTR), creating a broken and inconsistent user experience for Arabic-speaking users.</t>
  </si>
  <si>
    <t>1. Login as Admin
2. Install Arabic language package
3. Navigate to Profile 
Display
4. Change language preference to Arabic
5. Observe the entire UI layout</t>
  </si>
  <si>
    <t>After selecting Arabic, the entire UI should switch to RTL layout: navigation on the right, text right-aligned, form labels on the right side, scroll direction reversed</t>
  </si>
  <si>
    <t>Only the text content is translated to Arabic; the UI layout remains LTR. Navigation bar stays on the left, forms are left-aligned, and the overall layout is inconsistent for RTL reading patterns</t>
  </si>
  <si>
    <t>Root Cause: RTL CSS stylesheet (dir='rtl') is not being applied globally when Arabic is selected. The language switching mechanism only updates text translations without toggling the layout direction attribute.</t>
  </si>
  <si>
    <t>Bug_086</t>
  </si>
  <si>
    <t>Language names not displayed in native script in Language Packages list</t>
  </si>
  <si>
    <t>The Language Packages list displays language names in English only (e.g., 'Arabic', 'French'). International best practice and user expectation is to also show the language name in its native script (e.g., Arabic: عربي, French: Français, German: Deutsch) to help non-English-speaking admins identify their language.</t>
  </si>
  <si>
    <t>1. Login as Admin
2. Navigate to Admin 
Language Packages
3. Observe the Language Name column</t>
  </si>
  <si>
    <t>Language names should be displayed in both English and their native script (e.g., 'Arabic / عربي', 'French / Français')</t>
  </si>
  <si>
    <t>Language names shown in English only; no native script displayed alongside the English name</t>
  </si>
  <si>
    <t>Root Cause: Language package metadata only stores and displays the English name. Native script name field is not included in the language package registry or the display component.</t>
  </si>
  <si>
    <t>Bug_087</t>
  </si>
  <si>
    <t>Language package version information not displayed in Language Packages list</t>
  </si>
  <si>
    <t>The Language Packages list does not display version information for installed language packages. Version information is important for administrators to know if packages are up to date and for troubleshooting translation issues.</t>
  </si>
  <si>
    <t>1. Login as Admin
2. Navigate to Admin 
Language Packages
3. Look for version column or version information for each package</t>
  </si>
  <si>
    <t>Language package version number should be visible in the packages list or in package details</t>
  </si>
  <si>
    <t>No version information is shown in the Language Packages list; only package name and status are visible without any version indicator</t>
  </si>
  <si>
    <t>Root Cause: The Language Packages list view component does not include a version column. Version metadata may exist in the database but is not being rendered in the UI list view.</t>
  </si>
  <si>
    <t>Bug_088</t>
  </si>
  <si>
    <t>Deleted language package still visible in user preferences dropdown until page refresh</t>
  </si>
  <si>
    <t>After Admin deletes a language package from the Language Packages page, the deleted language still appears in the user language preference dropdown on the User Profile/Display page. The deleted language is only removed from the dropdown after the user manually refreshes the page.</t>
  </si>
  <si>
    <t>1. Login as Admin
2. Install a non-default language package (e.g., French)
3. Navigate to User Profile 
Display
4. Verify French appears in language dropdown
5. Navigate back and delete the French language package
6. Navigate back to User Profile 
Display
7. Observe language dropdown</t>
  </si>
  <si>
    <t>After deleting a language package, it should immediately be removed from all user language preference dropdowns without requiring a page refresh</t>
  </si>
  <si>
    <t>The deleted language package (French) still appears in the user language preference dropdown. Only after manually refreshing the page does it disappear from the dropdown</t>
  </si>
  <si>
    <t>Root Cause: The user preferences dropdown uses cached language data that is not invalidated when a language package is deleted. The cache or state is only refreshed on page load.</t>
  </si>
  <si>
    <t>Bug_089</t>
  </si>
  <si>
    <t>Admin / Modules</t>
  </si>
  <si>
    <t>No search or filter functionality available on Modules page</t>
  </si>
  <si>
    <t>US_022</t>
  </si>
  <si>
    <t>The Modules configuration page does not provide any search bar or filter functionality. As the number of OrangeHRM modules grows, administrators need to be able to quickly locate specific modules without scrolling through the entire list.</t>
  </si>
  <si>
    <t>1. Login as Admin
2. Navigate to Admin 
Configuration 
Modules
3. Look for a search bar or filter option
4. Try to quickly find a specific module (e.g., 'Performance')</t>
  </si>
  <si>
    <t>A search or filter input should be available on the Modules page to allow Admin to quickly locate specific modules</t>
  </si>
  <si>
    <t>No search bar or filter option is present on the Modules page. Admin must manually scroll through the entire module list to find a specific module</t>
  </si>
  <si>
    <t>Root Cause: The Modules page UI was not designed with a search component. As it's a relatively short list currently, search was considered unnecessary, but it should be implemented for better usability as the module list grows.</t>
  </si>
  <si>
    <t>Bug_090</t>
  </si>
  <si>
    <t>Module enable/disable changes not recorded in system audit trail</t>
  </si>
  <si>
    <t>When Admin enables or disables system modules on the Modules configuration page, no corresponding entry is created in the system audit trail. This is a compliance and governance issue — all administrative configuration changes should be logged with user, timestamp, and action details.</t>
  </si>
  <si>
    <t>1. Login as Admin
2. Navigate to Admin 
Configuration 
Modules
3. Disable a module (e.g., Performance)
4. Click Save
5. Navigate to Admin 
Audit Trail
6. Search for recent module configuration changes</t>
  </si>
  <si>
    <t>Audit trail should record: which module was changed, what the change was (enabled/disabled), who made the change, and when</t>
  </si>
  <si>
    <t>No audit trail entry found for module enable/disable actions. The Modules configuration page changes are not being logged in the system audit trail</t>
  </si>
  <si>
    <t>Root Cause: The module configuration save action is not integrated with the audit logging service. Similar to BUG_008, this is a systemic gap where several configuration pages are missing audit trail integration.</t>
  </si>
  <si>
    <t>Bug_091</t>
  </si>
  <si>
    <t>No module count summary displayed on Modules page</t>
  </si>
  <si>
    <t>The Modules configuration page does not display any summary of the total number of modules, how many are currently enabled, or how many are disabled. This summary would help Admins quickly understand the system configuration at a glance.</t>
  </si>
  <si>
    <t>1. Login as Admin
2. Navigate to Admin 
Configuration 
Modules
3. Look for any count indicator showing total modules, enabled count, or disabled count</t>
  </si>
  <si>
    <t>Page should display a count summary such as 'Total: 12 modules | Enabled: 10 | Disabled: 2' for quick administrative reference</t>
  </si>
  <si>
    <t>No count summary or statistics are displayed on the Modules page; only the module list with toggles is shown</t>
  </si>
  <si>
    <t>Root Cause: Module count summary was not part of the original UI design specification. It is a UX enhancement that was not implemented in the current version.</t>
  </si>
  <si>
    <t>Bug_092</t>
  </si>
  <si>
    <t>Admin / LDAP Configuration</t>
  </si>
  <si>
    <t>LDAP Server URI field has no maximum character limit enforcement</t>
  </si>
  <si>
    <t>US_025</t>
  </si>
  <si>
    <t>The LDAP Server URI input field on the LDAP Configuration page does not enforce a maximum character limit. When an excessively long string (500+ characters) is entered in the Server URI field, the system accepts it without validation. This could cause database issues or application errors.</t>
  </si>
  <si>
    <t>1. Login as Admin
2. Navigate to Admin 
LDAP Configuration
3. Enable LDAP
4. Enter a 600-character string in the Server URI field
5. Click Save</t>
  </si>
  <si>
    <t>Field should enforce a reasonable maximum character limit (e.g., 255 characters) and display a validation error if exceeded</t>
  </si>
  <si>
    <t>Server URI field accepts 600+ character input without any validation error or character limit restriction; excessively long value is saved to the database</t>
  </si>
  <si>
    <t>Root Cause: The Server URI input field is missing the maxlength HTML attribute and corresponding backend validation for maximum length. Database column may also lack proper length constraint.</t>
  </si>
  <si>
    <t>Bug_093</t>
  </si>
  <si>
    <t>Test Connection button enabled even when required Server URI field is empty</t>
  </si>
  <si>
    <t>On the LDAP Configuration page, the 'Test Connection' button remains enabled and clickable even when the required Server URI field is empty. Clicking Test Connection with an empty Server URI results in an unhelpful generic error or unexpected behavior instead of a clear validation message.</t>
  </si>
  <si>
    <t>1. Login as Admin
2. Navigate to Admin 
LDAP Configuration
3. Enable LDAP toggle
4. Leave Server URI field empty
5. Click Test Connection button
6. Observe button state and result</t>
  </si>
  <si>
    <t>Test Connection button should be disabled/greyed out until at least the Server URI field is filled with a value. If clicked with empty required fields, a clear validation message should appear</t>
  </si>
  <si>
    <t>Test Connection button is active and clickable with empty Server URI. Clicking it either shows a generic network error or an unhelpful error message without guiding the Admin to fill the required field first</t>
  </si>
  <si>
    <t>Root Cause: The Test Connection button state is not bound to the validation state of the required Server URI field. No reactive form validation is implemented to disable the button when prerequisites are not met.</t>
  </si>
  <si>
    <t>Bug_094</t>
  </si>
  <si>
    <t>Localization / Languages</t>
  </si>
  <si>
    <t>Return to language page after editing language does not behave correctly</t>
  </si>
  <si>
    <t>US_014</t>
  </si>
  <si>
    <t>QA Environment</t>
  </si>
  <si>
    <t>TC_LANG_001</t>
  </si>
  <si>
    <t>Editing an existing language to a valid parameter does not correctly return user flow to the language page as expected.</t>
  </si>
  <si>
    <t>1. Edit existing language to valid parameter (arabic → ar) &gt; 2. Click Save</t>
  </si>
  <si>
    <t>System should update language successfully and return user to language page with updated data displayed correctly.</t>
  </si>
  <si>
    <t>User is expected to return to language page after edit operation.</t>
  </si>
  <si>
    <t>System does not correctly return to language page or update flow behaves unexpectedly after save.</t>
  </si>
  <si>
    <t>Navigation flow after language edit is not handled correctly or page redirect logic is inconsistent.</t>
  </si>
  <si>
    <t>Bug_095</t>
  </si>
  <si>
    <t>Languages</t>
  </si>
  <si>
    <t>Duplicate language creation allowed using different language representation</t>
  </si>
  <si>
    <t>TC_LANG_DUP_001</t>
  </si>
  <si>
    <t>The system allows creation of duplicate language entries using different representations of the same language (e.g., Arabic and العربيه) without proper duplicate validation.</t>
  </si>
  <si>
    <t>1. Add language "arabic" &gt; 2. Click Save &gt; 3. Click Add again &gt; 4. Add language "العربيه" &gt; 5. Click Save</t>
  </si>
  <si>
    <t>System should prevent duplicate language entries regardless of language representation and display message "Already exists".</t>
  </si>
  <si>
    <t>Second language ("العربيه") was not saved and system should block it with "Already exists" message.</t>
  </si>
  <si>
    <t>Already exists message expected but data handling is inconsistent or duplicate prevention logic is not robust.</t>
  </si>
  <si>
    <t>Language uniqueness validation should support multilingual normalization to prevent duplicates.</t>
  </si>
  <si>
    <t>Bug_096</t>
  </si>
  <si>
    <t>Pagination does not display correct records per page</t>
  </si>
  <si>
    <t>TC_LANG_PAG_001</t>
  </si>
  <si>
    <t>Pagination functionality does not correctly display records when navigating between pages in Languages module.</t>
  </si>
  <si>
    <t>Click Next/Previous page when language records exceed page size</t>
  </si>
  <si>
    <t>Each page should display correct and consistent records according to pagination rules</t>
  </si>
  <si>
    <t>Incorrect records displayed per page</t>
  </si>
  <si>
    <t>Pagination logic is not correctly mapping dataset to page view.</t>
  </si>
  <si>
    <t>Bug_097</t>
  </si>
  <si>
    <t>System stuck in infinite loading after submitting invalid language parameter</t>
  </si>
  <si>
    <t>TC_LANG_INV_001</t>
  </si>
  <si>
    <t>Adding an invalid language parameter causes system to freeze and prevents navigation back to language page.</t>
  </si>
  <si>
    <t>1. Add invalid language parameter (englishz) &gt; 2. Click Save</t>
  </si>
  <si>
    <t>System should validate input and either reject it with error message or return user to language page safely</t>
  </si>
  <si>
    <t>System gets stuck in infinite loading and does not return to language page</t>
  </si>
  <si>
    <t>System becomes unresponsive (infinite loading)</t>
  </si>
  <si>
    <t>Missing validation and error handling causes UI blocking state.</t>
  </si>
  <si>
    <t>Bug_098</t>
  </si>
  <si>
    <t>Organization Info</t>
  </si>
  <si>
    <t>Page not responsive on iPad Pro - Save button not visible</t>
  </si>
  <si>
    <t>US_008</t>
  </si>
  <si>
    <t>TC_ADMIN_325</t>
  </si>
  <si>
    <t>General Information page does not properly adapt to different screen sizes, causing UI elements to be hidden on tablet devices.</t>
  </si>
  <si>
    <t>1. Open General Information page &gt; 2. Resize browser or open on iPad Pro size &gt; 3. Observe Save button</t>
  </si>
  <si>
    <t>UI should remain fully responsive and all controls (including Save button) should be visible and accessible on all supported screen sizes.</t>
  </si>
  <si>
    <t>Save button is not visible on iPad Pro screen size.</t>
  </si>
  <si>
    <t>Aly Salem</t>
  </si>
  <si>
    <t>Responsive layout issue affecting tablet breakpoint (iPad Pro). ```</t>
  </si>
  <si>
    <t>Bug_099</t>
  </si>
  <si>
    <t>PIM – Add Employee</t>
  </si>
  <si>
    <t>System allows saving employee with empty Employee ID</t>
  </si>
  <si>
    <t>AC 088</t>
  </si>
  <si>
    <t>TC_PIM_088</t>
  </si>
  <si>
    <t>The system allows creation of an employee record without providing an Employee ID, resulting in an employee being saved with a missing identifier.</t>
  </si>
  <si>
    <t>1. Navigate to Add Employee page 
2. Enter First Name: John 
3. Enter Last Name: Doe 
4. Leave Employee ID empty 
5. Click Save</t>
  </si>
  <si>
    <t>The system should either prevent submission with a validation message or clearly define Employee ID as optional and auto-generate a unique value.</t>
  </si>
  <si>
    <t>Employee record is successfully created with an empty Employee ID.</t>
  </si>
  <si>
    <t>Missing validation or auto-generation logic for Employee ID field.</t>
  </si>
  <si>
    <t>Bug_100</t>
  </si>
  <si>
    <t>System accepts invalid special characters and numeric values in employee name fields</t>
  </si>
  <si>
    <t>AC 090</t>
  </si>
  <si>
    <t>TC_PIM_090</t>
  </si>
  <si>
    <t>The application accepts special characters and numeric values in employee name fields and creates the employee successfully.</t>
  </si>
  <si>
    <t>1. Navigate to Add Employee page 
2. Enter First Name: @@@### 
3. Enter Last Name: 12345 
4. Click Save</t>
  </si>
  <si>
    <t>Bug_101</t>
  </si>
  <si>
    <t>Leading and trailing spaces are saved in employee name fields</t>
  </si>
  <si>
    <t>AC 091</t>
  </si>
  <si>
    <t>TC_PIM_091</t>
  </si>
  <si>
    <t>The system stores employee names exactly as entered, including unnecessary leading and trailing spaces.</t>
  </si>
  <si>
    <t>1. Navigate to Add Employee page 
2. Enter First Name: " John " 
3. Enter Last Name: " Doe " 
4. Click Save</t>
  </si>
  <si>
    <t>The system should trim leading and trailing spaces before saving employee data.</t>
  </si>
  <si>
    <t>Employee data is saved with leading and trailing spaces.</t>
  </si>
  <si>
    <t>Input sanitization or trimming logic is not applied before persisting employee records.</t>
  </si>
  <si>
    <t>Bug_102</t>
  </si>
  <si>
    <t>Page refresh during data entry does not provide expected confirmation behavior</t>
  </si>
  <si>
    <t>AC 095</t>
  </si>
  <si>
    <t>TC_PIM_095</t>
  </si>
  <si>
    <t>The system refreshes normally during employee data entry without displaying the expected confirmation behavior defined by the requirement.</t>
  </si>
  <si>
    <t>1. Enter employee data 
2. Refresh browser page</t>
  </si>
  <si>
    <t>Page should refresh according to the defined confirmation behavior and allow safe continuation or restart of the process.</t>
  </si>
  <si>
    <t>Page refreshed normally without the expected confirmation behavior.</t>
  </si>
  <si>
    <t>Page refresh handling does not align with the specified requirement.</t>
  </si>
  <si>
    <t>Bug_103</t>
  </si>
  <si>
    <t>PIM – Custom Fields</t>
  </si>
  <si>
    <t>Refreshing page during edit corrupts custom field data</t>
  </si>
  <si>
    <t>AC 0173</t>
  </si>
  <si>
    <t>TC_PIM_0173</t>
  </si>
  <si>
    <t>Refreshing the browser while editing a custom field causes data corruption after reopening the record.</t>
  </si>
  <si>
    <t>1. Open Edit Custom Field form 
2. Modify field data 
3. Refresh browser page before saving 
4. Reopen same record</t>
  </si>
  <si>
    <t>Original data should remain unchanged without corruption or partial updates when refresh occurs before saving.</t>
  </si>
  <si>
    <t>Record data became corrupted after page refresh during editing.</t>
  </si>
  <si>
    <t>Unsaved edit state is improperly handled during page refresh, resulting in data corruption.</t>
  </si>
  <si>
    <t>Bug_104</t>
  </si>
  <si>
    <t>PIM – Data Import</t>
  </si>
  <si>
    <t>System accepts invalid date formats during employee data import</t>
  </si>
  <si>
    <t>AC 0194</t>
  </si>
  <si>
    <t>TC_PIM_0194</t>
  </si>
  <si>
    <t>The import process accepts date values that do not follow the required YYYY-MM-DD format.</t>
  </si>
  <si>
    <t>1. Prepare an import file with date values in formats such as 12/31/1995 and 21-05-2026 
2. Upload the file through the Data Import page 
3. Submit the import process</t>
  </si>
  <si>
    <t>The system should reject invalid date formats and display an error message indicating that dates must follow the YYYY-MM-DD format.</t>
  </si>
  <si>
    <t>The data is imported successfully even though the date formats are invalid.</t>
  </si>
  <si>
    <t>Date format validation is missing or incorrectly implemented during import processing.</t>
  </si>
  <si>
    <t>Bug_105</t>
  </si>
  <si>
    <t>System does not validate invalid gender values during employee data import</t>
  </si>
  <si>
    <t>AC 0195</t>
  </si>
  <si>
    <t>TC_PIM_0195</t>
  </si>
  <si>
    <t>The import process allows unsupported gender values such as "M" and "Other" instead of restricting entries to Male or Female.</t>
  </si>
  <si>
    <t>1. Create an import file containing gender values M, Other, and blank 
2. Upload and process the file through the Data Import page</t>
  </si>
  <si>
    <t>The system should reject unsupported values and display a validation message stating that only Male or Female are allowed. Blank values should be handled according to the specification.</t>
  </si>
  <si>
    <t>All rows are imported successfully, but the gender value of the tested rows is not imported.</t>
  </si>
  <si>
    <t>Gender field validation is not enforced during import processing.</t>
  </si>
  <si>
    <t>Bug_106</t>
  </si>
  <si>
    <t>System allows importing files exceeding maximum record limit</t>
  </si>
  <si>
    <t>AC 0196</t>
  </si>
  <si>
    <t>TC_PIM_0196</t>
  </si>
  <si>
    <t>The import process accepts files containing more than the maximum allowed number of records.</t>
  </si>
  <si>
    <t>1. Upload importData.csv containing 105 records 
2. Click Upload to process the file</t>
  </si>
  <si>
    <t>The system should reject the file and display an error indicating that the maximum allowed limit of 100 records has been exceeded. No records should be imported.</t>
  </si>
  <si>
    <t>All records are imported successfully even though the file exceeds the maximum limit.</t>
  </si>
  <si>
    <t>Maximum record count validation is not enforced during file import.</t>
  </si>
  <si>
    <t>Bug_107</t>
  </si>
  <si>
    <t>PIM – Reporting Methods</t>
  </si>
  <si>
    <t>Special characters in reporting method names cause UI layout issues</t>
  </si>
  <si>
    <t>AC 0221</t>
  </si>
  <si>
    <t>TC_PIM_0221</t>
  </si>
  <si>
    <t>Entering reporting method names containing special characters causes unexpected UI behavior and layout issues in the Reporting Methods table.</t>
  </si>
  <si>
    <t>1. Click Add button 
2. Enter reporting method name with special characters (@@@###%%%HR_Method!!!) 
3. Click Save 
4. Observe table and UI behavior</t>
  </si>
  <si>
    <t>The system should properly validate input and maintain a stable, readable UI layout.</t>
  </si>
  <si>
    <t>Special characters caused UI layout issues in the Reporting Methods table.</t>
  </si>
  <si>
    <t>Input validation or UI rendering logic does not properly handle special characters.</t>
  </si>
  <si>
    <t>Bug_108</t>
  </si>
  <si>
    <t>System allows creation of duplicate reporting methods</t>
  </si>
  <si>
    <t>AC 0222</t>
  </si>
  <si>
    <t>TC_PIM_0222</t>
  </si>
  <si>
    <t>The system allows users to create reporting methods with names that already exist in the system.</t>
  </si>
  <si>
    <t>1. Click Add button
2. Enter existing reporting method name
3. Click Cancel
4. Click Add button
5. Enter existing reporting method name
6. Click Save</t>
  </si>
  <si>
    <t>The system should prevent duplicate reporting method creation and display an appropriate validation message.</t>
  </si>
  <si>
    <t>A duplicate reporting method record was created successfully.</t>
  </si>
  <si>
    <t>Uniqueness validation for reporting method names is missing or not enforced.</t>
  </si>
  <si>
    <t>Bug_109</t>
  </si>
  <si>
    <t>Verify that the system correctly handles special characters in report method names in editing</t>
  </si>
  <si>
    <t>Bug_110</t>
  </si>
  <si>
    <t>Page refresh during edit corrupts reporting method data</t>
  </si>
  <si>
    <t>AC 0229</t>
  </si>
  <si>
    <t>TC_PIM_0229</t>
  </si>
  <si>
    <t>Refreshing the browser while editing a reporting method causes corruption of the existing record data.</t>
  </si>
  <si>
    <t>1. Open Edit form for a reporting method 
2. Modify reporting method name 
3. Do not click Save 
4. Refresh browser page (F5) 
5. Return to Reporting Methods table 
6. Open edited record again</t>
  </si>
  <si>
    <t>Unsaved changes should be discarded safely and the original reporting method data should remain unchanged.</t>
  </si>
  <si>
    <t>Reporting method data became corrupted after page refresh during the edit process.</t>
  </si>
  <si>
    <t>Unsaved edit state is not handled correctly during browser refresh, resulting in data corruption.</t>
  </si>
  <si>
    <t>Bug_111</t>
  </si>
  <si>
    <t>PIM – Termination Reasonss</t>
  </si>
  <si>
    <t>Special characters in Termination Reasons names cause UI layout issues</t>
  </si>
  <si>
    <t>AC 0244</t>
  </si>
  <si>
    <t>TC_PIM_0244</t>
  </si>
  <si>
    <t>Entering Termination Reasons names containing special characters causes unexpected UI behavior and layout issues in the Termination Reasonss table.</t>
  </si>
  <si>
    <t>1. Click Add button 
2. Enter Termination Reasons name with special characters (@@@###%%%HR_Method!!!) 
3. Click Save 
4. Observe table and UI behavior</t>
  </si>
  <si>
    <t>Special characters caused UI layout issues in Termination Reasonss table.</t>
  </si>
  <si>
    <t>Input validation or UI rendering issue with special characters.</t>
  </si>
  <si>
    <t>Bug_112</t>
  </si>
  <si>
    <t>System allows creation of duplicate Termination Reasonss</t>
  </si>
  <si>
    <t>The system allows users to create Termination Reasonss with names that already exist in the system.</t>
  </si>
  <si>
    <t>1. Click Add button 
2. Enter an existing Termination Reasons name (HR Approval) 
3. Click Save</t>
  </si>
  <si>
    <t>The system should prevent duplicate Termination Reasons creation and display an appropriate validation message.</t>
  </si>
  <si>
    <t>A duplicate Termination Reasons record was created successfully.</t>
  </si>
  <si>
    <t>Uniqueness validation for Termination Reasons names is missing or not enforced.</t>
  </si>
  <si>
    <t>Bug_113</t>
  </si>
  <si>
    <t>Special characters caused UI layout issues in the Termination Reasonss table.</t>
  </si>
  <si>
    <t>Bug_114</t>
  </si>
  <si>
    <t>Page refresh during edit corrupts Termination Reasons data</t>
  </si>
  <si>
    <t>AC 0252</t>
  </si>
  <si>
    <t>TC_PIM_0252</t>
  </si>
  <si>
    <t>Refreshing the browser while editing a Termination Reasons causes corruption of the existing record data.</t>
  </si>
  <si>
    <t>1. Open Edit form for a Termination Reasons 
2. Modify Termination Reasons name 
3. Do not click Save 
4. Refresh browser (F5) 
5. Return to Termination Reasonss table 
6. Open edited record again</t>
  </si>
  <si>
    <t>Termination Reasons data became corrupted after page refresh during edit process.</t>
  </si>
  <si>
    <t>Unsaved edit state is not handled correctly during refresh causing data corruption.</t>
  </si>
  <si>
    <t>Bug_115</t>
  </si>
  <si>
    <t>PIM – Reports</t>
  </si>
  <si>
    <t>View filter does not return correct results for search query</t>
  </si>
  <si>
    <t>AC 0264</t>
  </si>
  <si>
    <t>TC_PIM_0264</t>
  </si>
  <si>
    <t>The search filter on Reports page does not correctly return matching results when a valid query is entered.</t>
  </si>
  <si>
    <t>1. Enter search query "Sample" in Report Name field 
2. Click Search button 
3. Observe results table</t>
  </si>
  <si>
    <t>Only records matching the search term "Sample" should be displayed in the table.</t>
  </si>
  <si>
    <t>Search returns invalid or incorrect results even when matching report exists.</t>
  </si>
  <si>
    <t>Search/filter logic is not correctly matching query against report names.</t>
  </si>
  <si>
    <t>Bug_116</t>
  </si>
  <si>
    <t>Search Filters</t>
  </si>
  <si>
    <t>Reset button does not clear From Date and To Date fields</t>
  </si>
  <si>
    <t>US_027</t>
  </si>
  <si>
    <t>TC_RESET_DT_001</t>
  </si>
  <si>
    <t>The Reset button fails to clear date filter fields, leaving previously entered values displayed.</t>
  </si>
  <si>
    <t>1. Enter From Date (01-05-2026) &gt; 2. Enter To Date (31-05-2026) &gt; 3. Click Reset &gt; 4. Observe date fields</t>
  </si>
  <si>
    <t>Reset button should clear both From Date and To Date fields completely.</t>
  </si>
  <si>
    <t>Date values remained displayed and were not cleared after clicking Reset.</t>
  </si>
  <si>
    <t>Reset functionality does not properly clear filter state.</t>
  </si>
  <si>
    <t>Team member</t>
  </si>
  <si>
    <t>No. of test cases reported</t>
  </si>
  <si>
    <t>No. of test cases detected</t>
  </si>
  <si>
    <t>Bug Severity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</si>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</sst>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font>
    <font>
      <b/>
      <sz val="11"/>
      <color theme="1"/>
      <name val="Calibri"/>
      <family val="2"/>
    </font>
    <font>
      <sz val="10"/>
      <color rgb="FF000000"/>
      <name val="Calibri"/>
      <family val="2"/>
    </font>
    <font>
      <b/>
      <sz val="10"/>
      <color theme="1"/>
      <name val="Calibri"/>
      <family val="2"/>
    </font>
    <font>
      <sz val="10.5"/>
      <color rgb="FF000000"/>
      <name val="Calibri"/>
      <family val="2"/>
    </font>
    <font>
      <sz val="10"/>
      <name val="Calibri"/>
      <family val="2"/>
    </font>
    <font>
      <b/>
      <sz val="10.5"/>
      <color theme="1"/>
      <name val="Calibri"/>
      <family val="2"/>
    </font>
    <font>
      <b/>
      <sz val="10.5"/>
      <name val="Calibri"/>
      <family val="2"/>
    </font>
    <font>
      <u/>
      <sz val="10.5"/>
      <color rgb="FF000000"/>
      <name val="Calibri"/>
      <family val="2"/>
    </font>
    <font>
      <sz val="10"/>
      <color rgb="FF000000"/>
      <name val="Arial"/>
      <family val="2"/>
    </font>
    <font>
      <b/>
      <sz val="10"/>
      <color theme="1"/>
      <name val="Arial"/>
      <family val="2"/>
    </font>
    <font>
      <u/>
      <sz val="11"/>
      <color rgb="FF000000"/>
      <name val="Calibri"/>
      <family val="2"/>
    </font>
    <font>
      <sz val="11"/>
      <color rgb="FFE26B0A"/>
      <name val="Calibri"/>
      <family val="2"/>
    </font>
    <font>
      <u/>
      <sz val="11"/>
      <color rgb="FF0000FF"/>
      <name val="Calibri"/>
      <family val="2"/>
    </font>
    <font>
      <sz val="10"/>
      <name val="Calibri"/>
    </font>
    <font>
      <sz val="11"/>
      <color rgb="FF000000"/>
      <name val="Calibri"/>
    </font>
    <font>
      <b/>
      <sz val="16"/>
      <color rgb="FFC00000"/>
      <name val="Calibri"/>
      <family val="2"/>
      <scheme val="minor"/>
    </font>
    <font>
      <sz val="14"/>
      <color theme="1"/>
      <name val="Calibri"/>
      <family val="2"/>
      <scheme val="minor"/>
    </font>
    <font>
      <b/>
      <sz val="11"/>
      <color rgb="FFFFFFFF"/>
      <name val="Calibri"/>
      <family val="2"/>
      <scheme val="minor"/>
    </font>
  </fonts>
  <fills count="12">
    <fill>
      <patternFill patternType="none"/>
    </fill>
    <fill>
      <patternFill patternType="gray125"/>
    </fill>
    <fill>
      <patternFill patternType="solid">
        <fgColor rgb="FFFB7D1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rgb="FFE7E6E6"/>
        <bgColor indexed="64"/>
      </patternFill>
    </fill>
    <fill>
      <patternFill patternType="solid">
        <fgColor rgb="FFFF0000"/>
        <bgColor indexed="64"/>
      </patternFill>
    </fill>
    <fill>
      <patternFill patternType="solid">
        <fgColor theme="9" tint="-0.249977111117893"/>
        <bgColor indexed="64"/>
      </patternFill>
    </fill>
    <fill>
      <patternFill patternType="solid">
        <fgColor rgb="FFC00000"/>
        <bgColor indexed="64"/>
      </patternFill>
    </fill>
  </fills>
  <borders count="4">
    <border>
      <left/>
      <right/>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12">
    <xf numFmtId="0" fontId="0" fillId="0" borderId="0" xfId="0"/>
    <xf numFmtId="0" fontId="3" fillId="2" borderId="0" xfId="0" applyFont="1" applyFill="1" applyAlignment="1">
      <alignment horizontal="center" vertical="center" wrapText="1"/>
    </xf>
    <xf numFmtId="0" fontId="0" fillId="3" borderId="0" xfId="0" applyFill="1" applyAlignment="1">
      <alignment vertical="center" wrapText="1"/>
    </xf>
    <xf numFmtId="0" fontId="0" fillId="3" borderId="0" xfId="0" applyFill="1"/>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3" fillId="0" borderId="0" xfId="0" applyFont="1" applyAlignment="1">
      <alignment vertical="center" wrapText="1"/>
    </xf>
    <xf numFmtId="0" fontId="5" fillId="0" borderId="0" xfId="1" applyFill="1" applyBorder="1" applyAlignment="1">
      <alignment vertical="center" wrapText="1"/>
    </xf>
    <xf numFmtId="15" fontId="0" fillId="0" borderId="0" xfId="0" applyNumberFormat="1" applyAlignment="1">
      <alignment vertical="center" wrapText="1"/>
    </xf>
    <xf numFmtId="0" fontId="0" fillId="0" borderId="0" xfId="0"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5" fillId="0" borderId="0" xfId="1" applyAlignment="1">
      <alignment vertical="center" wrapText="1"/>
    </xf>
    <xf numFmtId="14" fontId="6" fillId="0" borderId="0" xfId="0" applyNumberFormat="1" applyFont="1" applyAlignment="1">
      <alignment vertical="center" wrapText="1"/>
    </xf>
    <xf numFmtId="0" fontId="1" fillId="0" borderId="0" xfId="0" applyFont="1" applyAlignment="1">
      <alignment vertical="center" wrapText="1"/>
    </xf>
    <xf numFmtId="0" fontId="6" fillId="0" borderId="0" xfId="0" applyFont="1" applyAlignment="1">
      <alignment vertical="center"/>
    </xf>
    <xf numFmtId="0" fontId="6" fillId="4" borderId="0" xfId="0" applyFont="1" applyFill="1" applyAlignment="1">
      <alignment vertical="center" wrapText="1"/>
    </xf>
    <xf numFmtId="0" fontId="6" fillId="4" borderId="0" xfId="0" applyFont="1" applyFill="1" applyAlignment="1">
      <alignment horizontal="center" vertical="center" wrapText="1"/>
    </xf>
    <xf numFmtId="0" fontId="7" fillId="4" borderId="0" xfId="0" applyFont="1" applyFill="1" applyAlignment="1">
      <alignment vertical="center" wrapText="1"/>
    </xf>
    <xf numFmtId="0" fontId="0" fillId="4" borderId="0" xfId="0" applyFill="1" applyAlignment="1">
      <alignment vertical="center" wrapText="1"/>
    </xf>
    <xf numFmtId="0" fontId="6" fillId="4" borderId="0" xfId="0" applyFont="1" applyFill="1" applyAlignment="1">
      <alignment vertical="center"/>
    </xf>
    <xf numFmtId="14" fontId="6" fillId="4" borderId="0" xfId="0" applyNumberFormat="1" applyFont="1" applyFill="1" applyAlignment="1">
      <alignment vertical="center" wrapText="1"/>
    </xf>
    <xf numFmtId="0" fontId="0" fillId="4" borderId="0" xfId="0" applyFill="1"/>
    <xf numFmtId="0" fontId="8" fillId="0" borderId="0" xfId="0" applyFont="1" applyAlignment="1">
      <alignment vertical="center" wrapText="1"/>
    </xf>
    <xf numFmtId="0" fontId="8" fillId="0" borderId="0" xfId="0" applyFont="1" applyAlignment="1">
      <alignment horizontal="center" vertical="center" wrapText="1"/>
    </xf>
    <xf numFmtId="0" fontId="9" fillId="0" borderId="0" xfId="0" applyFont="1" applyAlignment="1">
      <alignment vertical="center" wrapText="1"/>
    </xf>
    <xf numFmtId="0" fontId="8" fillId="0" borderId="0" xfId="0" quotePrefix="1" applyFont="1" applyAlignment="1">
      <alignment vertical="center" wrapText="1"/>
    </xf>
    <xf numFmtId="0" fontId="10" fillId="0" borderId="0" xfId="0" applyFont="1" applyAlignment="1">
      <alignment vertical="center" wrapText="1"/>
    </xf>
    <xf numFmtId="0" fontId="11" fillId="0" borderId="0" xfId="0" applyFont="1" applyAlignment="1">
      <alignment horizontal="center" vertical="center" wrapText="1"/>
    </xf>
    <xf numFmtId="0" fontId="12" fillId="0" borderId="0" xfId="0" applyFont="1" applyAlignment="1">
      <alignment vertical="center" wrapText="1"/>
    </xf>
    <xf numFmtId="0" fontId="11" fillId="0" borderId="0" xfId="0" applyFont="1" applyAlignment="1">
      <alignment vertical="center" wrapText="1"/>
    </xf>
    <xf numFmtId="0" fontId="5" fillId="0" borderId="0" xfId="1" applyFill="1" applyAlignment="1">
      <alignment vertical="center"/>
    </xf>
    <xf numFmtId="0" fontId="10" fillId="0" borderId="0" xfId="0" quotePrefix="1"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0" fillId="5" borderId="0" xfId="0" applyFill="1" applyAlignment="1">
      <alignment vertical="center" wrapText="1"/>
    </xf>
    <xf numFmtId="0" fontId="10" fillId="5" borderId="0" xfId="0" applyFont="1" applyFill="1" applyAlignment="1">
      <alignment vertical="center" wrapText="1"/>
    </xf>
    <xf numFmtId="0" fontId="11" fillId="5" borderId="0" xfId="0" applyFont="1" applyFill="1" applyAlignment="1">
      <alignment horizontal="center" vertical="center" wrapText="1"/>
    </xf>
    <xf numFmtId="0" fontId="12" fillId="5" borderId="0" xfId="0" applyFont="1" applyFill="1" applyAlignment="1">
      <alignment vertical="center" wrapText="1"/>
    </xf>
    <xf numFmtId="0" fontId="5" fillId="5" borderId="0" xfId="1" applyFill="1" applyAlignment="1">
      <alignment vertical="center" wrapText="1"/>
    </xf>
    <xf numFmtId="0" fontId="6" fillId="5" borderId="0" xfId="0" applyFont="1" applyFill="1" applyAlignment="1">
      <alignment vertical="center" wrapText="1"/>
    </xf>
    <xf numFmtId="0" fontId="0" fillId="5" borderId="0" xfId="0" applyFill="1"/>
    <xf numFmtId="0" fontId="5" fillId="5" borderId="0" xfId="1" applyFill="1" applyAlignment="1">
      <alignment horizontal="left"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vertical="center" wrapText="1"/>
    </xf>
    <xf numFmtId="0" fontId="5" fillId="0" borderId="0" xfId="1" applyAlignment="1">
      <alignment horizontal="left" vertical="center" wrapText="1"/>
    </xf>
    <xf numFmtId="0" fontId="15" fillId="0" borderId="0" xfId="0" applyFont="1" applyAlignment="1">
      <alignment vertical="center"/>
    </xf>
    <xf numFmtId="0" fontId="0" fillId="5" borderId="0" xfId="0" applyFill="1" applyAlignment="1">
      <alignmen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wrapText="1"/>
    </xf>
    <xf numFmtId="0" fontId="16" fillId="5" borderId="0" xfId="0" applyFont="1" applyFill="1" applyAlignment="1">
      <alignment vertical="center" wrapText="1"/>
    </xf>
    <xf numFmtId="0" fontId="15" fillId="5" borderId="0" xfId="0" applyFont="1" applyFill="1" applyAlignment="1">
      <alignment vertical="center"/>
    </xf>
    <xf numFmtId="0" fontId="0" fillId="5" borderId="0" xfId="0" applyFill="1" applyAlignment="1">
      <alignment wrapText="1"/>
    </xf>
    <xf numFmtId="0" fontId="15" fillId="0" borderId="0" xfId="0" applyFont="1" applyAlignment="1">
      <alignment wrapText="1"/>
    </xf>
    <xf numFmtId="0" fontId="0" fillId="0" borderId="0" xfId="0" applyAlignment="1">
      <alignment wrapText="1"/>
    </xf>
    <xf numFmtId="14" fontId="0" fillId="0" borderId="0" xfId="0" applyNumberFormat="1" applyAlignment="1">
      <alignment vertical="center"/>
    </xf>
    <xf numFmtId="0" fontId="11" fillId="0" borderId="0" xfId="0" applyFont="1" applyAlignment="1">
      <alignment horizontal="left" vertical="center" wrapText="1"/>
    </xf>
    <xf numFmtId="0" fontId="9"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xf>
    <xf numFmtId="14" fontId="0" fillId="0" borderId="0" xfId="0" applyNumberFormat="1" applyAlignment="1">
      <alignment horizontal="left" vertical="center"/>
    </xf>
    <xf numFmtId="0" fontId="11" fillId="0" borderId="0" xfId="0" applyFont="1" applyAlignment="1">
      <alignment wrapText="1"/>
    </xf>
    <xf numFmtId="14" fontId="0" fillId="0" borderId="0" xfId="0" applyNumberFormat="1"/>
    <xf numFmtId="14" fontId="0" fillId="0" borderId="0" xfId="0" applyNumberFormat="1" applyAlignment="1">
      <alignment wrapText="1"/>
    </xf>
    <xf numFmtId="0" fontId="6" fillId="5" borderId="0" xfId="0" applyFont="1" applyFill="1" applyAlignment="1">
      <alignment horizontal="center" vertical="center" wrapText="1"/>
    </xf>
    <xf numFmtId="0" fontId="6" fillId="5" borderId="0" xfId="0" applyFont="1" applyFill="1" applyAlignment="1">
      <alignment wrapText="1"/>
    </xf>
    <xf numFmtId="0" fontId="7" fillId="5" borderId="0" xfId="0" applyFont="1" applyFill="1" applyAlignment="1">
      <alignment vertical="center" wrapText="1"/>
    </xf>
    <xf numFmtId="0" fontId="17" fillId="5" borderId="0" xfId="0" applyFont="1" applyFill="1" applyAlignment="1">
      <alignment wrapText="1"/>
    </xf>
    <xf numFmtId="0" fontId="18" fillId="5" borderId="0" xfId="0" applyFont="1" applyFill="1" applyAlignment="1">
      <alignment wrapText="1"/>
    </xf>
    <xf numFmtId="0" fontId="5" fillId="5" borderId="0" xfId="1" applyFill="1" applyAlignment="1">
      <alignment vertical="center"/>
    </xf>
    <xf numFmtId="0" fontId="19" fillId="5" borderId="0" xfId="0" applyFont="1" applyFill="1" applyAlignment="1">
      <alignment vertical="center" wrapText="1"/>
    </xf>
    <xf numFmtId="0" fontId="6" fillId="0" borderId="0" xfId="0" applyFont="1" applyAlignment="1">
      <alignment wrapText="1"/>
    </xf>
    <xf numFmtId="0" fontId="19" fillId="0" borderId="0" xfId="0" applyFont="1" applyAlignment="1">
      <alignment vertical="center" wrapText="1"/>
    </xf>
    <xf numFmtId="0" fontId="18" fillId="0" borderId="0" xfId="0" applyFont="1" applyAlignment="1">
      <alignment wrapText="1"/>
    </xf>
    <xf numFmtId="0" fontId="19" fillId="0" borderId="0" xfId="0" applyFont="1" applyAlignment="1">
      <alignment wrapText="1"/>
    </xf>
    <xf numFmtId="0" fontId="8" fillId="0" borderId="0" xfId="0" applyFont="1" applyAlignment="1">
      <alignment wrapText="1"/>
    </xf>
    <xf numFmtId="0" fontId="0" fillId="0" borderId="0" xfId="0" applyAlignment="1">
      <alignment horizontal="center" vertical="center"/>
    </xf>
    <xf numFmtId="0" fontId="3" fillId="0" borderId="0" xfId="0" applyFont="1" applyAlignment="1">
      <alignment vertical="center"/>
    </xf>
    <xf numFmtId="0" fontId="20" fillId="6" borderId="0" xfId="0" applyFont="1" applyFill="1" applyAlignment="1">
      <alignment vertical="center" wrapText="1"/>
    </xf>
    <xf numFmtId="0" fontId="20" fillId="6" borderId="0" xfId="0" applyFont="1" applyFill="1" applyAlignment="1">
      <alignment horizontal="center" vertical="center" wrapText="1"/>
    </xf>
    <xf numFmtId="0" fontId="9" fillId="6" borderId="0" xfId="0" applyFont="1" applyFill="1" applyAlignment="1">
      <alignment vertical="center" wrapText="1"/>
    </xf>
    <xf numFmtId="0" fontId="0" fillId="6" borderId="0" xfId="0" applyFill="1" applyAlignment="1">
      <alignment vertical="center" wrapText="1"/>
    </xf>
    <xf numFmtId="0" fontId="11" fillId="6" borderId="0" xfId="0" applyFont="1" applyFill="1" applyAlignment="1">
      <alignment vertical="center" wrapText="1"/>
    </xf>
    <xf numFmtId="0" fontId="21" fillId="6" borderId="0" xfId="0" applyFont="1" applyFill="1" applyAlignment="1">
      <alignment vertical="center" wrapText="1"/>
    </xf>
    <xf numFmtId="14" fontId="0" fillId="6" borderId="0" xfId="0" applyNumberFormat="1" applyFill="1" applyAlignment="1">
      <alignment vertical="center"/>
    </xf>
    <xf numFmtId="0" fontId="0" fillId="6" borderId="0" xfId="0" applyFill="1" applyAlignment="1">
      <alignment wrapText="1"/>
    </xf>
    <xf numFmtId="0" fontId="0" fillId="6" borderId="0" xfId="0" applyFill="1"/>
    <xf numFmtId="0" fontId="20" fillId="0" borderId="0" xfId="0" applyFont="1" applyAlignment="1">
      <alignment vertical="center" wrapText="1"/>
    </xf>
    <xf numFmtId="0" fontId="20" fillId="0" borderId="0" xfId="0" applyFont="1" applyAlignment="1">
      <alignment horizontal="center" vertical="center" wrapText="1"/>
    </xf>
    <xf numFmtId="0" fontId="21" fillId="0" borderId="0" xfId="0" applyFont="1" applyAlignment="1">
      <alignment vertical="center" wrapText="1"/>
    </xf>
    <xf numFmtId="0" fontId="20" fillId="5" borderId="0" xfId="0" applyFont="1" applyFill="1" applyAlignment="1">
      <alignment vertical="center" wrapText="1"/>
    </xf>
    <xf numFmtId="0" fontId="20" fillId="5" borderId="0" xfId="0" applyFont="1" applyFill="1" applyAlignment="1">
      <alignment horizontal="center" vertical="center" wrapText="1"/>
    </xf>
    <xf numFmtId="0" fontId="9" fillId="5" borderId="0" xfId="0" applyFont="1" applyFill="1" applyAlignment="1">
      <alignment vertical="center" wrapText="1"/>
    </xf>
    <xf numFmtId="0" fontId="11" fillId="5" borderId="0" xfId="0" applyFont="1" applyFill="1" applyAlignment="1">
      <alignment vertical="center" wrapText="1"/>
    </xf>
    <xf numFmtId="0" fontId="21" fillId="5" borderId="0" xfId="0" applyFont="1" applyFill="1" applyAlignment="1">
      <alignment vertical="center" wrapText="1"/>
    </xf>
    <xf numFmtId="14" fontId="0" fillId="5" borderId="0" xfId="0" applyNumberFormat="1" applyFill="1" applyAlignment="1">
      <alignment vertical="center"/>
    </xf>
    <xf numFmtId="0" fontId="4" fillId="7" borderId="0" xfId="0" applyFont="1" applyFill="1" applyAlignment="1">
      <alignment horizontal="center" vertical="center"/>
    </xf>
    <xf numFmtId="0" fontId="22" fillId="8" borderId="1" xfId="0" applyFont="1" applyFill="1" applyBorder="1" applyAlignment="1">
      <alignment horizontal="center" vertical="center"/>
    </xf>
    <xf numFmtId="0" fontId="22" fillId="8" borderId="2" xfId="0" applyFont="1" applyFill="1" applyBorder="1" applyAlignment="1">
      <alignment horizontal="center" vertical="center"/>
    </xf>
    <xf numFmtId="0" fontId="23" fillId="0" borderId="3" xfId="0" applyFont="1" applyBorder="1" applyAlignment="1">
      <alignment vertical="center" wrapText="1"/>
    </xf>
    <xf numFmtId="0" fontId="2" fillId="9" borderId="3" xfId="0" applyFont="1" applyFill="1" applyBorder="1" applyAlignment="1">
      <alignment vertical="center" wrapText="1"/>
    </xf>
    <xf numFmtId="0" fontId="23" fillId="0" borderId="3" xfId="0" applyFont="1" applyBorder="1" applyAlignment="1">
      <alignment horizontal="left" vertical="center" wrapText="1"/>
    </xf>
    <xf numFmtId="0" fontId="4" fillId="10" borderId="0" xfId="0" applyFont="1" applyFill="1" applyAlignment="1">
      <alignment horizontal="right" vertical="center"/>
    </xf>
    <xf numFmtId="0" fontId="3" fillId="3" borderId="3" xfId="0" applyFont="1" applyFill="1" applyBorder="1" applyAlignment="1">
      <alignment vertical="center" wrapText="1"/>
    </xf>
    <xf numFmtId="0" fontId="3" fillId="0" borderId="3" xfId="0" applyFont="1" applyBorder="1" applyAlignment="1">
      <alignment vertical="center" wrapText="1"/>
    </xf>
    <xf numFmtId="0" fontId="24" fillId="11" borderId="3" xfId="0" applyFont="1" applyFill="1" applyBorder="1" applyAlignment="1">
      <alignment vertical="center" wrapText="1"/>
    </xf>
    <xf numFmtId="0" fontId="0" fillId="0" borderId="3" xfId="0" applyBorder="1" applyAlignment="1">
      <alignment wrapText="1"/>
    </xf>
    <xf numFmtId="0" fontId="0" fillId="0" borderId="3" xfId="0" applyBorder="1" applyAlignment="1">
      <alignment vertical="center" wrapText="1"/>
    </xf>
  </cellXfs>
  <cellStyles count="2">
    <cellStyle name="Hyperlink" xfId="1" builtinId="8"/>
    <cellStyle name="Normal" xfId="0" builtinId="0"/>
  </cellStyles>
  <dxfs count="7">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R8wzKEIy2DvoaLllUSkf32SqBYssERaM&amp;usp=drive_copy" TargetMode="External"/><Relationship Id="rId1" Type="http://schemas.openxmlformats.org/officeDocument/2006/relationships/hyperlink" Target="https://drive.google.com/open?id=1iaIQ9FdLIvMj0pNKl406TaBExVOTQW0M&amp;usp=drive_co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C189-C5CA-41CA-B01B-DE6507E0116D}">
  <dimension ref="A1:T148"/>
  <sheetViews>
    <sheetView tabSelected="1" zoomScale="78" zoomScaleNormal="100" workbookViewId="0">
      <pane xSplit="1" ySplit="1" topLeftCell="B2" activePane="bottomRight" state="frozen"/>
      <selection pane="topRight" activeCell="B1" sqref="B1"/>
      <selection pane="bottomLeft" activeCell="A2" sqref="A2"/>
      <selection pane="bottomRight" activeCell="A31" sqref="A31"/>
    </sheetView>
  </sheetViews>
  <sheetFormatPr defaultColWidth="9.109375" defaultRowHeight="14.4" x14ac:dyDescent="0.3"/>
  <cols>
    <col min="1" max="1" width="19.88671875" bestFit="1" customWidth="1"/>
    <col min="2" max="2" width="24.44140625" style="10" customWidth="1"/>
    <col min="3" max="3" width="52.109375" style="10" customWidth="1"/>
    <col min="4" max="4" width="12.109375" style="80" customWidth="1"/>
    <col min="5" max="5" width="11.33203125" customWidth="1"/>
    <col min="6" max="6" width="9.109375" style="81"/>
    <col min="7" max="7" width="18" customWidth="1"/>
    <col min="8" max="8" width="18.109375" style="10" bestFit="1" customWidth="1"/>
    <col min="9" max="9" width="7.88671875" customWidth="1"/>
    <col min="10" max="10" width="45.88671875" style="10" customWidth="1"/>
    <col min="11" max="11" width="41.88671875" style="10" customWidth="1"/>
    <col min="12" max="12" width="40.33203125" style="10" customWidth="1"/>
    <col min="13" max="13" width="36.44140625" style="10" customWidth="1"/>
    <col min="14" max="14" width="22.33203125" customWidth="1"/>
    <col min="15" max="15" width="9.33203125" customWidth="1"/>
    <col min="16" max="16" width="17.44140625" style="10" customWidth="1"/>
    <col min="17" max="17" width="12.88671875" style="10" customWidth="1"/>
    <col min="19" max="19" width="50" customWidth="1"/>
    <col min="20" max="20" width="36.5546875" style="58" bestFit="1" customWidth="1"/>
  </cols>
  <sheetData>
    <row r="1" spans="1:20" s="3" customFormat="1"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row>
    <row r="2" spans="1:20" ht="57.6" x14ac:dyDescent="0.3">
      <c r="A2" s="4" t="s">
        <v>19</v>
      </c>
      <c r="B2" s="4" t="s">
        <v>20</v>
      </c>
      <c r="C2" s="5" t="s">
        <v>21</v>
      </c>
      <c r="D2" s="6" t="s">
        <v>22</v>
      </c>
      <c r="E2" s="4"/>
      <c r="F2" s="7" t="s">
        <v>23</v>
      </c>
      <c r="G2" s="4" t="s">
        <v>24</v>
      </c>
      <c r="H2" s="8" t="s">
        <v>25</v>
      </c>
      <c r="I2" s="8"/>
      <c r="J2" s="4" t="s">
        <v>26</v>
      </c>
      <c r="K2" s="4" t="s">
        <v>27</v>
      </c>
      <c r="L2" s="4" t="s">
        <v>28</v>
      </c>
      <c r="M2" s="4" t="s">
        <v>29</v>
      </c>
      <c r="N2" s="4"/>
      <c r="O2" s="4" t="s">
        <v>30</v>
      </c>
      <c r="P2" s="4"/>
      <c r="Q2" s="4" t="s">
        <v>31</v>
      </c>
      <c r="R2" s="9"/>
      <c r="S2" s="4"/>
      <c r="T2" s="4"/>
    </row>
    <row r="3" spans="1:20" s="10" customFormat="1" ht="43.2" x14ac:dyDescent="0.3">
      <c r="A3" s="4" t="s">
        <v>32</v>
      </c>
      <c r="B3" s="4" t="s">
        <v>20</v>
      </c>
      <c r="C3" s="4" t="s">
        <v>33</v>
      </c>
      <c r="D3" s="6" t="s">
        <v>22</v>
      </c>
      <c r="E3" s="4"/>
      <c r="F3" s="7" t="s">
        <v>34</v>
      </c>
      <c r="G3" s="4" t="s">
        <v>24</v>
      </c>
      <c r="H3" s="8" t="s">
        <v>35</v>
      </c>
      <c r="I3" s="4"/>
      <c r="J3" s="4" t="s">
        <v>36</v>
      </c>
      <c r="K3" s="4" t="s">
        <v>37</v>
      </c>
      <c r="L3" s="4" t="s">
        <v>38</v>
      </c>
      <c r="M3" s="4" t="s">
        <v>39</v>
      </c>
      <c r="N3" s="4"/>
      <c r="O3" s="4" t="s">
        <v>30</v>
      </c>
      <c r="P3" s="4"/>
      <c r="Q3" s="4" t="s">
        <v>31</v>
      </c>
      <c r="R3" s="4"/>
      <c r="S3" s="4"/>
      <c r="T3" s="4"/>
    </row>
    <row r="4" spans="1:20" ht="72" x14ac:dyDescent="0.3">
      <c r="A4" s="4" t="s">
        <v>40</v>
      </c>
      <c r="B4" s="11" t="s">
        <v>20</v>
      </c>
      <c r="C4" s="11" t="s">
        <v>41</v>
      </c>
      <c r="D4" s="12" t="s">
        <v>42</v>
      </c>
      <c r="E4" s="11"/>
      <c r="F4" s="13" t="s">
        <v>43</v>
      </c>
      <c r="G4" s="4" t="s">
        <v>24</v>
      </c>
      <c r="H4" s="14" t="s">
        <v>44</v>
      </c>
      <c r="I4" s="11"/>
      <c r="J4" s="11" t="s">
        <v>45</v>
      </c>
      <c r="K4" s="11" t="s">
        <v>46</v>
      </c>
      <c r="L4" s="11" t="s">
        <v>47</v>
      </c>
      <c r="M4" s="11" t="s">
        <v>48</v>
      </c>
      <c r="N4" s="8" t="s">
        <v>49</v>
      </c>
      <c r="O4" s="4" t="s">
        <v>30</v>
      </c>
      <c r="P4" s="11" t="s">
        <v>42</v>
      </c>
      <c r="Q4" s="11" t="s">
        <v>42</v>
      </c>
      <c r="R4" s="15"/>
      <c r="S4" s="4" t="s">
        <v>50</v>
      </c>
      <c r="T4" s="4"/>
    </row>
    <row r="5" spans="1:20" s="10" customFormat="1" ht="86.4" x14ac:dyDescent="0.3">
      <c r="A5" s="4" t="s">
        <v>51</v>
      </c>
      <c r="B5" s="4" t="s">
        <v>20</v>
      </c>
      <c r="C5" s="4" t="s">
        <v>52</v>
      </c>
      <c r="D5" s="6" t="s">
        <v>22</v>
      </c>
      <c r="E5" s="4"/>
      <c r="F5" s="7" t="s">
        <v>43</v>
      </c>
      <c r="G5" s="4" t="s">
        <v>24</v>
      </c>
      <c r="H5" s="8" t="s">
        <v>53</v>
      </c>
      <c r="I5" s="4"/>
      <c r="J5" s="4" t="s">
        <v>54</v>
      </c>
      <c r="K5" s="4" t="s">
        <v>55</v>
      </c>
      <c r="L5" s="4" t="s">
        <v>56</v>
      </c>
      <c r="M5" s="4" t="s">
        <v>57</v>
      </c>
      <c r="N5" s="4"/>
      <c r="O5" s="4" t="s">
        <v>30</v>
      </c>
      <c r="P5" s="4"/>
      <c r="Q5" s="4" t="s">
        <v>31</v>
      </c>
      <c r="R5" s="4"/>
      <c r="S5" s="4"/>
      <c r="T5" s="4"/>
    </row>
    <row r="6" spans="1:20" s="4" customFormat="1" ht="43.2" x14ac:dyDescent="0.3">
      <c r="A6" s="4" t="s">
        <v>58</v>
      </c>
      <c r="B6" s="4" t="s">
        <v>20</v>
      </c>
      <c r="C6" s="4" t="s">
        <v>59</v>
      </c>
      <c r="D6" s="6" t="s">
        <v>22</v>
      </c>
      <c r="F6" s="7" t="s">
        <v>43</v>
      </c>
      <c r="G6" s="4" t="s">
        <v>24</v>
      </c>
      <c r="H6" s="8" t="s">
        <v>60</v>
      </c>
      <c r="J6" s="4" t="s">
        <v>61</v>
      </c>
      <c r="K6" s="16" t="s">
        <v>62</v>
      </c>
      <c r="L6" s="4" t="s">
        <v>63</v>
      </c>
      <c r="M6" s="4" t="s">
        <v>64</v>
      </c>
      <c r="N6" s="8"/>
      <c r="O6" s="4" t="s">
        <v>30</v>
      </c>
      <c r="Q6" s="4" t="s">
        <v>31</v>
      </c>
      <c r="T6" s="4" t="s">
        <v>65</v>
      </c>
    </row>
    <row r="7" spans="1:20" s="4" customFormat="1" ht="72" x14ac:dyDescent="0.3">
      <c r="A7" s="4" t="s">
        <v>66</v>
      </c>
      <c r="B7" s="4" t="s">
        <v>20</v>
      </c>
      <c r="C7" s="4" t="s">
        <v>67</v>
      </c>
      <c r="D7" s="6" t="s">
        <v>22</v>
      </c>
      <c r="F7" s="7" t="s">
        <v>43</v>
      </c>
      <c r="G7" s="4" t="s">
        <v>24</v>
      </c>
      <c r="H7" s="8" t="s">
        <v>68</v>
      </c>
      <c r="J7" s="4" t="s">
        <v>69</v>
      </c>
      <c r="K7" s="4" t="s">
        <v>70</v>
      </c>
      <c r="L7" s="4" t="s">
        <v>71</v>
      </c>
      <c r="M7" s="4" t="s">
        <v>72</v>
      </c>
      <c r="N7" s="14" t="s">
        <v>73</v>
      </c>
      <c r="O7" s="4" t="s">
        <v>30</v>
      </c>
      <c r="Q7" s="4" t="s">
        <v>31</v>
      </c>
    </row>
    <row r="8" spans="1:20" s="4" customFormat="1" ht="72" x14ac:dyDescent="0.3">
      <c r="A8" s="4" t="s">
        <v>74</v>
      </c>
      <c r="C8" s="4" t="s">
        <v>75</v>
      </c>
      <c r="D8" s="6" t="s">
        <v>22</v>
      </c>
      <c r="F8" s="7" t="s">
        <v>76</v>
      </c>
      <c r="G8" s="4" t="s">
        <v>24</v>
      </c>
      <c r="H8" s="8" t="s">
        <v>77</v>
      </c>
      <c r="J8" s="4" t="s">
        <v>78</v>
      </c>
      <c r="K8" s="4" t="s">
        <v>79</v>
      </c>
      <c r="L8" s="4" t="s">
        <v>80</v>
      </c>
      <c r="M8" s="4" t="s">
        <v>80</v>
      </c>
      <c r="N8" s="14"/>
      <c r="O8" s="4" t="s">
        <v>30</v>
      </c>
      <c r="Q8" s="4" t="s">
        <v>31</v>
      </c>
      <c r="S8" s="4" t="s">
        <v>81</v>
      </c>
    </row>
    <row r="9" spans="1:20" s="10" customFormat="1" ht="86.4" x14ac:dyDescent="0.3">
      <c r="A9" s="4" t="s">
        <v>82</v>
      </c>
      <c r="B9" s="4" t="s">
        <v>20</v>
      </c>
      <c r="C9" s="4" t="s">
        <v>83</v>
      </c>
      <c r="D9" s="6" t="s">
        <v>22</v>
      </c>
      <c r="E9" s="4"/>
      <c r="F9" s="7" t="s">
        <v>43</v>
      </c>
      <c r="G9" s="4" t="s">
        <v>24</v>
      </c>
      <c r="H9" s="8" t="s">
        <v>84</v>
      </c>
      <c r="I9" s="4"/>
      <c r="J9" s="4" t="s">
        <v>85</v>
      </c>
      <c r="K9" s="4" t="s">
        <v>86</v>
      </c>
      <c r="L9" s="4" t="s">
        <v>87</v>
      </c>
      <c r="M9" s="4" t="s">
        <v>88</v>
      </c>
      <c r="N9" s="4"/>
      <c r="O9" s="4" t="s">
        <v>30</v>
      </c>
      <c r="P9" s="4"/>
      <c r="Q9" s="4" t="s">
        <v>31</v>
      </c>
      <c r="R9" s="4"/>
      <c r="S9" s="4"/>
      <c r="T9" s="4"/>
    </row>
    <row r="10" spans="1:20" ht="100.8" x14ac:dyDescent="0.3">
      <c r="A10" s="4" t="s">
        <v>89</v>
      </c>
      <c r="B10" s="11" t="s">
        <v>20</v>
      </c>
      <c r="C10" s="11" t="s">
        <v>90</v>
      </c>
      <c r="D10" s="12" t="s">
        <v>42</v>
      </c>
      <c r="E10" s="11"/>
      <c r="F10" s="13" t="s">
        <v>23</v>
      </c>
      <c r="G10" s="4" t="s">
        <v>24</v>
      </c>
      <c r="H10" s="14" t="s">
        <v>91</v>
      </c>
      <c r="I10" s="11"/>
      <c r="J10" s="11" t="s">
        <v>92</v>
      </c>
      <c r="K10" s="11" t="s">
        <v>93</v>
      </c>
      <c r="L10" s="11" t="s">
        <v>94</v>
      </c>
      <c r="M10" s="11" t="s">
        <v>95</v>
      </c>
      <c r="N10" s="17" t="s">
        <v>96</v>
      </c>
      <c r="O10" s="4" t="s">
        <v>30</v>
      </c>
      <c r="P10" s="11" t="s">
        <v>42</v>
      </c>
      <c r="Q10" s="11" t="s">
        <v>42</v>
      </c>
      <c r="R10" s="15"/>
      <c r="S10" s="4" t="s">
        <v>97</v>
      </c>
      <c r="T10" s="4"/>
    </row>
    <row r="11" spans="1:20" s="24" customFormat="1" ht="115.2" x14ac:dyDescent="0.3">
      <c r="A11" s="4" t="s">
        <v>98</v>
      </c>
      <c r="B11" s="18" t="s">
        <v>20</v>
      </c>
      <c r="C11" s="18" t="s">
        <v>99</v>
      </c>
      <c r="D11" s="19" t="s">
        <v>42</v>
      </c>
      <c r="E11" s="18"/>
      <c r="F11" s="20"/>
      <c r="G11" s="21" t="s">
        <v>24</v>
      </c>
      <c r="H11" s="18"/>
      <c r="I11" s="18"/>
      <c r="J11" s="18" t="s">
        <v>100</v>
      </c>
      <c r="K11" s="18" t="s">
        <v>101</v>
      </c>
      <c r="L11" s="18" t="s">
        <v>102</v>
      </c>
      <c r="M11" s="18" t="s">
        <v>103</v>
      </c>
      <c r="N11" s="22" t="s">
        <v>96</v>
      </c>
      <c r="O11" s="21" t="s">
        <v>30</v>
      </c>
      <c r="P11" s="18" t="s">
        <v>42</v>
      </c>
      <c r="Q11" s="18" t="s">
        <v>42</v>
      </c>
      <c r="R11" s="23"/>
      <c r="S11" s="21" t="s">
        <v>104</v>
      </c>
      <c r="T11" s="21"/>
    </row>
    <row r="12" spans="1:20" ht="110.4" x14ac:dyDescent="0.3">
      <c r="A12" s="4" t="s">
        <v>105</v>
      </c>
      <c r="B12" s="25" t="s">
        <v>20</v>
      </c>
      <c r="C12" s="25" t="s">
        <v>106</v>
      </c>
      <c r="D12" s="26" t="s">
        <v>42</v>
      </c>
      <c r="E12" s="25"/>
      <c r="F12" s="27"/>
      <c r="G12" s="4" t="s">
        <v>24</v>
      </c>
      <c r="H12" s="10" t="s">
        <v>107</v>
      </c>
      <c r="I12" s="25"/>
      <c r="J12" s="25" t="s">
        <v>108</v>
      </c>
      <c r="K12" s="25" t="s">
        <v>109</v>
      </c>
      <c r="L12" s="25" t="s">
        <v>110</v>
      </c>
      <c r="M12" s="25" t="s">
        <v>111</v>
      </c>
      <c r="N12" s="28"/>
      <c r="O12" s="4" t="s">
        <v>30</v>
      </c>
      <c r="P12" s="11" t="s">
        <v>42</v>
      </c>
      <c r="Q12" s="11" t="s">
        <v>42</v>
      </c>
      <c r="R12" s="15"/>
      <c r="S12" s="4" t="s">
        <v>97</v>
      </c>
      <c r="T12" s="4" t="s">
        <v>107</v>
      </c>
    </row>
    <row r="13" spans="1:20" ht="129.6" x14ac:dyDescent="0.3">
      <c r="A13" s="4" t="s">
        <v>112</v>
      </c>
      <c r="B13" s="25" t="s">
        <v>20</v>
      </c>
      <c r="C13" s="25" t="s">
        <v>113</v>
      </c>
      <c r="D13" s="26" t="s">
        <v>42</v>
      </c>
      <c r="E13" s="25"/>
      <c r="F13" s="27" t="s">
        <v>34</v>
      </c>
      <c r="G13" s="4" t="s">
        <v>24</v>
      </c>
      <c r="H13" s="14" t="s">
        <v>114</v>
      </c>
      <c r="I13" s="25"/>
      <c r="J13" s="25" t="s">
        <v>115</v>
      </c>
      <c r="K13" s="25" t="s">
        <v>116</v>
      </c>
      <c r="L13" s="25" t="s">
        <v>117</v>
      </c>
      <c r="M13" s="25" t="s">
        <v>118</v>
      </c>
      <c r="N13" s="28"/>
      <c r="O13" s="4" t="s">
        <v>30</v>
      </c>
      <c r="P13" s="11" t="s">
        <v>42</v>
      </c>
      <c r="Q13" s="11" t="s">
        <v>42</v>
      </c>
      <c r="R13" s="15"/>
      <c r="S13" s="4" t="s">
        <v>119</v>
      </c>
      <c r="T13" s="4" t="s">
        <v>120</v>
      </c>
    </row>
    <row r="14" spans="1:20" ht="151.80000000000001" x14ac:dyDescent="0.3">
      <c r="A14" s="4" t="s">
        <v>121</v>
      </c>
      <c r="B14" s="25" t="s">
        <v>20</v>
      </c>
      <c r="C14" s="25" t="s">
        <v>122</v>
      </c>
      <c r="D14" s="26" t="s">
        <v>42</v>
      </c>
      <c r="E14" s="25"/>
      <c r="F14" s="27" t="s">
        <v>43</v>
      </c>
      <c r="G14" s="4" t="s">
        <v>24</v>
      </c>
      <c r="H14" s="14" t="s">
        <v>123</v>
      </c>
      <c r="I14" s="25"/>
      <c r="J14" s="25" t="s">
        <v>124</v>
      </c>
      <c r="K14" s="25" t="s">
        <v>125</v>
      </c>
      <c r="L14" s="25" t="s">
        <v>126</v>
      </c>
      <c r="M14" s="25" t="s">
        <v>127</v>
      </c>
      <c r="N14" s="28"/>
      <c r="O14" s="4" t="s">
        <v>30</v>
      </c>
      <c r="P14" s="11" t="s">
        <v>42</v>
      </c>
      <c r="Q14" s="11" t="s">
        <v>42</v>
      </c>
      <c r="R14" s="15"/>
      <c r="S14" s="4" t="s">
        <v>128</v>
      </c>
      <c r="T14" s="4" t="s">
        <v>129</v>
      </c>
    </row>
    <row r="15" spans="1:20" ht="115.2" x14ac:dyDescent="0.3">
      <c r="A15" s="4" t="s">
        <v>130</v>
      </c>
      <c r="B15" s="29" t="s">
        <v>131</v>
      </c>
      <c r="C15" s="29" t="s">
        <v>132</v>
      </c>
      <c r="D15" s="30" t="s">
        <v>42</v>
      </c>
      <c r="E15" s="29"/>
      <c r="F15" s="31" t="s">
        <v>23</v>
      </c>
      <c r="G15" s="4" t="s">
        <v>24</v>
      </c>
      <c r="H15" s="14" t="s">
        <v>133</v>
      </c>
      <c r="I15" s="29"/>
      <c r="J15" s="29" t="s">
        <v>134</v>
      </c>
      <c r="K15" s="29" t="s">
        <v>135</v>
      </c>
      <c r="L15" s="29" t="s">
        <v>136</v>
      </c>
      <c r="M15" s="29" t="s">
        <v>137</v>
      </c>
      <c r="N15" s="29"/>
      <c r="O15" s="4" t="s">
        <v>30</v>
      </c>
      <c r="P15" s="11" t="s">
        <v>42</v>
      </c>
      <c r="Q15" s="11" t="s">
        <v>42</v>
      </c>
      <c r="R15" s="29"/>
      <c r="S15" s="29" t="s">
        <v>138</v>
      </c>
      <c r="T15" s="4"/>
    </row>
    <row r="16" spans="1:20" ht="115.2" x14ac:dyDescent="0.3">
      <c r="A16" s="4" t="s">
        <v>139</v>
      </c>
      <c r="B16" s="32" t="s">
        <v>20</v>
      </c>
      <c r="C16" s="32" t="s">
        <v>140</v>
      </c>
      <c r="D16" s="30" t="s">
        <v>42</v>
      </c>
      <c r="E16" s="32" t="s">
        <v>96</v>
      </c>
      <c r="F16" s="27" t="s">
        <v>23</v>
      </c>
      <c r="G16" s="4" t="s">
        <v>24</v>
      </c>
      <c r="H16" s="14" t="s">
        <v>141</v>
      </c>
      <c r="I16" s="32" t="s">
        <v>96</v>
      </c>
      <c r="J16" s="32" t="s">
        <v>142</v>
      </c>
      <c r="K16" s="32" t="s">
        <v>143</v>
      </c>
      <c r="L16" s="32" t="s">
        <v>144</v>
      </c>
      <c r="M16" s="32" t="s">
        <v>145</v>
      </c>
      <c r="N16" s="32" t="s">
        <v>96</v>
      </c>
      <c r="O16" s="4" t="s">
        <v>30</v>
      </c>
      <c r="P16" s="11" t="s">
        <v>42</v>
      </c>
      <c r="Q16" s="32" t="s">
        <v>42</v>
      </c>
      <c r="R16" s="10"/>
      <c r="S16" s="4" t="s">
        <v>146</v>
      </c>
      <c r="T16" s="4"/>
    </row>
    <row r="17" spans="1:20" ht="115.2" x14ac:dyDescent="0.3">
      <c r="A17" s="4" t="s">
        <v>147</v>
      </c>
      <c r="B17" s="32" t="s">
        <v>20</v>
      </c>
      <c r="C17" s="32" t="s">
        <v>148</v>
      </c>
      <c r="D17" s="30" t="s">
        <v>42</v>
      </c>
      <c r="E17" s="32" t="s">
        <v>96</v>
      </c>
      <c r="F17" s="27" t="s">
        <v>23</v>
      </c>
      <c r="G17" s="4" t="s">
        <v>24</v>
      </c>
      <c r="H17" s="33" t="s">
        <v>149</v>
      </c>
      <c r="I17" s="32" t="s">
        <v>96</v>
      </c>
      <c r="J17" s="32" t="s">
        <v>150</v>
      </c>
      <c r="K17" s="32" t="s">
        <v>151</v>
      </c>
      <c r="L17" s="32" t="s">
        <v>152</v>
      </c>
      <c r="M17" s="32" t="s">
        <v>153</v>
      </c>
      <c r="N17" s="32"/>
      <c r="O17" s="4" t="s">
        <v>30</v>
      </c>
      <c r="P17" s="11" t="s">
        <v>42</v>
      </c>
      <c r="Q17" s="32" t="s">
        <v>42</v>
      </c>
      <c r="R17" s="10"/>
      <c r="S17" s="4" t="s">
        <v>146</v>
      </c>
      <c r="T17" s="4"/>
    </row>
    <row r="18" spans="1:20" ht="115.2" x14ac:dyDescent="0.3">
      <c r="A18" s="4" t="s">
        <v>154</v>
      </c>
      <c r="B18" s="32" t="s">
        <v>20</v>
      </c>
      <c r="C18" s="32" t="s">
        <v>155</v>
      </c>
      <c r="D18" s="30" t="s">
        <v>42</v>
      </c>
      <c r="E18" s="32" t="s">
        <v>96</v>
      </c>
      <c r="F18" s="27" t="s">
        <v>23</v>
      </c>
      <c r="G18" s="4" t="s">
        <v>24</v>
      </c>
      <c r="H18" s="33" t="s">
        <v>156</v>
      </c>
      <c r="I18" s="32" t="s">
        <v>96</v>
      </c>
      <c r="J18" s="32" t="s">
        <v>157</v>
      </c>
      <c r="K18" s="32" t="s">
        <v>158</v>
      </c>
      <c r="L18" s="32" t="s">
        <v>159</v>
      </c>
      <c r="M18" s="32" t="s">
        <v>160</v>
      </c>
      <c r="N18" s="32"/>
      <c r="O18" s="4" t="s">
        <v>30</v>
      </c>
      <c r="P18" s="11" t="s">
        <v>42</v>
      </c>
      <c r="Q18" s="32" t="s">
        <v>42</v>
      </c>
      <c r="R18" s="10"/>
      <c r="S18" s="4" t="s">
        <v>146</v>
      </c>
      <c r="T18" s="4"/>
    </row>
    <row r="19" spans="1:20" ht="115.2" x14ac:dyDescent="0.3">
      <c r="A19" s="4" t="s">
        <v>161</v>
      </c>
      <c r="B19" s="29" t="s">
        <v>162</v>
      </c>
      <c r="C19" s="29" t="s">
        <v>163</v>
      </c>
      <c r="D19" s="30" t="s">
        <v>42</v>
      </c>
      <c r="E19" s="29"/>
      <c r="F19" s="31" t="s">
        <v>34</v>
      </c>
      <c r="G19" s="4" t="s">
        <v>24</v>
      </c>
      <c r="H19" s="14" t="s">
        <v>164</v>
      </c>
      <c r="I19" s="29"/>
      <c r="J19" s="29" t="s">
        <v>165</v>
      </c>
      <c r="K19" s="29" t="s">
        <v>166</v>
      </c>
      <c r="L19" s="29" t="s">
        <v>167</v>
      </c>
      <c r="M19" s="29" t="s">
        <v>168</v>
      </c>
      <c r="N19" s="29"/>
      <c r="O19" s="4" t="s">
        <v>30</v>
      </c>
      <c r="P19" s="29"/>
      <c r="Q19" s="32" t="s">
        <v>42</v>
      </c>
      <c r="R19" s="29" t="s">
        <v>96</v>
      </c>
      <c r="S19" s="29" t="s">
        <v>138</v>
      </c>
      <c r="T19" s="4"/>
    </row>
    <row r="20" spans="1:20" ht="115.2" x14ac:dyDescent="0.3">
      <c r="A20" s="4" t="s">
        <v>169</v>
      </c>
      <c r="B20" s="29" t="s">
        <v>170</v>
      </c>
      <c r="C20" s="29" t="s">
        <v>171</v>
      </c>
      <c r="D20" s="30" t="s">
        <v>42</v>
      </c>
      <c r="E20" s="29"/>
      <c r="F20" s="31" t="s">
        <v>43</v>
      </c>
      <c r="G20" s="4" t="s">
        <v>24</v>
      </c>
      <c r="H20" s="14" t="s">
        <v>172</v>
      </c>
      <c r="I20" s="29"/>
      <c r="J20" s="29" t="s">
        <v>173</v>
      </c>
      <c r="K20" s="29" t="s">
        <v>174</v>
      </c>
      <c r="L20" s="29" t="s">
        <v>175</v>
      </c>
      <c r="M20" s="29" t="s">
        <v>176</v>
      </c>
      <c r="N20" s="29"/>
      <c r="O20" s="4" t="s">
        <v>30</v>
      </c>
      <c r="P20" s="29"/>
      <c r="Q20" s="32" t="s">
        <v>42</v>
      </c>
      <c r="R20" s="29" t="s">
        <v>96</v>
      </c>
      <c r="S20" s="29"/>
      <c r="T20" s="4"/>
    </row>
    <row r="21" spans="1:20" ht="115.2" x14ac:dyDescent="0.3">
      <c r="A21" s="4" t="s">
        <v>177</v>
      </c>
      <c r="B21" s="29" t="s">
        <v>178</v>
      </c>
      <c r="C21" s="34" t="s">
        <v>179</v>
      </c>
      <c r="D21" s="30" t="s">
        <v>42</v>
      </c>
      <c r="E21" s="29"/>
      <c r="F21" s="31"/>
      <c r="G21" s="4" t="s">
        <v>24</v>
      </c>
      <c r="H21" s="14" t="s">
        <v>180</v>
      </c>
      <c r="I21" s="29"/>
      <c r="J21" s="29" t="s">
        <v>181</v>
      </c>
      <c r="K21" s="29" t="s">
        <v>182</v>
      </c>
      <c r="L21" s="34" t="s">
        <v>183</v>
      </c>
      <c r="M21" s="29" t="s">
        <v>184</v>
      </c>
      <c r="N21" s="34"/>
      <c r="O21" s="4" t="s">
        <v>30</v>
      </c>
      <c r="P21" s="29"/>
      <c r="Q21" s="35"/>
      <c r="R21" s="29" t="s">
        <v>96</v>
      </c>
      <c r="S21" s="29"/>
      <c r="T21" s="4"/>
    </row>
    <row r="22" spans="1:20" ht="158.4" x14ac:dyDescent="0.3">
      <c r="A22" s="4" t="s">
        <v>185</v>
      </c>
      <c r="B22" s="29" t="s">
        <v>186</v>
      </c>
      <c r="C22" s="29" t="s">
        <v>187</v>
      </c>
      <c r="D22" s="30" t="s">
        <v>42</v>
      </c>
      <c r="E22" s="29"/>
      <c r="F22" s="31" t="s">
        <v>23</v>
      </c>
      <c r="G22" s="4" t="s">
        <v>24</v>
      </c>
      <c r="H22" s="14" t="s">
        <v>188</v>
      </c>
      <c r="I22" s="29"/>
      <c r="J22" s="29" t="s">
        <v>189</v>
      </c>
      <c r="K22" s="29" t="s">
        <v>190</v>
      </c>
      <c r="L22" s="11" t="s">
        <v>191</v>
      </c>
      <c r="M22" s="29" t="s">
        <v>192</v>
      </c>
      <c r="N22" s="29"/>
      <c r="O22" s="4" t="s">
        <v>30</v>
      </c>
      <c r="P22" s="29"/>
      <c r="Q22" s="35"/>
      <c r="R22" s="29" t="s">
        <v>96</v>
      </c>
      <c r="S22" s="29"/>
      <c r="T22" s="4"/>
    </row>
    <row r="23" spans="1:20" ht="115.2" x14ac:dyDescent="0.3">
      <c r="A23" s="4" t="s">
        <v>193</v>
      </c>
      <c r="B23" s="29" t="s">
        <v>194</v>
      </c>
      <c r="C23" s="29" t="s">
        <v>195</v>
      </c>
      <c r="D23" s="30" t="s">
        <v>42</v>
      </c>
      <c r="E23" s="29"/>
      <c r="F23" s="31" t="s">
        <v>43</v>
      </c>
      <c r="G23" s="4" t="s">
        <v>24</v>
      </c>
      <c r="H23" s="14" t="s">
        <v>196</v>
      </c>
      <c r="I23" s="29"/>
      <c r="J23" s="29" t="s">
        <v>197</v>
      </c>
      <c r="K23" s="29" t="s">
        <v>198</v>
      </c>
      <c r="L23" s="29" t="s">
        <v>199</v>
      </c>
      <c r="M23" s="29" t="s">
        <v>200</v>
      </c>
      <c r="N23" s="29"/>
      <c r="O23" s="4" t="s">
        <v>30</v>
      </c>
      <c r="P23" s="29"/>
      <c r="Q23" s="35"/>
      <c r="R23" s="29" t="s">
        <v>96</v>
      </c>
      <c r="S23" s="29"/>
      <c r="T23" s="4"/>
    </row>
    <row r="24" spans="1:20" ht="115.2" x14ac:dyDescent="0.3">
      <c r="A24" s="4" t="s">
        <v>201</v>
      </c>
      <c r="B24" s="29" t="s">
        <v>202</v>
      </c>
      <c r="C24" s="29" t="s">
        <v>203</v>
      </c>
      <c r="D24" s="30" t="s">
        <v>42</v>
      </c>
      <c r="E24" s="29"/>
      <c r="F24" s="31" t="s">
        <v>23</v>
      </c>
      <c r="G24" s="4" t="s">
        <v>24</v>
      </c>
      <c r="H24" s="14" t="s">
        <v>204</v>
      </c>
      <c r="I24" s="29"/>
      <c r="J24" s="29" t="s">
        <v>205</v>
      </c>
      <c r="K24" s="29" t="s">
        <v>206</v>
      </c>
      <c r="L24" s="29" t="s">
        <v>207</v>
      </c>
      <c r="M24" s="29" t="s">
        <v>208</v>
      </c>
      <c r="N24" s="29"/>
      <c r="O24" s="4" t="s">
        <v>30</v>
      </c>
      <c r="P24" s="29"/>
      <c r="Q24" s="35"/>
      <c r="R24" s="29" t="s">
        <v>96</v>
      </c>
      <c r="S24" s="29"/>
      <c r="T24" s="4"/>
    </row>
    <row r="25" spans="1:20" ht="129.6" x14ac:dyDescent="0.3">
      <c r="A25" s="4" t="s">
        <v>209</v>
      </c>
      <c r="B25" s="29" t="s">
        <v>194</v>
      </c>
      <c r="C25" s="29" t="s">
        <v>210</v>
      </c>
      <c r="D25" s="30" t="s">
        <v>42</v>
      </c>
      <c r="E25" s="29"/>
      <c r="F25" s="31" t="s">
        <v>23</v>
      </c>
      <c r="G25" s="4" t="s">
        <v>24</v>
      </c>
      <c r="H25" s="36" t="s">
        <v>211</v>
      </c>
      <c r="I25" s="29"/>
      <c r="J25" s="29" t="s">
        <v>212</v>
      </c>
      <c r="K25" s="29" t="s">
        <v>213</v>
      </c>
      <c r="L25" s="29" t="s">
        <v>214</v>
      </c>
      <c r="M25" s="29" t="s">
        <v>215</v>
      </c>
      <c r="N25" s="29"/>
      <c r="O25" s="4" t="s">
        <v>30</v>
      </c>
      <c r="P25" s="29"/>
      <c r="Q25" s="35"/>
      <c r="R25" s="29" t="s">
        <v>96</v>
      </c>
      <c r="S25" s="29"/>
      <c r="T25" s="4" t="s">
        <v>216</v>
      </c>
    </row>
    <row r="26" spans="1:20" ht="129.6" x14ac:dyDescent="0.3">
      <c r="A26" s="4" t="s">
        <v>217</v>
      </c>
      <c r="B26" s="29" t="s">
        <v>218</v>
      </c>
      <c r="C26" s="29" t="s">
        <v>219</v>
      </c>
      <c r="D26" s="30" t="s">
        <v>42</v>
      </c>
      <c r="E26" s="29"/>
      <c r="F26" s="31" t="s">
        <v>23</v>
      </c>
      <c r="G26" s="4" t="s">
        <v>24</v>
      </c>
      <c r="H26" s="14" t="s">
        <v>188</v>
      </c>
      <c r="I26" s="29"/>
      <c r="J26" s="29" t="s">
        <v>220</v>
      </c>
      <c r="K26" s="29" t="s">
        <v>221</v>
      </c>
      <c r="L26" s="29" t="s">
        <v>222</v>
      </c>
      <c r="M26" s="29" t="s">
        <v>223</v>
      </c>
      <c r="N26" s="29"/>
      <c r="O26" s="4" t="s">
        <v>30</v>
      </c>
      <c r="P26" s="29"/>
      <c r="Q26" s="35"/>
      <c r="R26" s="29" t="s">
        <v>96</v>
      </c>
      <c r="S26" s="29"/>
      <c r="T26" s="4"/>
    </row>
    <row r="27" spans="1:20" ht="144" x14ac:dyDescent="0.3">
      <c r="A27" s="4" t="s">
        <v>224</v>
      </c>
      <c r="B27" s="29" t="s">
        <v>225</v>
      </c>
      <c r="C27" s="29" t="s">
        <v>226</v>
      </c>
      <c r="D27" s="30" t="s">
        <v>42</v>
      </c>
      <c r="E27" s="29"/>
      <c r="F27" s="31" t="s">
        <v>23</v>
      </c>
      <c r="G27" s="4" t="s">
        <v>24</v>
      </c>
      <c r="H27" s="14" t="s">
        <v>227</v>
      </c>
      <c r="I27" s="29"/>
      <c r="J27" s="29" t="s">
        <v>228</v>
      </c>
      <c r="K27" s="29" t="s">
        <v>229</v>
      </c>
      <c r="L27" s="29" t="s">
        <v>230</v>
      </c>
      <c r="M27" s="29" t="s">
        <v>231</v>
      </c>
      <c r="N27" s="29"/>
      <c r="O27" s="4" t="s">
        <v>30</v>
      </c>
      <c r="P27" s="11" t="s">
        <v>42</v>
      </c>
      <c r="Q27" s="11" t="s">
        <v>42</v>
      </c>
      <c r="R27" s="29"/>
      <c r="S27" s="29"/>
      <c r="T27" s="4"/>
    </row>
    <row r="28" spans="1:20" s="43" customFormat="1" ht="129.6" x14ac:dyDescent="0.3">
      <c r="A28" s="37" t="s">
        <v>232</v>
      </c>
      <c r="B28" s="38" t="s">
        <v>233</v>
      </c>
      <c r="C28" s="38" t="s">
        <v>234</v>
      </c>
      <c r="D28" s="39" t="s">
        <v>42</v>
      </c>
      <c r="E28" s="38"/>
      <c r="F28" s="40" t="s">
        <v>23</v>
      </c>
      <c r="G28" s="37" t="s">
        <v>24</v>
      </c>
      <c r="H28" s="41" t="s">
        <v>235</v>
      </c>
      <c r="I28" s="38"/>
      <c r="J28" s="38" t="s">
        <v>236</v>
      </c>
      <c r="K28" s="38" t="s">
        <v>237</v>
      </c>
      <c r="L28" s="38" t="s">
        <v>238</v>
      </c>
      <c r="M28" s="38" t="s">
        <v>239</v>
      </c>
      <c r="N28" s="38"/>
      <c r="O28" s="37" t="s">
        <v>30</v>
      </c>
      <c r="P28" s="42" t="s">
        <v>42</v>
      </c>
      <c r="Q28" s="42" t="s">
        <v>42</v>
      </c>
      <c r="R28" s="38"/>
      <c r="T28" s="38" t="s">
        <v>240</v>
      </c>
    </row>
    <row r="29" spans="1:20" s="43" customFormat="1" ht="144" x14ac:dyDescent="0.3">
      <c r="A29" s="37" t="s">
        <v>241</v>
      </c>
      <c r="B29" s="38" t="s">
        <v>242</v>
      </c>
      <c r="C29" s="38" t="s">
        <v>243</v>
      </c>
      <c r="D29" s="39" t="s">
        <v>42</v>
      </c>
      <c r="E29" s="38"/>
      <c r="F29" s="40" t="s">
        <v>23</v>
      </c>
      <c r="G29" s="37" t="s">
        <v>24</v>
      </c>
      <c r="H29" s="44" t="s">
        <v>244</v>
      </c>
      <c r="I29" s="38"/>
      <c r="J29" s="38" t="s">
        <v>245</v>
      </c>
      <c r="K29" s="38" t="s">
        <v>246</v>
      </c>
      <c r="L29" s="38" t="s">
        <v>247</v>
      </c>
      <c r="M29" s="38" t="s">
        <v>248</v>
      </c>
      <c r="N29" s="38"/>
      <c r="O29" s="37" t="s">
        <v>30</v>
      </c>
      <c r="P29" s="42" t="s">
        <v>42</v>
      </c>
      <c r="Q29" s="42" t="s">
        <v>42</v>
      </c>
      <c r="R29" s="38"/>
      <c r="S29" s="38"/>
      <c r="T29" s="38" t="s">
        <v>240</v>
      </c>
    </row>
    <row r="30" spans="1:20" ht="115.2" x14ac:dyDescent="0.3">
      <c r="A30" s="4" t="s">
        <v>249</v>
      </c>
      <c r="B30" s="32" t="s">
        <v>250</v>
      </c>
      <c r="C30" s="29" t="s">
        <v>251</v>
      </c>
      <c r="D30" s="30" t="s">
        <v>42</v>
      </c>
      <c r="E30" s="32"/>
      <c r="F30" s="27" t="s">
        <v>23</v>
      </c>
      <c r="G30" s="4" t="s">
        <v>24</v>
      </c>
      <c r="H30" s="14" t="s">
        <v>252</v>
      </c>
      <c r="I30" s="32"/>
      <c r="J30" s="29" t="s">
        <v>253</v>
      </c>
      <c r="K30" s="29" t="s">
        <v>254</v>
      </c>
      <c r="L30" s="29" t="s">
        <v>255</v>
      </c>
      <c r="M30" s="29" t="s">
        <v>256</v>
      </c>
      <c r="N30" s="32"/>
      <c r="O30" s="4" t="s">
        <v>30</v>
      </c>
      <c r="P30" s="11" t="s">
        <v>42</v>
      </c>
      <c r="Q30" s="11" t="s">
        <v>42</v>
      </c>
      <c r="R30" s="10"/>
      <c r="S30" s="29"/>
      <c r="T30" s="4" t="s">
        <v>257</v>
      </c>
    </row>
    <row r="31" spans="1:20" s="10" customFormat="1" ht="57.6" x14ac:dyDescent="0.3">
      <c r="A31" s="4" t="s">
        <v>258</v>
      </c>
      <c r="B31" s="10" t="s">
        <v>259</v>
      </c>
      <c r="C31" s="45" t="s">
        <v>260</v>
      </c>
      <c r="D31" s="46" t="s">
        <v>42</v>
      </c>
      <c r="E31" s="45" t="s">
        <v>96</v>
      </c>
      <c r="F31" s="47" t="s">
        <v>43</v>
      </c>
      <c r="G31" s="4" t="s">
        <v>24</v>
      </c>
      <c r="H31" s="48" t="s">
        <v>261</v>
      </c>
      <c r="I31" s="45" t="s">
        <v>96</v>
      </c>
      <c r="J31" s="45" t="s">
        <v>262</v>
      </c>
      <c r="K31" s="45" t="s">
        <v>263</v>
      </c>
      <c r="L31" s="45" t="s">
        <v>264</v>
      </c>
      <c r="M31" s="45" t="s">
        <v>265</v>
      </c>
      <c r="N31" s="45" t="s">
        <v>96</v>
      </c>
      <c r="O31" s="4" t="s">
        <v>30</v>
      </c>
      <c r="P31" s="49" t="s">
        <v>42</v>
      </c>
      <c r="Q31" s="45" t="s">
        <v>42</v>
      </c>
      <c r="T31" s="4" t="s">
        <v>266</v>
      </c>
    </row>
    <row r="32" spans="1:20" s="43" customFormat="1" ht="52.8" x14ac:dyDescent="0.3">
      <c r="A32" s="37" t="s">
        <v>267</v>
      </c>
      <c r="B32" s="50" t="s">
        <v>259</v>
      </c>
      <c r="C32" s="51" t="s">
        <v>268</v>
      </c>
      <c r="D32" s="52" t="s">
        <v>42</v>
      </c>
      <c r="E32" s="53" t="s">
        <v>96</v>
      </c>
      <c r="F32" s="54" t="s">
        <v>96</v>
      </c>
      <c r="G32" s="37" t="s">
        <v>24</v>
      </c>
      <c r="H32" s="41" t="s">
        <v>269</v>
      </c>
      <c r="I32" s="53" t="s">
        <v>96</v>
      </c>
      <c r="J32" s="51" t="s">
        <v>270</v>
      </c>
      <c r="K32" s="51" t="s">
        <v>271</v>
      </c>
      <c r="L32" s="51" t="s">
        <v>264</v>
      </c>
      <c r="M32" s="51" t="s">
        <v>272</v>
      </c>
      <c r="N32" s="53" t="s">
        <v>96</v>
      </c>
      <c r="O32" s="37" t="s">
        <v>30</v>
      </c>
      <c r="P32" s="55" t="s">
        <v>42</v>
      </c>
      <c r="Q32" s="51" t="s">
        <v>42</v>
      </c>
      <c r="T32" s="56" t="s">
        <v>273</v>
      </c>
    </row>
    <row r="33" spans="1:20" ht="52.8" x14ac:dyDescent="0.3">
      <c r="A33" s="4" t="s">
        <v>274</v>
      </c>
      <c r="B33" s="10" t="s">
        <v>259</v>
      </c>
      <c r="C33" s="45" t="s">
        <v>275</v>
      </c>
      <c r="D33" s="46" t="s">
        <v>42</v>
      </c>
      <c r="E33" s="57" t="s">
        <v>96</v>
      </c>
      <c r="F33" s="47" t="s">
        <v>96</v>
      </c>
      <c r="G33" s="4" t="s">
        <v>24</v>
      </c>
      <c r="H33" s="48" t="s">
        <v>276</v>
      </c>
      <c r="I33" s="57" t="s">
        <v>96</v>
      </c>
      <c r="J33" s="45" t="s">
        <v>277</v>
      </c>
      <c r="K33" s="45" t="s">
        <v>278</v>
      </c>
      <c r="L33" s="45" t="s">
        <v>264</v>
      </c>
      <c r="M33" s="45" t="s">
        <v>279</v>
      </c>
      <c r="N33" s="57" t="s">
        <v>96</v>
      </c>
      <c r="O33" s="4" t="s">
        <v>30</v>
      </c>
      <c r="P33" s="49" t="s">
        <v>42</v>
      </c>
      <c r="Q33" s="45" t="s">
        <v>42</v>
      </c>
    </row>
    <row r="34" spans="1:20" s="43" customFormat="1" ht="52.8" x14ac:dyDescent="0.3">
      <c r="A34" s="37" t="s">
        <v>280</v>
      </c>
      <c r="B34" s="50" t="s">
        <v>259</v>
      </c>
      <c r="C34" s="51" t="s">
        <v>281</v>
      </c>
      <c r="D34" s="52" t="s">
        <v>42</v>
      </c>
      <c r="E34" s="53" t="s">
        <v>96</v>
      </c>
      <c r="F34" s="54" t="s">
        <v>96</v>
      </c>
      <c r="G34" s="37" t="s">
        <v>24</v>
      </c>
      <c r="H34" s="41" t="s">
        <v>282</v>
      </c>
      <c r="I34" s="53" t="s">
        <v>96</v>
      </c>
      <c r="J34" s="51" t="s">
        <v>283</v>
      </c>
      <c r="K34" s="51" t="s">
        <v>284</v>
      </c>
      <c r="L34" s="51" t="s">
        <v>264</v>
      </c>
      <c r="M34" s="51" t="s">
        <v>285</v>
      </c>
      <c r="N34" s="53" t="s">
        <v>96</v>
      </c>
      <c r="O34" s="37" t="s">
        <v>30</v>
      </c>
      <c r="P34" s="55" t="s">
        <v>42</v>
      </c>
      <c r="Q34" s="51" t="s">
        <v>42</v>
      </c>
      <c r="T34" s="56" t="s">
        <v>286</v>
      </c>
    </row>
    <row r="35" spans="1:20" ht="43.2" x14ac:dyDescent="0.3">
      <c r="A35" s="4" t="s">
        <v>287</v>
      </c>
      <c r="B35" s="10" t="s">
        <v>259</v>
      </c>
      <c r="C35" s="45" t="s">
        <v>288</v>
      </c>
      <c r="D35" s="46" t="s">
        <v>42</v>
      </c>
      <c r="E35" s="57" t="s">
        <v>96</v>
      </c>
      <c r="F35" s="47" t="s">
        <v>96</v>
      </c>
      <c r="G35" s="4" t="s">
        <v>24</v>
      </c>
      <c r="H35" s="14" t="s">
        <v>289</v>
      </c>
      <c r="I35" s="57" t="s">
        <v>96</v>
      </c>
      <c r="J35" s="45" t="s">
        <v>290</v>
      </c>
      <c r="K35" s="45" t="s">
        <v>291</v>
      </c>
      <c r="L35" s="45" t="s">
        <v>264</v>
      </c>
      <c r="M35" s="45" t="s">
        <v>292</v>
      </c>
      <c r="N35" s="57" t="s">
        <v>96</v>
      </c>
      <c r="O35" s="4" t="s">
        <v>30</v>
      </c>
      <c r="P35" s="49" t="s">
        <v>42</v>
      </c>
      <c r="Q35" s="45" t="s">
        <v>42</v>
      </c>
      <c r="T35" s="58" t="s">
        <v>293</v>
      </c>
    </row>
    <row r="36" spans="1:20" s="43" customFormat="1" ht="66" x14ac:dyDescent="0.3">
      <c r="A36" s="37" t="s">
        <v>294</v>
      </c>
      <c r="B36" s="50" t="s">
        <v>259</v>
      </c>
      <c r="C36" s="51" t="s">
        <v>295</v>
      </c>
      <c r="D36" s="52" t="s">
        <v>42</v>
      </c>
      <c r="E36" s="53" t="s">
        <v>96</v>
      </c>
      <c r="F36" s="54" t="s">
        <v>96</v>
      </c>
      <c r="G36" s="37" t="s">
        <v>24</v>
      </c>
      <c r="H36" s="41" t="s">
        <v>296</v>
      </c>
      <c r="I36" s="53" t="s">
        <v>96</v>
      </c>
      <c r="J36" s="51" t="s">
        <v>297</v>
      </c>
      <c r="K36" s="51" t="s">
        <v>298</v>
      </c>
      <c r="L36" s="51" t="s">
        <v>264</v>
      </c>
      <c r="M36" s="51" t="s">
        <v>299</v>
      </c>
      <c r="N36" s="53" t="s">
        <v>96</v>
      </c>
      <c r="O36" s="37" t="s">
        <v>30</v>
      </c>
      <c r="P36" s="55" t="s">
        <v>42</v>
      </c>
      <c r="Q36" s="51" t="s">
        <v>42</v>
      </c>
      <c r="T36" s="56" t="s">
        <v>300</v>
      </c>
    </row>
    <row r="37" spans="1:20" ht="43.2" x14ac:dyDescent="0.3">
      <c r="A37" s="4" t="s">
        <v>301</v>
      </c>
      <c r="B37" s="10" t="s">
        <v>259</v>
      </c>
      <c r="C37" s="45" t="s">
        <v>302</v>
      </c>
      <c r="D37" s="46" t="s">
        <v>42</v>
      </c>
      <c r="E37" s="57" t="s">
        <v>96</v>
      </c>
      <c r="F37" s="47" t="s">
        <v>96</v>
      </c>
      <c r="G37" s="4" t="s">
        <v>24</v>
      </c>
      <c r="H37" s="14" t="s">
        <v>303</v>
      </c>
      <c r="I37" s="57" t="s">
        <v>96</v>
      </c>
      <c r="J37" s="45" t="s">
        <v>304</v>
      </c>
      <c r="K37" s="45" t="s">
        <v>305</v>
      </c>
      <c r="L37" s="45" t="s">
        <v>264</v>
      </c>
      <c r="M37" s="45" t="s">
        <v>306</v>
      </c>
      <c r="N37" s="57" t="s">
        <v>96</v>
      </c>
      <c r="O37" s="4" t="s">
        <v>30</v>
      </c>
      <c r="P37" s="49" t="s">
        <v>42</v>
      </c>
      <c r="Q37" s="45" t="s">
        <v>42</v>
      </c>
    </row>
    <row r="38" spans="1:20" ht="55.2" x14ac:dyDescent="0.3">
      <c r="A38" s="4" t="s">
        <v>307</v>
      </c>
      <c r="B38" s="32" t="s">
        <v>308</v>
      </c>
      <c r="C38" s="32" t="s">
        <v>309</v>
      </c>
      <c r="D38" s="30" t="s">
        <v>31</v>
      </c>
      <c r="E38" s="32"/>
      <c r="F38" s="27" t="s">
        <v>23</v>
      </c>
      <c r="G38" s="4" t="s">
        <v>24</v>
      </c>
      <c r="H38" s="14" t="s">
        <v>310</v>
      </c>
      <c r="I38" s="32"/>
      <c r="J38" s="32" t="s">
        <v>311</v>
      </c>
      <c r="K38" s="32" t="s">
        <v>312</v>
      </c>
      <c r="L38" s="32" t="s">
        <v>313</v>
      </c>
      <c r="M38" s="32" t="s">
        <v>314</v>
      </c>
      <c r="N38" s="32" t="s">
        <v>315</v>
      </c>
      <c r="O38" s="4" t="s">
        <v>30</v>
      </c>
      <c r="P38" s="11" t="s">
        <v>316</v>
      </c>
      <c r="Q38" s="32" t="s">
        <v>31</v>
      </c>
      <c r="R38" s="59">
        <v>46180</v>
      </c>
      <c r="S38" s="4" t="s">
        <v>317</v>
      </c>
    </row>
    <row r="39" spans="1:20" s="10" customFormat="1" ht="82.8" x14ac:dyDescent="0.3">
      <c r="A39" s="4" t="s">
        <v>318</v>
      </c>
      <c r="B39" s="32" t="s">
        <v>308</v>
      </c>
      <c r="C39" s="32" t="s">
        <v>319</v>
      </c>
      <c r="D39" s="30" t="s">
        <v>31</v>
      </c>
      <c r="E39" s="32"/>
      <c r="F39" s="27" t="s">
        <v>43</v>
      </c>
      <c r="G39" s="4" t="s">
        <v>24</v>
      </c>
      <c r="H39" s="14" t="s">
        <v>320</v>
      </c>
      <c r="I39" s="32"/>
      <c r="J39" s="32" t="s">
        <v>321</v>
      </c>
      <c r="K39" s="32" t="s">
        <v>322</v>
      </c>
      <c r="L39" s="32" t="s">
        <v>323</v>
      </c>
      <c r="M39" s="32" t="s">
        <v>324</v>
      </c>
      <c r="N39" s="32" t="s">
        <v>315</v>
      </c>
      <c r="O39" s="4" t="s">
        <v>30</v>
      </c>
      <c r="P39" s="11" t="s">
        <v>316</v>
      </c>
      <c r="Q39" s="32" t="s">
        <v>31</v>
      </c>
      <c r="R39" s="59">
        <v>46180</v>
      </c>
      <c r="S39" s="4" t="s">
        <v>325</v>
      </c>
      <c r="T39" s="4"/>
    </row>
    <row r="40" spans="1:20" s="63" customFormat="1" ht="69" x14ac:dyDescent="0.3">
      <c r="A40" s="4" t="s">
        <v>326</v>
      </c>
      <c r="B40" s="60" t="s">
        <v>327</v>
      </c>
      <c r="C40" s="60" t="s">
        <v>328</v>
      </c>
      <c r="D40" s="30" t="s">
        <v>31</v>
      </c>
      <c r="E40" s="60"/>
      <c r="F40" s="61" t="s">
        <v>23</v>
      </c>
      <c r="G40" s="5" t="s">
        <v>24</v>
      </c>
      <c r="H40" s="48" t="s">
        <v>329</v>
      </c>
      <c r="I40" s="60"/>
      <c r="J40" s="60" t="s">
        <v>330</v>
      </c>
      <c r="K40" s="60" t="s">
        <v>331</v>
      </c>
      <c r="L40" s="60" t="s">
        <v>332</v>
      </c>
      <c r="M40" s="60" t="s">
        <v>333</v>
      </c>
      <c r="N40" s="60" t="s">
        <v>315</v>
      </c>
      <c r="O40" s="62" t="s">
        <v>30</v>
      </c>
      <c r="Q40" s="64" t="s">
        <v>31</v>
      </c>
      <c r="R40" s="60"/>
      <c r="S40" s="5" t="s">
        <v>334</v>
      </c>
      <c r="T40" s="5"/>
    </row>
    <row r="41" spans="1:20" s="10" customFormat="1" ht="82.8" x14ac:dyDescent="0.3">
      <c r="A41" s="4" t="s">
        <v>335</v>
      </c>
      <c r="B41" s="32" t="s">
        <v>327</v>
      </c>
      <c r="C41" s="32" t="s">
        <v>336</v>
      </c>
      <c r="D41" s="30" t="s">
        <v>31</v>
      </c>
      <c r="E41" s="32"/>
      <c r="F41" s="27" t="s">
        <v>43</v>
      </c>
      <c r="G41" s="4" t="s">
        <v>24</v>
      </c>
      <c r="H41" s="14" t="s">
        <v>337</v>
      </c>
      <c r="I41" s="32"/>
      <c r="J41" s="32" t="s">
        <v>338</v>
      </c>
      <c r="K41" s="32" t="s">
        <v>339</v>
      </c>
      <c r="L41" s="32" t="s">
        <v>323</v>
      </c>
      <c r="M41" s="32" t="s">
        <v>340</v>
      </c>
      <c r="N41" s="32" t="s">
        <v>315</v>
      </c>
      <c r="O41" s="4" t="s">
        <v>30</v>
      </c>
      <c r="P41" s="11" t="s">
        <v>316</v>
      </c>
      <c r="Q41" s="32" t="s">
        <v>31</v>
      </c>
      <c r="R41" s="59">
        <v>46180</v>
      </c>
      <c r="S41" s="4" t="s">
        <v>325</v>
      </c>
      <c r="T41" s="4"/>
    </row>
    <row r="42" spans="1:20" ht="43.2" x14ac:dyDescent="0.3">
      <c r="A42" s="4" t="s">
        <v>341</v>
      </c>
      <c r="B42" s="10" t="s">
        <v>259</v>
      </c>
      <c r="C42" s="45" t="s">
        <v>342</v>
      </c>
      <c r="D42" s="46" t="s">
        <v>42</v>
      </c>
      <c r="E42" s="57" t="s">
        <v>96</v>
      </c>
      <c r="F42" s="47" t="s">
        <v>43</v>
      </c>
      <c r="G42" s="4" t="s">
        <v>24</v>
      </c>
      <c r="H42" s="14" t="s">
        <v>343</v>
      </c>
      <c r="I42" s="57" t="s">
        <v>96</v>
      </c>
      <c r="J42" s="45" t="s">
        <v>344</v>
      </c>
      <c r="K42" s="45" t="s">
        <v>345</v>
      </c>
      <c r="L42" s="45" t="s">
        <v>264</v>
      </c>
      <c r="M42" s="45" t="s">
        <v>346</v>
      </c>
      <c r="N42" s="57" t="s">
        <v>96</v>
      </c>
      <c r="O42" s="4" t="s">
        <v>30</v>
      </c>
      <c r="P42" s="49" t="s">
        <v>42</v>
      </c>
      <c r="Q42" s="45" t="s">
        <v>42</v>
      </c>
      <c r="T42" s="58" t="s">
        <v>347</v>
      </c>
    </row>
    <row r="43" spans="1:20" ht="43.2" x14ac:dyDescent="0.3">
      <c r="A43" s="4" t="s">
        <v>348</v>
      </c>
      <c r="B43" s="10" t="s">
        <v>259</v>
      </c>
      <c r="C43" s="45" t="s">
        <v>349</v>
      </c>
      <c r="D43" s="46" t="s">
        <v>42</v>
      </c>
      <c r="E43" s="57" t="s">
        <v>96</v>
      </c>
      <c r="F43" s="47" t="s">
        <v>43</v>
      </c>
      <c r="G43" s="4" t="s">
        <v>24</v>
      </c>
      <c r="H43" s="14" t="s">
        <v>350</v>
      </c>
      <c r="I43" s="57" t="s">
        <v>96</v>
      </c>
      <c r="J43" s="45" t="s">
        <v>351</v>
      </c>
      <c r="K43" s="45" t="s">
        <v>352</v>
      </c>
      <c r="L43" s="45" t="s">
        <v>264</v>
      </c>
      <c r="M43" s="45" t="s">
        <v>353</v>
      </c>
      <c r="N43" s="57" t="s">
        <v>96</v>
      </c>
      <c r="O43" s="4" t="s">
        <v>30</v>
      </c>
      <c r="P43" s="49" t="s">
        <v>42</v>
      </c>
      <c r="Q43" s="45" t="s">
        <v>42</v>
      </c>
      <c r="T43" s="58" t="s">
        <v>354</v>
      </c>
    </row>
    <row r="44" spans="1:20" ht="52.8" x14ac:dyDescent="0.3">
      <c r="A44" s="4"/>
      <c r="C44" s="45" t="s">
        <v>355</v>
      </c>
      <c r="D44" s="46" t="s">
        <v>22</v>
      </c>
      <c r="E44" s="57"/>
      <c r="F44" s="47" t="s">
        <v>23</v>
      </c>
      <c r="G44" s="4" t="s">
        <v>356</v>
      </c>
      <c r="H44" s="14" t="s">
        <v>357</v>
      </c>
      <c r="I44" s="57"/>
      <c r="J44" s="45" t="s">
        <v>358</v>
      </c>
      <c r="K44" s="45" t="s">
        <v>359</v>
      </c>
      <c r="L44" s="45" t="s">
        <v>360</v>
      </c>
      <c r="M44" s="45" t="s">
        <v>360</v>
      </c>
      <c r="N44" s="57"/>
      <c r="O44" s="4" t="s">
        <v>30</v>
      </c>
      <c r="P44" s="49"/>
      <c r="Q44" s="45" t="s">
        <v>361</v>
      </c>
    </row>
    <row r="45" spans="1:20" ht="66" x14ac:dyDescent="0.3">
      <c r="A45" s="4"/>
      <c r="C45" s="45" t="s">
        <v>362</v>
      </c>
      <c r="D45" s="46" t="s">
        <v>22</v>
      </c>
      <c r="E45" s="57"/>
      <c r="F45" s="47" t="s">
        <v>23</v>
      </c>
      <c r="G45" s="4" t="s">
        <v>24</v>
      </c>
      <c r="H45" s="14" t="s">
        <v>363</v>
      </c>
      <c r="I45" s="57"/>
      <c r="J45" s="45" t="s">
        <v>364</v>
      </c>
      <c r="K45" s="45" t="s">
        <v>365</v>
      </c>
      <c r="L45" s="45" t="s">
        <v>366</v>
      </c>
      <c r="M45" s="45" t="s">
        <v>366</v>
      </c>
      <c r="N45" s="57"/>
      <c r="O45" s="4" t="s">
        <v>30</v>
      </c>
      <c r="P45" s="49"/>
      <c r="Q45" s="45" t="s">
        <v>31</v>
      </c>
    </row>
    <row r="46" spans="1:20" ht="79.2" x14ac:dyDescent="0.3">
      <c r="A46" s="4"/>
      <c r="C46" s="45" t="s">
        <v>362</v>
      </c>
      <c r="D46" s="46" t="s">
        <v>22</v>
      </c>
      <c r="E46" s="57"/>
      <c r="F46" s="47" t="s">
        <v>23</v>
      </c>
      <c r="G46" s="4" t="s">
        <v>24</v>
      </c>
      <c r="H46" s="14" t="s">
        <v>367</v>
      </c>
      <c r="I46" s="57"/>
      <c r="J46" s="45" t="s">
        <v>368</v>
      </c>
      <c r="K46" s="45" t="s">
        <v>369</v>
      </c>
      <c r="L46" s="45" t="s">
        <v>370</v>
      </c>
      <c r="M46" s="45" t="s">
        <v>371</v>
      </c>
      <c r="N46" s="57"/>
      <c r="O46" s="4" t="s">
        <v>30</v>
      </c>
      <c r="P46" s="49"/>
      <c r="Q46" s="45" t="s">
        <v>31</v>
      </c>
    </row>
    <row r="47" spans="1:20" ht="43.2" x14ac:dyDescent="0.3">
      <c r="A47" s="4" t="s">
        <v>372</v>
      </c>
      <c r="B47" s="10" t="s">
        <v>259</v>
      </c>
      <c r="C47" s="45" t="s">
        <v>373</v>
      </c>
      <c r="D47" s="46" t="s">
        <v>42</v>
      </c>
      <c r="E47" s="57" t="s">
        <v>96</v>
      </c>
      <c r="F47" s="47" t="s">
        <v>96</v>
      </c>
      <c r="G47" s="4" t="s">
        <v>24</v>
      </c>
      <c r="H47" s="14" t="s">
        <v>374</v>
      </c>
      <c r="I47" s="57" t="s">
        <v>96</v>
      </c>
      <c r="J47" s="45" t="s">
        <v>375</v>
      </c>
      <c r="K47" s="45" t="s">
        <v>376</v>
      </c>
      <c r="L47" s="45" t="s">
        <v>264</v>
      </c>
      <c r="M47" s="45" t="s">
        <v>377</v>
      </c>
      <c r="N47" s="57" t="s">
        <v>96</v>
      </c>
      <c r="O47" s="4" t="s">
        <v>30</v>
      </c>
      <c r="P47" s="49" t="s">
        <v>42</v>
      </c>
      <c r="Q47" s="45" t="s">
        <v>42</v>
      </c>
    </row>
    <row r="48" spans="1:20" ht="43.2" x14ac:dyDescent="0.3">
      <c r="A48" s="4" t="s">
        <v>378</v>
      </c>
      <c r="B48" s="10" t="s">
        <v>259</v>
      </c>
      <c r="C48" s="45" t="s">
        <v>379</v>
      </c>
      <c r="D48" s="46" t="s">
        <v>42</v>
      </c>
      <c r="E48" s="57" t="s">
        <v>96</v>
      </c>
      <c r="F48" s="47" t="s">
        <v>96</v>
      </c>
      <c r="G48" s="4" t="s">
        <v>24</v>
      </c>
      <c r="H48" s="14" t="s">
        <v>380</v>
      </c>
      <c r="I48" s="57" t="s">
        <v>96</v>
      </c>
      <c r="J48" s="45" t="s">
        <v>381</v>
      </c>
      <c r="K48" s="45" t="s">
        <v>382</v>
      </c>
      <c r="L48" s="45" t="s">
        <v>264</v>
      </c>
      <c r="M48" s="45" t="s">
        <v>383</v>
      </c>
      <c r="N48" s="57" t="s">
        <v>96</v>
      </c>
      <c r="O48" s="4" t="s">
        <v>30</v>
      </c>
      <c r="P48" s="49" t="s">
        <v>42</v>
      </c>
      <c r="Q48" s="45" t="s">
        <v>42</v>
      </c>
    </row>
    <row r="49" spans="1:20" ht="43.2" x14ac:dyDescent="0.3">
      <c r="A49" s="4" t="s">
        <v>384</v>
      </c>
      <c r="B49" s="10" t="s">
        <v>259</v>
      </c>
      <c r="C49" s="45" t="s">
        <v>385</v>
      </c>
      <c r="D49" s="46" t="s">
        <v>42</v>
      </c>
      <c r="E49" s="57" t="s">
        <v>96</v>
      </c>
      <c r="F49" s="47" t="s">
        <v>96</v>
      </c>
      <c r="G49" s="4" t="s">
        <v>24</v>
      </c>
      <c r="H49" s="14" t="s">
        <v>386</v>
      </c>
      <c r="I49" s="57" t="s">
        <v>96</v>
      </c>
      <c r="J49" s="45" t="s">
        <v>387</v>
      </c>
      <c r="K49" s="45" t="s">
        <v>388</v>
      </c>
      <c r="L49" s="45" t="s">
        <v>264</v>
      </c>
      <c r="M49" s="45" t="s">
        <v>389</v>
      </c>
      <c r="N49" s="57" t="s">
        <v>96</v>
      </c>
      <c r="O49" s="4" t="s">
        <v>30</v>
      </c>
      <c r="P49" s="49" t="s">
        <v>42</v>
      </c>
      <c r="Q49" s="45" t="s">
        <v>42</v>
      </c>
    </row>
    <row r="50" spans="1:20" ht="43.2" x14ac:dyDescent="0.3">
      <c r="A50" s="4" t="s">
        <v>390</v>
      </c>
      <c r="B50" s="10" t="s">
        <v>259</v>
      </c>
      <c r="C50" s="45" t="s">
        <v>391</v>
      </c>
      <c r="D50" s="46" t="s">
        <v>42</v>
      </c>
      <c r="E50" s="57" t="s">
        <v>96</v>
      </c>
      <c r="F50" s="47" t="s">
        <v>96</v>
      </c>
      <c r="G50" s="4" t="s">
        <v>24</v>
      </c>
      <c r="H50" s="14" t="s">
        <v>392</v>
      </c>
      <c r="I50" s="57" t="s">
        <v>96</v>
      </c>
      <c r="J50" s="45" t="s">
        <v>393</v>
      </c>
      <c r="K50" s="45" t="s">
        <v>394</v>
      </c>
      <c r="L50" s="45" t="s">
        <v>264</v>
      </c>
      <c r="M50" s="45" t="s">
        <v>395</v>
      </c>
      <c r="N50" s="57" t="s">
        <v>96</v>
      </c>
      <c r="O50" s="4" t="s">
        <v>30</v>
      </c>
      <c r="P50" s="49" t="s">
        <v>42</v>
      </c>
      <c r="Q50" s="45" t="s">
        <v>42</v>
      </c>
    </row>
    <row r="51" spans="1:20" ht="69" x14ac:dyDescent="0.3">
      <c r="A51" s="4" t="s">
        <v>396</v>
      </c>
      <c r="B51" s="32" t="s">
        <v>397</v>
      </c>
      <c r="C51" s="32" t="s">
        <v>398</v>
      </c>
      <c r="D51" s="30" t="s">
        <v>31</v>
      </c>
      <c r="E51" s="65" t="s">
        <v>399</v>
      </c>
      <c r="F51" s="27" t="s">
        <v>23</v>
      </c>
      <c r="G51" s="4" t="s">
        <v>24</v>
      </c>
      <c r="H51" s="14" t="s">
        <v>400</v>
      </c>
      <c r="I51" s="65" t="s">
        <v>399</v>
      </c>
      <c r="J51" s="32" t="s">
        <v>401</v>
      </c>
      <c r="K51" s="32" t="s">
        <v>402</v>
      </c>
      <c r="L51" s="32" t="s">
        <v>403</v>
      </c>
      <c r="M51" s="32" t="s">
        <v>333</v>
      </c>
      <c r="N51" s="65" t="s">
        <v>404</v>
      </c>
      <c r="O51" s="4" t="s">
        <v>315</v>
      </c>
      <c r="P51" s="11" t="s">
        <v>30</v>
      </c>
      <c r="Q51" s="32" t="s">
        <v>316</v>
      </c>
      <c r="R51" s="66" t="s">
        <v>31</v>
      </c>
      <c r="S51" s="67">
        <v>46180</v>
      </c>
      <c r="T51" s="58" t="s">
        <v>405</v>
      </c>
    </row>
    <row r="52" spans="1:20" ht="82.8" x14ac:dyDescent="0.3">
      <c r="A52" s="4" t="s">
        <v>406</v>
      </c>
      <c r="B52" s="32" t="s">
        <v>397</v>
      </c>
      <c r="C52" s="32" t="s">
        <v>407</v>
      </c>
      <c r="D52" s="30" t="s">
        <v>31</v>
      </c>
      <c r="E52" s="65" t="s">
        <v>399</v>
      </c>
      <c r="F52" s="27" t="s">
        <v>43</v>
      </c>
      <c r="G52" s="4" t="s">
        <v>24</v>
      </c>
      <c r="H52" s="14" t="s">
        <v>408</v>
      </c>
      <c r="I52" s="65" t="s">
        <v>399</v>
      </c>
      <c r="J52" s="32" t="s">
        <v>409</v>
      </c>
      <c r="K52" s="32" t="s">
        <v>410</v>
      </c>
      <c r="L52" s="32" t="s">
        <v>323</v>
      </c>
      <c r="M52" s="32" t="s">
        <v>411</v>
      </c>
      <c r="N52" s="65" t="s">
        <v>315</v>
      </c>
      <c r="O52" s="4" t="s">
        <v>30</v>
      </c>
      <c r="P52" s="11" t="s">
        <v>316</v>
      </c>
      <c r="Q52" s="32" t="s">
        <v>31</v>
      </c>
      <c r="R52" s="66">
        <v>46180</v>
      </c>
      <c r="S52" s="58" t="s">
        <v>325</v>
      </c>
    </row>
    <row r="53" spans="1:20" ht="69" x14ac:dyDescent="0.3">
      <c r="A53" s="4" t="s">
        <v>412</v>
      </c>
      <c r="B53" s="32" t="s">
        <v>413</v>
      </c>
      <c r="C53" s="32" t="s">
        <v>414</v>
      </c>
      <c r="D53" s="30" t="s">
        <v>31</v>
      </c>
      <c r="E53" s="65" t="s">
        <v>415</v>
      </c>
      <c r="F53" s="27" t="s">
        <v>23</v>
      </c>
      <c r="G53" s="4" t="s">
        <v>24</v>
      </c>
      <c r="H53" s="14" t="s">
        <v>416</v>
      </c>
      <c r="I53" s="65" t="s">
        <v>415</v>
      </c>
      <c r="J53" s="32" t="s">
        <v>417</v>
      </c>
      <c r="K53" s="32" t="s">
        <v>418</v>
      </c>
      <c r="L53" s="32" t="s">
        <v>403</v>
      </c>
      <c r="M53" s="32" t="s">
        <v>333</v>
      </c>
      <c r="N53" s="65" t="s">
        <v>419</v>
      </c>
      <c r="O53" s="4" t="s">
        <v>315</v>
      </c>
      <c r="P53" s="11" t="s">
        <v>30</v>
      </c>
      <c r="Q53" s="32" t="s">
        <v>316</v>
      </c>
      <c r="R53" s="66" t="s">
        <v>31</v>
      </c>
      <c r="S53" s="67">
        <v>46180</v>
      </c>
      <c r="T53" s="58" t="s">
        <v>420</v>
      </c>
    </row>
    <row r="54" spans="1:20" ht="82.8" x14ac:dyDescent="0.3">
      <c r="A54" s="4" t="s">
        <v>421</v>
      </c>
      <c r="B54" s="32" t="s">
        <v>413</v>
      </c>
      <c r="C54" s="32" t="s">
        <v>422</v>
      </c>
      <c r="D54" s="30" t="s">
        <v>31</v>
      </c>
      <c r="E54" s="65"/>
      <c r="F54" s="27" t="s">
        <v>43</v>
      </c>
      <c r="G54" s="4" t="s">
        <v>24</v>
      </c>
      <c r="H54" s="14" t="s">
        <v>423</v>
      </c>
      <c r="I54" s="65"/>
      <c r="J54" s="32" t="s">
        <v>424</v>
      </c>
      <c r="K54" s="32" t="s">
        <v>425</v>
      </c>
      <c r="L54" s="32" t="s">
        <v>323</v>
      </c>
      <c r="M54" s="32" t="s">
        <v>426</v>
      </c>
      <c r="N54" s="65" t="s">
        <v>315</v>
      </c>
      <c r="O54" s="4" t="s">
        <v>30</v>
      </c>
      <c r="P54" s="11" t="s">
        <v>316</v>
      </c>
      <c r="Q54" s="32" t="s">
        <v>31</v>
      </c>
      <c r="R54" s="66">
        <v>46180</v>
      </c>
      <c r="S54" s="58" t="s">
        <v>325</v>
      </c>
    </row>
    <row r="55" spans="1:20" ht="55.2" x14ac:dyDescent="0.3">
      <c r="A55" s="4"/>
      <c r="B55" s="32"/>
      <c r="C55" s="32" t="s">
        <v>427</v>
      </c>
      <c r="D55" s="30" t="s">
        <v>22</v>
      </c>
      <c r="E55" s="65"/>
      <c r="F55" s="27" t="s">
        <v>23</v>
      </c>
      <c r="G55" s="4" t="s">
        <v>24</v>
      </c>
      <c r="H55" s="14" t="s">
        <v>428</v>
      </c>
      <c r="I55" s="65"/>
      <c r="J55" s="32" t="s">
        <v>429</v>
      </c>
      <c r="K55" s="32" t="s">
        <v>430</v>
      </c>
      <c r="L55" s="32" t="s">
        <v>431</v>
      </c>
      <c r="M55" s="32" t="s">
        <v>432</v>
      </c>
      <c r="N55" s="65"/>
      <c r="O55" s="4" t="s">
        <v>30</v>
      </c>
      <c r="P55" s="11"/>
      <c r="Q55" s="32" t="s">
        <v>361</v>
      </c>
      <c r="R55" s="66"/>
      <c r="S55" s="58"/>
      <c r="T55" s="58" t="s">
        <v>433</v>
      </c>
    </row>
    <row r="56" spans="1:20" ht="55.2" x14ac:dyDescent="0.3">
      <c r="A56" s="4"/>
      <c r="B56" s="32"/>
      <c r="C56" s="32" t="s">
        <v>434</v>
      </c>
      <c r="D56" s="30" t="s">
        <v>22</v>
      </c>
      <c r="E56" s="65"/>
      <c r="F56" s="27" t="s">
        <v>43</v>
      </c>
      <c r="G56" s="4" t="s">
        <v>24</v>
      </c>
      <c r="H56" s="14" t="s">
        <v>435</v>
      </c>
      <c r="I56" s="65"/>
      <c r="J56" s="32" t="s">
        <v>436</v>
      </c>
      <c r="K56" s="32" t="s">
        <v>437</v>
      </c>
      <c r="L56" s="32" t="s">
        <v>438</v>
      </c>
      <c r="M56" s="32" t="s">
        <v>439</v>
      </c>
      <c r="N56" s="65"/>
      <c r="O56" s="4" t="s">
        <v>30</v>
      </c>
      <c r="P56" s="11"/>
      <c r="Q56" s="32" t="s">
        <v>361</v>
      </c>
      <c r="R56" s="66"/>
      <c r="S56" s="58"/>
      <c r="T56" s="58" t="s">
        <v>347</v>
      </c>
    </row>
    <row r="57" spans="1:20" ht="82.8" x14ac:dyDescent="0.3">
      <c r="A57" s="4"/>
      <c r="B57" s="32"/>
      <c r="C57" s="32" t="s">
        <v>440</v>
      </c>
      <c r="D57" s="30" t="s">
        <v>22</v>
      </c>
      <c r="E57" s="65"/>
      <c r="F57" s="27" t="s">
        <v>23</v>
      </c>
      <c r="G57" s="4" t="s">
        <v>24</v>
      </c>
      <c r="H57" s="14" t="s">
        <v>441</v>
      </c>
      <c r="I57" s="65"/>
      <c r="J57" s="32" t="s">
        <v>442</v>
      </c>
      <c r="K57" s="32" t="s">
        <v>443</v>
      </c>
      <c r="L57" s="32" t="s">
        <v>444</v>
      </c>
      <c r="M57" s="32" t="s">
        <v>445</v>
      </c>
      <c r="N57" s="65"/>
      <c r="O57" s="4"/>
      <c r="P57" s="11"/>
      <c r="Q57" s="32" t="s">
        <v>361</v>
      </c>
      <c r="R57" s="66"/>
      <c r="S57" s="58"/>
    </row>
    <row r="58" spans="1:20" ht="69" x14ac:dyDescent="0.3">
      <c r="A58" s="4" t="s">
        <v>446</v>
      </c>
      <c r="B58" s="32" t="s">
        <v>447</v>
      </c>
      <c r="C58" s="32" t="s">
        <v>448</v>
      </c>
      <c r="D58" s="30" t="s">
        <v>31</v>
      </c>
      <c r="E58" s="65" t="s">
        <v>449</v>
      </c>
      <c r="F58" s="27" t="s">
        <v>23</v>
      </c>
      <c r="G58" s="4" t="s">
        <v>24</v>
      </c>
      <c r="H58" s="14" t="s">
        <v>450</v>
      </c>
      <c r="I58" s="65" t="s">
        <v>449</v>
      </c>
      <c r="J58" s="32" t="s">
        <v>451</v>
      </c>
      <c r="K58" s="32" t="s">
        <v>452</v>
      </c>
      <c r="L58" s="32" t="s">
        <v>403</v>
      </c>
      <c r="M58" s="32" t="s">
        <v>333</v>
      </c>
      <c r="N58" s="65" t="s">
        <v>453</v>
      </c>
      <c r="O58" s="4" t="s">
        <v>315</v>
      </c>
      <c r="P58" s="11" t="s">
        <v>30</v>
      </c>
      <c r="Q58" s="32" t="s">
        <v>316</v>
      </c>
      <c r="R58" s="66" t="s">
        <v>31</v>
      </c>
      <c r="S58" s="67">
        <v>46180</v>
      </c>
      <c r="T58" s="58" t="s">
        <v>454</v>
      </c>
    </row>
    <row r="59" spans="1:20" ht="82.8" x14ac:dyDescent="0.3">
      <c r="A59" s="4" t="s">
        <v>421</v>
      </c>
      <c r="B59" s="32" t="s">
        <v>447</v>
      </c>
      <c r="C59" s="32" t="s">
        <v>455</v>
      </c>
      <c r="D59" s="30" t="s">
        <v>31</v>
      </c>
      <c r="E59" s="65" t="s">
        <v>449</v>
      </c>
      <c r="F59" s="27" t="s">
        <v>43</v>
      </c>
      <c r="G59" s="4" t="s">
        <v>24</v>
      </c>
      <c r="H59" s="14" t="s">
        <v>456</v>
      </c>
      <c r="I59" s="65" t="s">
        <v>449</v>
      </c>
      <c r="J59" s="32" t="s">
        <v>457</v>
      </c>
      <c r="K59" s="32" t="s">
        <v>458</v>
      </c>
      <c r="L59" s="32" t="s">
        <v>323</v>
      </c>
      <c r="M59" s="32" t="s">
        <v>459</v>
      </c>
      <c r="N59" s="65" t="s">
        <v>315</v>
      </c>
      <c r="O59" s="4" t="s">
        <v>30</v>
      </c>
      <c r="P59" s="11" t="s">
        <v>316</v>
      </c>
      <c r="Q59" s="32" t="s">
        <v>31</v>
      </c>
      <c r="R59" s="66">
        <v>46180</v>
      </c>
      <c r="S59" s="58" t="s">
        <v>325</v>
      </c>
    </row>
    <row r="60" spans="1:20" s="43" customFormat="1" ht="86.4" x14ac:dyDescent="0.3">
      <c r="A60" s="37" t="s">
        <v>460</v>
      </c>
      <c r="B60" s="42" t="s">
        <v>461</v>
      </c>
      <c r="C60" s="42" t="s">
        <v>462</v>
      </c>
      <c r="D60" s="68" t="s">
        <v>42</v>
      </c>
      <c r="E60" s="69" t="s">
        <v>96</v>
      </c>
      <c r="F60" s="70" t="s">
        <v>43</v>
      </c>
      <c r="G60" s="69" t="s">
        <v>24</v>
      </c>
      <c r="H60" s="41" t="s">
        <v>463</v>
      </c>
      <c r="I60" s="71" t="s">
        <v>464</v>
      </c>
      <c r="J60" s="42" t="s">
        <v>465</v>
      </c>
      <c r="K60" s="42" t="s">
        <v>466</v>
      </c>
      <c r="L60" s="42" t="s">
        <v>467</v>
      </c>
      <c r="M60" s="42" t="s">
        <v>468</v>
      </c>
      <c r="N60" s="69" t="s">
        <v>96</v>
      </c>
      <c r="O60" s="72" t="s">
        <v>30</v>
      </c>
      <c r="P60" s="42" t="s">
        <v>42</v>
      </c>
      <c r="Q60" s="42" t="s">
        <v>42</v>
      </c>
      <c r="R60" s="69" t="s">
        <v>96</v>
      </c>
      <c r="S60" s="69" t="s">
        <v>469</v>
      </c>
      <c r="T60" s="56" t="s">
        <v>470</v>
      </c>
    </row>
    <row r="61" spans="1:20" s="43" customFormat="1" ht="86.4" x14ac:dyDescent="0.3">
      <c r="A61" s="37" t="s">
        <v>471</v>
      </c>
      <c r="B61" s="42" t="s">
        <v>461</v>
      </c>
      <c r="C61" s="42" t="s">
        <v>472</v>
      </c>
      <c r="D61" s="68" t="s">
        <v>42</v>
      </c>
      <c r="E61" s="69" t="s">
        <v>96</v>
      </c>
      <c r="F61" s="70" t="s">
        <v>23</v>
      </c>
      <c r="G61" s="69" t="s">
        <v>24</v>
      </c>
      <c r="H61" s="41" t="s">
        <v>473</v>
      </c>
      <c r="I61" s="69" t="s">
        <v>464</v>
      </c>
      <c r="J61" s="42" t="s">
        <v>474</v>
      </c>
      <c r="K61" s="42" t="s">
        <v>475</v>
      </c>
      <c r="L61" s="42" t="s">
        <v>476</v>
      </c>
      <c r="M61" s="42" t="s">
        <v>477</v>
      </c>
      <c r="N61" s="69" t="s">
        <v>96</v>
      </c>
      <c r="O61" s="72" t="s">
        <v>30</v>
      </c>
      <c r="P61" s="42" t="s">
        <v>42</v>
      </c>
      <c r="Q61" s="42" t="s">
        <v>42</v>
      </c>
      <c r="R61" s="69" t="s">
        <v>96</v>
      </c>
      <c r="S61" s="69" t="s">
        <v>478</v>
      </c>
      <c r="T61" s="56" t="s">
        <v>479</v>
      </c>
    </row>
    <row r="62" spans="1:20" s="43" customFormat="1" ht="100.8" x14ac:dyDescent="0.3">
      <c r="A62" s="37" t="s">
        <v>480</v>
      </c>
      <c r="B62" s="42" t="s">
        <v>461</v>
      </c>
      <c r="C62" s="42" t="s">
        <v>481</v>
      </c>
      <c r="D62" s="68" t="s">
        <v>42</v>
      </c>
      <c r="E62" s="69" t="s">
        <v>96</v>
      </c>
      <c r="F62" s="70" t="s">
        <v>23</v>
      </c>
      <c r="G62" s="69" t="s">
        <v>24</v>
      </c>
      <c r="H62" s="73" t="s">
        <v>482</v>
      </c>
      <c r="I62" s="69" t="s">
        <v>464</v>
      </c>
      <c r="J62" s="42" t="s">
        <v>483</v>
      </c>
      <c r="K62" s="42" t="s">
        <v>484</v>
      </c>
      <c r="L62" s="42" t="s">
        <v>485</v>
      </c>
      <c r="M62" s="42" t="s">
        <v>486</v>
      </c>
      <c r="N62" s="69" t="s">
        <v>96</v>
      </c>
      <c r="O62" s="72" t="s">
        <v>30</v>
      </c>
      <c r="P62" s="42" t="s">
        <v>42</v>
      </c>
      <c r="Q62" s="42" t="s">
        <v>42</v>
      </c>
      <c r="R62" s="69" t="s">
        <v>96</v>
      </c>
      <c r="S62" s="69" t="s">
        <v>487</v>
      </c>
      <c r="T62" s="56" t="s">
        <v>488</v>
      </c>
    </row>
    <row r="63" spans="1:20" s="43" customFormat="1" ht="86.4" x14ac:dyDescent="0.3">
      <c r="A63" s="37" t="s">
        <v>489</v>
      </c>
      <c r="B63" s="42" t="s">
        <v>461</v>
      </c>
      <c r="C63" s="42" t="s">
        <v>490</v>
      </c>
      <c r="D63" s="68" t="s">
        <v>42</v>
      </c>
      <c r="E63" s="69" t="s">
        <v>96</v>
      </c>
      <c r="F63" s="70" t="s">
        <v>43</v>
      </c>
      <c r="G63" s="69" t="s">
        <v>24</v>
      </c>
      <c r="H63" s="74" t="s">
        <v>96</v>
      </c>
      <c r="I63" s="69" t="s">
        <v>464</v>
      </c>
      <c r="J63" s="42" t="s">
        <v>491</v>
      </c>
      <c r="K63" s="42" t="s">
        <v>492</v>
      </c>
      <c r="L63" s="42" t="s">
        <v>493</v>
      </c>
      <c r="M63" s="42" t="s">
        <v>494</v>
      </c>
      <c r="N63" s="69" t="s">
        <v>96</v>
      </c>
      <c r="O63" s="72" t="s">
        <v>30</v>
      </c>
      <c r="P63" s="42" t="s">
        <v>42</v>
      </c>
      <c r="Q63" s="42" t="s">
        <v>42</v>
      </c>
      <c r="R63" s="69" t="s">
        <v>96</v>
      </c>
      <c r="S63" s="69" t="s">
        <v>495</v>
      </c>
      <c r="T63" s="56" t="s">
        <v>496</v>
      </c>
    </row>
    <row r="64" spans="1:20" ht="115.2" x14ac:dyDescent="0.3">
      <c r="A64" s="4" t="s">
        <v>497</v>
      </c>
      <c r="B64" s="11" t="s">
        <v>461</v>
      </c>
      <c r="C64" s="11" t="s">
        <v>498</v>
      </c>
      <c r="D64" s="12" t="s">
        <v>42</v>
      </c>
      <c r="E64" s="75" t="s">
        <v>96</v>
      </c>
      <c r="F64" s="13" t="s">
        <v>23</v>
      </c>
      <c r="G64" s="75" t="s">
        <v>24</v>
      </c>
      <c r="H64" s="76" t="s">
        <v>96</v>
      </c>
      <c r="I64" s="75" t="s">
        <v>464</v>
      </c>
      <c r="J64" s="11" t="s">
        <v>499</v>
      </c>
      <c r="K64" s="11" t="s">
        <v>500</v>
      </c>
      <c r="L64" s="11" t="s">
        <v>501</v>
      </c>
      <c r="M64" s="11" t="s">
        <v>502</v>
      </c>
      <c r="N64" s="75" t="s">
        <v>96</v>
      </c>
      <c r="O64" s="77" t="s">
        <v>30</v>
      </c>
      <c r="P64" s="11" t="s">
        <v>42</v>
      </c>
      <c r="Q64" s="11" t="s">
        <v>42</v>
      </c>
      <c r="R64" s="75" t="s">
        <v>96</v>
      </c>
      <c r="S64" s="75" t="s">
        <v>503</v>
      </c>
    </row>
    <row r="65" spans="1:19" ht="115.2" x14ac:dyDescent="0.3">
      <c r="A65" s="4" t="s">
        <v>504</v>
      </c>
      <c r="B65" s="11" t="s">
        <v>461</v>
      </c>
      <c r="C65" s="11" t="s">
        <v>505</v>
      </c>
      <c r="D65" s="12" t="s">
        <v>42</v>
      </c>
      <c r="E65" s="75" t="s">
        <v>96</v>
      </c>
      <c r="F65" s="13" t="s">
        <v>23</v>
      </c>
      <c r="G65" s="75" t="s">
        <v>24</v>
      </c>
      <c r="H65" s="11" t="s">
        <v>96</v>
      </c>
      <c r="I65" s="75" t="s">
        <v>464</v>
      </c>
      <c r="J65" s="11" t="s">
        <v>506</v>
      </c>
      <c r="K65" s="11" t="s">
        <v>507</v>
      </c>
      <c r="L65" s="11" t="s">
        <v>508</v>
      </c>
      <c r="M65" s="11" t="s">
        <v>509</v>
      </c>
      <c r="N65" s="78" t="s">
        <v>96</v>
      </c>
      <c r="O65" s="77" t="s">
        <v>30</v>
      </c>
      <c r="P65" s="11" t="s">
        <v>42</v>
      </c>
      <c r="Q65" s="11" t="s">
        <v>42</v>
      </c>
      <c r="R65" s="75" t="s">
        <v>96</v>
      </c>
      <c r="S65" s="75" t="s">
        <v>510</v>
      </c>
    </row>
    <row r="66" spans="1:19" ht="129.6" x14ac:dyDescent="0.3">
      <c r="A66" s="4" t="s">
        <v>511</v>
      </c>
      <c r="B66" s="11" t="s">
        <v>461</v>
      </c>
      <c r="C66" s="11" t="s">
        <v>512</v>
      </c>
      <c r="D66" s="12" t="s">
        <v>42</v>
      </c>
      <c r="E66" s="75" t="s">
        <v>96</v>
      </c>
      <c r="F66" s="13" t="s">
        <v>76</v>
      </c>
      <c r="G66" s="75" t="s">
        <v>24</v>
      </c>
      <c r="H66" s="11" t="s">
        <v>96</v>
      </c>
      <c r="I66" s="75" t="s">
        <v>464</v>
      </c>
      <c r="J66" s="11" t="s">
        <v>513</v>
      </c>
      <c r="K66" s="11" t="s">
        <v>514</v>
      </c>
      <c r="L66" s="11" t="s">
        <v>515</v>
      </c>
      <c r="M66" s="11" t="s">
        <v>516</v>
      </c>
      <c r="N66" s="75" t="s">
        <v>96</v>
      </c>
      <c r="O66" s="77" t="s">
        <v>30</v>
      </c>
      <c r="P66" s="11" t="s">
        <v>42</v>
      </c>
      <c r="Q66" s="11" t="s">
        <v>42</v>
      </c>
      <c r="R66" s="75" t="s">
        <v>96</v>
      </c>
      <c r="S66" s="75" t="s">
        <v>517</v>
      </c>
    </row>
    <row r="67" spans="1:19" ht="55.2" x14ac:dyDescent="0.3">
      <c r="A67" s="4" t="s">
        <v>518</v>
      </c>
      <c r="B67" s="32" t="s">
        <v>519</v>
      </c>
      <c r="C67" s="32" t="s">
        <v>520</v>
      </c>
      <c r="D67" s="30" t="s">
        <v>31</v>
      </c>
      <c r="E67" s="65" t="s">
        <v>521</v>
      </c>
      <c r="F67" s="27" t="s">
        <v>43</v>
      </c>
      <c r="G67" s="4" t="s">
        <v>24</v>
      </c>
      <c r="H67" s="32" t="s">
        <v>522</v>
      </c>
      <c r="I67" s="65" t="s">
        <v>521</v>
      </c>
      <c r="J67" s="32" t="s">
        <v>523</v>
      </c>
      <c r="K67" s="32" t="s">
        <v>524</v>
      </c>
      <c r="L67" s="32" t="s">
        <v>525</v>
      </c>
      <c r="M67" s="32" t="s">
        <v>526</v>
      </c>
      <c r="N67" s="65" t="s">
        <v>315</v>
      </c>
      <c r="O67" s="4" t="s">
        <v>30</v>
      </c>
      <c r="P67" s="11" t="s">
        <v>316</v>
      </c>
      <c r="Q67" s="32" t="s">
        <v>31</v>
      </c>
      <c r="R67" s="66">
        <v>46180</v>
      </c>
      <c r="S67" s="58" t="s">
        <v>527</v>
      </c>
    </row>
    <row r="68" spans="1:19" ht="69" x14ac:dyDescent="0.3">
      <c r="A68" s="4" t="s">
        <v>528</v>
      </c>
      <c r="B68" s="32" t="s">
        <v>519</v>
      </c>
      <c r="C68" s="32" t="s">
        <v>529</v>
      </c>
      <c r="D68" s="30" t="s">
        <v>31</v>
      </c>
      <c r="E68" s="65" t="s">
        <v>521</v>
      </c>
      <c r="F68" s="27" t="s">
        <v>23</v>
      </c>
      <c r="G68" s="4" t="s">
        <v>24</v>
      </c>
      <c r="H68" s="32" t="s">
        <v>530</v>
      </c>
      <c r="I68" s="65" t="s">
        <v>521</v>
      </c>
      <c r="J68" s="32" t="s">
        <v>531</v>
      </c>
      <c r="K68" s="32" t="s">
        <v>532</v>
      </c>
      <c r="L68" s="32" t="s">
        <v>533</v>
      </c>
      <c r="M68" s="32" t="s">
        <v>534</v>
      </c>
      <c r="N68" s="65" t="s">
        <v>315</v>
      </c>
      <c r="O68" s="4" t="s">
        <v>30</v>
      </c>
      <c r="P68" s="11" t="s">
        <v>316</v>
      </c>
      <c r="Q68" s="32" t="s">
        <v>31</v>
      </c>
      <c r="R68" s="66">
        <v>46180</v>
      </c>
      <c r="S68" s="58" t="s">
        <v>535</v>
      </c>
    </row>
    <row r="69" spans="1:19" ht="43.2" x14ac:dyDescent="0.3">
      <c r="A69" s="4" t="s">
        <v>536</v>
      </c>
      <c r="B69" s="32" t="s">
        <v>519</v>
      </c>
      <c r="C69" s="32" t="s">
        <v>537</v>
      </c>
      <c r="D69" s="30" t="s">
        <v>31</v>
      </c>
      <c r="E69" s="65" t="s">
        <v>521</v>
      </c>
      <c r="F69" s="27" t="s">
        <v>43</v>
      </c>
      <c r="G69" s="4" t="s">
        <v>24</v>
      </c>
      <c r="H69" s="32" t="s">
        <v>538</v>
      </c>
      <c r="I69" s="65" t="s">
        <v>521</v>
      </c>
      <c r="J69" s="32" t="s">
        <v>539</v>
      </c>
      <c r="K69" s="32" t="s">
        <v>540</v>
      </c>
      <c r="L69" s="32" t="s">
        <v>541</v>
      </c>
      <c r="M69" s="32" t="s">
        <v>542</v>
      </c>
      <c r="N69" s="65" t="s">
        <v>315</v>
      </c>
      <c r="O69" s="4" t="s">
        <v>30</v>
      </c>
      <c r="P69" s="11" t="s">
        <v>316</v>
      </c>
      <c r="Q69" s="32" t="s">
        <v>31</v>
      </c>
      <c r="R69" s="66">
        <v>46180</v>
      </c>
      <c r="S69" s="58" t="s">
        <v>543</v>
      </c>
    </row>
    <row r="70" spans="1:19" ht="43.2" x14ac:dyDescent="0.3">
      <c r="A70" s="4" t="s">
        <v>544</v>
      </c>
      <c r="B70" s="32" t="s">
        <v>519</v>
      </c>
      <c r="C70" s="32" t="s">
        <v>545</v>
      </c>
      <c r="D70" s="30" t="s">
        <v>31</v>
      </c>
      <c r="E70" s="65" t="s">
        <v>521</v>
      </c>
      <c r="F70" s="27" t="s">
        <v>43</v>
      </c>
      <c r="G70" s="4" t="s">
        <v>24</v>
      </c>
      <c r="H70" s="32" t="s">
        <v>546</v>
      </c>
      <c r="I70" s="65" t="s">
        <v>521</v>
      </c>
      <c r="J70" s="32" t="s">
        <v>547</v>
      </c>
      <c r="K70" s="32" t="s">
        <v>548</v>
      </c>
      <c r="L70" s="32" t="s">
        <v>549</v>
      </c>
      <c r="M70" s="32" t="s">
        <v>550</v>
      </c>
      <c r="N70" s="65" t="s">
        <v>315</v>
      </c>
      <c r="O70" s="4" t="s">
        <v>30</v>
      </c>
      <c r="P70" s="11" t="s">
        <v>316</v>
      </c>
      <c r="Q70" s="32" t="s">
        <v>31</v>
      </c>
      <c r="R70" s="66">
        <v>46180</v>
      </c>
      <c r="S70" s="58" t="s">
        <v>551</v>
      </c>
    </row>
    <row r="71" spans="1:19" ht="55.2" x14ac:dyDescent="0.3">
      <c r="A71" s="4" t="s">
        <v>552</v>
      </c>
      <c r="B71" s="32" t="s">
        <v>519</v>
      </c>
      <c r="C71" s="32" t="s">
        <v>553</v>
      </c>
      <c r="D71" s="30" t="s">
        <v>31</v>
      </c>
      <c r="E71" s="65" t="s">
        <v>521</v>
      </c>
      <c r="F71" s="27" t="s">
        <v>34</v>
      </c>
      <c r="G71" s="4" t="s">
        <v>24</v>
      </c>
      <c r="H71" s="32" t="s">
        <v>554</v>
      </c>
      <c r="I71" s="65" t="s">
        <v>521</v>
      </c>
      <c r="J71" s="32" t="s">
        <v>555</v>
      </c>
      <c r="K71" s="32" t="s">
        <v>556</v>
      </c>
      <c r="L71" s="32" t="s">
        <v>557</v>
      </c>
      <c r="M71" s="32" t="s">
        <v>558</v>
      </c>
      <c r="N71" s="65" t="s">
        <v>315</v>
      </c>
      <c r="O71" s="4" t="s">
        <v>30</v>
      </c>
      <c r="P71" s="11" t="s">
        <v>316</v>
      </c>
      <c r="Q71" s="32" t="s">
        <v>31</v>
      </c>
      <c r="R71" s="66">
        <v>46180</v>
      </c>
      <c r="S71" s="58" t="s">
        <v>559</v>
      </c>
    </row>
    <row r="72" spans="1:19" ht="43.2" x14ac:dyDescent="0.3">
      <c r="A72" s="4" t="s">
        <v>560</v>
      </c>
      <c r="B72" s="32" t="s">
        <v>519</v>
      </c>
      <c r="C72" s="32" t="s">
        <v>561</v>
      </c>
      <c r="D72" s="30" t="s">
        <v>31</v>
      </c>
      <c r="E72" s="65" t="s">
        <v>521</v>
      </c>
      <c r="F72" s="27" t="s">
        <v>43</v>
      </c>
      <c r="G72" s="4" t="s">
        <v>24</v>
      </c>
      <c r="H72" s="32" t="s">
        <v>562</v>
      </c>
      <c r="I72" s="65" t="s">
        <v>521</v>
      </c>
      <c r="J72" s="32" t="s">
        <v>563</v>
      </c>
      <c r="K72" s="32" t="s">
        <v>548</v>
      </c>
      <c r="L72" s="32" t="s">
        <v>564</v>
      </c>
      <c r="M72" s="32" t="s">
        <v>565</v>
      </c>
      <c r="N72" s="65" t="s">
        <v>315</v>
      </c>
      <c r="O72" s="4" t="s">
        <v>30</v>
      </c>
      <c r="P72" s="11" t="s">
        <v>316</v>
      </c>
      <c r="Q72" s="32" t="s">
        <v>31</v>
      </c>
      <c r="R72" s="66">
        <v>46180</v>
      </c>
      <c r="S72" s="58" t="s">
        <v>566</v>
      </c>
    </row>
    <row r="73" spans="1:19" ht="55.2" x14ac:dyDescent="0.3">
      <c r="A73" s="4" t="s">
        <v>567</v>
      </c>
      <c r="B73" s="32" t="s">
        <v>519</v>
      </c>
      <c r="C73" s="32" t="s">
        <v>568</v>
      </c>
      <c r="D73" s="30" t="s">
        <v>31</v>
      </c>
      <c r="E73" s="65" t="s">
        <v>521</v>
      </c>
      <c r="F73" s="27" t="s">
        <v>34</v>
      </c>
      <c r="G73" s="4" t="s">
        <v>24</v>
      </c>
      <c r="H73" s="32" t="s">
        <v>569</v>
      </c>
      <c r="I73" s="65" t="s">
        <v>521</v>
      </c>
      <c r="J73" s="32" t="s">
        <v>570</v>
      </c>
      <c r="K73" s="32" t="s">
        <v>571</v>
      </c>
      <c r="L73" s="32" t="s">
        <v>572</v>
      </c>
      <c r="M73" s="32" t="s">
        <v>573</v>
      </c>
      <c r="N73" s="65" t="s">
        <v>315</v>
      </c>
      <c r="O73" s="4" t="s">
        <v>30</v>
      </c>
      <c r="P73" s="11" t="s">
        <v>316</v>
      </c>
      <c r="Q73" s="32" t="s">
        <v>31</v>
      </c>
      <c r="R73" s="66">
        <v>46180</v>
      </c>
      <c r="S73" s="58" t="s">
        <v>574</v>
      </c>
    </row>
    <row r="74" spans="1:19" ht="43.2" x14ac:dyDescent="0.3">
      <c r="A74" s="4" t="s">
        <v>575</v>
      </c>
      <c r="B74" s="32" t="s">
        <v>519</v>
      </c>
      <c r="C74" s="32" t="s">
        <v>576</v>
      </c>
      <c r="D74" s="30" t="s">
        <v>31</v>
      </c>
      <c r="E74" s="65" t="s">
        <v>521</v>
      </c>
      <c r="F74" s="27" t="s">
        <v>23</v>
      </c>
      <c r="G74" s="4" t="s">
        <v>24</v>
      </c>
      <c r="H74" s="32" t="s">
        <v>577</v>
      </c>
      <c r="I74" s="65" t="s">
        <v>521</v>
      </c>
      <c r="J74" s="32" t="s">
        <v>578</v>
      </c>
      <c r="K74" s="32" t="s">
        <v>579</v>
      </c>
      <c r="L74" s="32" t="s">
        <v>580</v>
      </c>
      <c r="M74" s="32" t="s">
        <v>581</v>
      </c>
      <c r="N74" s="65" t="s">
        <v>315</v>
      </c>
      <c r="O74" s="4" t="s">
        <v>30</v>
      </c>
      <c r="P74" s="11" t="s">
        <v>316</v>
      </c>
      <c r="Q74" s="32" t="s">
        <v>31</v>
      </c>
      <c r="R74" s="66">
        <v>46180</v>
      </c>
      <c r="S74" s="58" t="s">
        <v>582</v>
      </c>
    </row>
    <row r="75" spans="1:19" ht="43.2" x14ac:dyDescent="0.3">
      <c r="A75" s="4" t="s">
        <v>583</v>
      </c>
      <c r="B75" s="32" t="s">
        <v>519</v>
      </c>
      <c r="C75" s="32" t="s">
        <v>584</v>
      </c>
      <c r="D75" s="30" t="s">
        <v>31</v>
      </c>
      <c r="E75" s="65" t="s">
        <v>521</v>
      </c>
      <c r="F75" s="27" t="s">
        <v>34</v>
      </c>
      <c r="G75" s="4" t="s">
        <v>24</v>
      </c>
      <c r="H75" s="32" t="s">
        <v>585</v>
      </c>
      <c r="I75" s="65" t="s">
        <v>521</v>
      </c>
      <c r="J75" s="32" t="s">
        <v>586</v>
      </c>
      <c r="K75" s="32" t="s">
        <v>587</v>
      </c>
      <c r="L75" s="32" t="s">
        <v>588</v>
      </c>
      <c r="M75" s="32" t="s">
        <v>589</v>
      </c>
      <c r="N75" s="65" t="s">
        <v>315</v>
      </c>
      <c r="O75" s="4" t="s">
        <v>30</v>
      </c>
      <c r="P75" s="11" t="s">
        <v>316</v>
      </c>
      <c r="Q75" s="32" t="s">
        <v>31</v>
      </c>
      <c r="R75" s="66">
        <v>46180</v>
      </c>
      <c r="S75" s="58" t="s">
        <v>590</v>
      </c>
    </row>
    <row r="76" spans="1:19" ht="43.2" x14ac:dyDescent="0.3">
      <c r="A76" s="4" t="s">
        <v>591</v>
      </c>
      <c r="B76" s="32" t="s">
        <v>519</v>
      </c>
      <c r="C76" s="32" t="s">
        <v>592</v>
      </c>
      <c r="D76" s="30" t="s">
        <v>31</v>
      </c>
      <c r="E76" s="65" t="s">
        <v>521</v>
      </c>
      <c r="F76" s="27" t="s">
        <v>23</v>
      </c>
      <c r="G76" s="4" t="s">
        <v>24</v>
      </c>
      <c r="H76" s="32" t="s">
        <v>593</v>
      </c>
      <c r="I76" s="65" t="s">
        <v>521</v>
      </c>
      <c r="J76" s="32" t="s">
        <v>594</v>
      </c>
      <c r="K76" s="32" t="s">
        <v>595</v>
      </c>
      <c r="L76" s="32" t="s">
        <v>596</v>
      </c>
      <c r="M76" s="32" t="s">
        <v>597</v>
      </c>
      <c r="N76" s="65" t="s">
        <v>315</v>
      </c>
      <c r="O76" s="4" t="s">
        <v>30</v>
      </c>
      <c r="P76" s="11" t="s">
        <v>316</v>
      </c>
      <c r="Q76" s="32" t="s">
        <v>31</v>
      </c>
      <c r="R76" s="66">
        <v>46180</v>
      </c>
      <c r="S76" s="58" t="s">
        <v>598</v>
      </c>
    </row>
    <row r="77" spans="1:19" ht="55.2" x14ac:dyDescent="0.3">
      <c r="A77" s="4" t="s">
        <v>599</v>
      </c>
      <c r="B77" s="32" t="s">
        <v>519</v>
      </c>
      <c r="C77" s="32" t="s">
        <v>600</v>
      </c>
      <c r="D77" s="30" t="s">
        <v>31</v>
      </c>
      <c r="E77" s="65" t="s">
        <v>521</v>
      </c>
      <c r="F77" s="27" t="s">
        <v>23</v>
      </c>
      <c r="G77" s="4" t="s">
        <v>24</v>
      </c>
      <c r="H77" s="32" t="s">
        <v>601</v>
      </c>
      <c r="I77" s="65" t="s">
        <v>521</v>
      </c>
      <c r="J77" s="32" t="s">
        <v>602</v>
      </c>
      <c r="K77" s="32" t="s">
        <v>603</v>
      </c>
      <c r="L77" s="32" t="s">
        <v>604</v>
      </c>
      <c r="M77" s="32" t="s">
        <v>605</v>
      </c>
      <c r="N77" s="65" t="s">
        <v>315</v>
      </c>
      <c r="O77" s="4" t="s">
        <v>30</v>
      </c>
      <c r="P77" s="11" t="s">
        <v>316</v>
      </c>
      <c r="Q77" s="32" t="s">
        <v>31</v>
      </c>
      <c r="R77" s="66">
        <v>46180</v>
      </c>
      <c r="S77" s="58" t="s">
        <v>606</v>
      </c>
    </row>
    <row r="78" spans="1:19" ht="43.2" x14ac:dyDescent="0.3">
      <c r="A78" s="4" t="s">
        <v>607</v>
      </c>
      <c r="B78" s="32" t="s">
        <v>519</v>
      </c>
      <c r="C78" s="32" t="s">
        <v>608</v>
      </c>
      <c r="D78" s="30" t="s">
        <v>31</v>
      </c>
      <c r="E78" s="65" t="s">
        <v>521</v>
      </c>
      <c r="F78" s="27" t="s">
        <v>23</v>
      </c>
      <c r="G78" s="4" t="s">
        <v>24</v>
      </c>
      <c r="H78" s="32" t="s">
        <v>609</v>
      </c>
      <c r="I78" s="65" t="s">
        <v>521</v>
      </c>
      <c r="J78" s="32" t="s">
        <v>610</v>
      </c>
      <c r="K78" s="32" t="s">
        <v>611</v>
      </c>
      <c r="L78" s="32" t="s">
        <v>612</v>
      </c>
      <c r="M78" s="32" t="s">
        <v>613</v>
      </c>
      <c r="N78" s="65" t="s">
        <v>315</v>
      </c>
      <c r="O78" s="4" t="s">
        <v>30</v>
      </c>
      <c r="P78" s="11" t="s">
        <v>316</v>
      </c>
      <c r="Q78" s="32" t="s">
        <v>31</v>
      </c>
      <c r="R78" s="66">
        <v>46180</v>
      </c>
      <c r="S78" s="58" t="s">
        <v>614</v>
      </c>
    </row>
    <row r="79" spans="1:19" ht="55.2" x14ac:dyDescent="0.3">
      <c r="A79" s="4" t="s">
        <v>615</v>
      </c>
      <c r="B79" s="32" t="s">
        <v>519</v>
      </c>
      <c r="C79" s="32" t="s">
        <v>616</v>
      </c>
      <c r="D79" s="30" t="s">
        <v>31</v>
      </c>
      <c r="E79" s="65" t="s">
        <v>521</v>
      </c>
      <c r="F79" s="27" t="s">
        <v>23</v>
      </c>
      <c r="G79" s="4" t="s">
        <v>24</v>
      </c>
      <c r="H79" s="32" t="s">
        <v>617</v>
      </c>
      <c r="I79" s="65" t="s">
        <v>521</v>
      </c>
      <c r="J79" s="32" t="s">
        <v>618</v>
      </c>
      <c r="K79" s="32" t="s">
        <v>619</v>
      </c>
      <c r="L79" s="32" t="s">
        <v>620</v>
      </c>
      <c r="M79" s="32" t="s">
        <v>621</v>
      </c>
      <c r="N79" s="65" t="s">
        <v>315</v>
      </c>
      <c r="O79" s="4" t="s">
        <v>30</v>
      </c>
      <c r="P79" s="11" t="s">
        <v>316</v>
      </c>
      <c r="Q79" s="32" t="s">
        <v>31</v>
      </c>
      <c r="R79" s="66">
        <v>46180</v>
      </c>
      <c r="S79" s="58" t="s">
        <v>622</v>
      </c>
    </row>
    <row r="80" spans="1:19" ht="55.2" x14ac:dyDescent="0.3">
      <c r="A80" s="4" t="s">
        <v>623</v>
      </c>
      <c r="B80" s="32" t="s">
        <v>519</v>
      </c>
      <c r="C80" s="32" t="s">
        <v>624</v>
      </c>
      <c r="D80" s="30" t="s">
        <v>31</v>
      </c>
      <c r="E80" s="65" t="s">
        <v>521</v>
      </c>
      <c r="F80" s="27" t="s">
        <v>43</v>
      </c>
      <c r="G80" s="4" t="s">
        <v>24</v>
      </c>
      <c r="H80" s="32" t="s">
        <v>625</v>
      </c>
      <c r="I80" s="65" t="s">
        <v>521</v>
      </c>
      <c r="J80" s="32" t="s">
        <v>626</v>
      </c>
      <c r="K80" s="32" t="s">
        <v>627</v>
      </c>
      <c r="L80" s="32" t="s">
        <v>628</v>
      </c>
      <c r="M80" s="32" t="s">
        <v>629</v>
      </c>
      <c r="N80" s="65" t="s">
        <v>315</v>
      </c>
      <c r="O80" s="4" t="s">
        <v>30</v>
      </c>
      <c r="P80" s="11" t="s">
        <v>316</v>
      </c>
      <c r="Q80" s="32" t="s">
        <v>31</v>
      </c>
      <c r="R80" s="66">
        <v>46180</v>
      </c>
      <c r="S80" s="58" t="s">
        <v>630</v>
      </c>
    </row>
    <row r="81" spans="1:19" ht="43.2" x14ac:dyDescent="0.3">
      <c r="A81" s="4" t="s">
        <v>631</v>
      </c>
      <c r="B81" s="32" t="s">
        <v>519</v>
      </c>
      <c r="C81" s="32" t="s">
        <v>632</v>
      </c>
      <c r="D81" s="30" t="s">
        <v>31</v>
      </c>
      <c r="E81" s="65" t="s">
        <v>521</v>
      </c>
      <c r="F81" s="27" t="s">
        <v>43</v>
      </c>
      <c r="G81" s="4" t="s">
        <v>24</v>
      </c>
      <c r="H81" s="32" t="s">
        <v>633</v>
      </c>
      <c r="I81" s="65" t="s">
        <v>521</v>
      </c>
      <c r="J81" s="32" t="s">
        <v>634</v>
      </c>
      <c r="K81" s="32" t="s">
        <v>635</v>
      </c>
      <c r="L81" s="32" t="s">
        <v>636</v>
      </c>
      <c r="M81" s="32" t="s">
        <v>637</v>
      </c>
      <c r="N81" s="65" t="s">
        <v>315</v>
      </c>
      <c r="O81" s="4" t="s">
        <v>30</v>
      </c>
      <c r="P81" s="11" t="s">
        <v>316</v>
      </c>
      <c r="Q81" s="32" t="s">
        <v>31</v>
      </c>
      <c r="R81" s="66">
        <v>46180</v>
      </c>
      <c r="S81" s="58" t="s">
        <v>638</v>
      </c>
    </row>
    <row r="82" spans="1:19" ht="43.2" x14ac:dyDescent="0.3">
      <c r="A82" s="4" t="s">
        <v>639</v>
      </c>
      <c r="B82" s="32" t="s">
        <v>519</v>
      </c>
      <c r="C82" s="32" t="s">
        <v>640</v>
      </c>
      <c r="D82" s="30" t="s">
        <v>31</v>
      </c>
      <c r="E82" s="65" t="s">
        <v>521</v>
      </c>
      <c r="F82" s="27" t="s">
        <v>43</v>
      </c>
      <c r="G82" s="4" t="s">
        <v>24</v>
      </c>
      <c r="H82" s="32" t="s">
        <v>641</v>
      </c>
      <c r="I82" s="65" t="s">
        <v>521</v>
      </c>
      <c r="J82" s="32" t="s">
        <v>642</v>
      </c>
      <c r="K82" s="32" t="s">
        <v>643</v>
      </c>
      <c r="L82" s="32" t="s">
        <v>644</v>
      </c>
      <c r="M82" s="32" t="s">
        <v>645</v>
      </c>
      <c r="N82" s="65" t="s">
        <v>315</v>
      </c>
      <c r="O82" s="4" t="s">
        <v>30</v>
      </c>
      <c r="P82" s="11" t="s">
        <v>316</v>
      </c>
      <c r="Q82" s="32" t="s">
        <v>31</v>
      </c>
      <c r="R82" s="66">
        <v>46180</v>
      </c>
      <c r="S82" s="58" t="s">
        <v>646</v>
      </c>
    </row>
    <row r="83" spans="1:19" ht="69" x14ac:dyDescent="0.3">
      <c r="A83" s="4" t="s">
        <v>647</v>
      </c>
      <c r="B83" s="32" t="s">
        <v>648</v>
      </c>
      <c r="C83" s="32" t="s">
        <v>649</v>
      </c>
      <c r="D83" s="30" t="s">
        <v>31</v>
      </c>
      <c r="E83" s="65" t="s">
        <v>650</v>
      </c>
      <c r="F83" s="27" t="s">
        <v>43</v>
      </c>
      <c r="G83" s="4" t="s">
        <v>24</v>
      </c>
      <c r="H83" s="32" t="s">
        <v>651</v>
      </c>
      <c r="I83" s="65" t="s">
        <v>650</v>
      </c>
      <c r="J83" s="32" t="s">
        <v>652</v>
      </c>
      <c r="K83" s="32" t="s">
        <v>653</v>
      </c>
      <c r="L83" s="32" t="s">
        <v>654</v>
      </c>
      <c r="M83" s="32" t="s">
        <v>655</v>
      </c>
      <c r="N83" s="65" t="s">
        <v>315</v>
      </c>
      <c r="O83" s="4" t="s">
        <v>30</v>
      </c>
      <c r="P83" s="11" t="s">
        <v>316</v>
      </c>
      <c r="Q83" s="32" t="s">
        <v>31</v>
      </c>
      <c r="R83" s="66">
        <v>46180</v>
      </c>
      <c r="S83" s="58" t="s">
        <v>656</v>
      </c>
    </row>
    <row r="84" spans="1:19" ht="55.2" x14ac:dyDescent="0.3">
      <c r="A84" s="4" t="s">
        <v>657</v>
      </c>
      <c r="B84" s="32" t="s">
        <v>648</v>
      </c>
      <c r="C84" s="32" t="s">
        <v>658</v>
      </c>
      <c r="D84" s="30" t="s">
        <v>31</v>
      </c>
      <c r="E84" s="65" t="s">
        <v>650</v>
      </c>
      <c r="F84" s="27" t="s">
        <v>23</v>
      </c>
      <c r="G84" s="4" t="s">
        <v>24</v>
      </c>
      <c r="H84" s="32" t="s">
        <v>659</v>
      </c>
      <c r="I84" s="65" t="s">
        <v>650</v>
      </c>
      <c r="J84" s="32" t="s">
        <v>660</v>
      </c>
      <c r="K84" s="32" t="s">
        <v>661</v>
      </c>
      <c r="L84" s="32" t="s">
        <v>662</v>
      </c>
      <c r="M84" s="32" t="s">
        <v>663</v>
      </c>
      <c r="N84" s="65" t="s">
        <v>315</v>
      </c>
      <c r="O84" s="4" t="s">
        <v>30</v>
      </c>
      <c r="P84" s="11" t="s">
        <v>316</v>
      </c>
      <c r="Q84" s="32" t="s">
        <v>31</v>
      </c>
      <c r="R84" s="66">
        <v>46180</v>
      </c>
      <c r="S84" s="58" t="s">
        <v>606</v>
      </c>
    </row>
    <row r="85" spans="1:19" ht="55.2" x14ac:dyDescent="0.3">
      <c r="A85" s="4" t="s">
        <v>664</v>
      </c>
      <c r="B85" s="32" t="s">
        <v>665</v>
      </c>
      <c r="C85" s="32" t="s">
        <v>666</v>
      </c>
      <c r="D85" s="30" t="s">
        <v>31</v>
      </c>
      <c r="E85" s="65" t="s">
        <v>650</v>
      </c>
      <c r="F85" s="27" t="s">
        <v>23</v>
      </c>
      <c r="G85" s="4" t="s">
        <v>24</v>
      </c>
      <c r="H85" s="32" t="s">
        <v>667</v>
      </c>
      <c r="I85" s="65" t="s">
        <v>650</v>
      </c>
      <c r="J85" s="32" t="s">
        <v>668</v>
      </c>
      <c r="K85" s="32" t="s">
        <v>669</v>
      </c>
      <c r="L85" s="32" t="s">
        <v>670</v>
      </c>
      <c r="M85" s="32" t="s">
        <v>671</v>
      </c>
      <c r="N85" s="65" t="s">
        <v>315</v>
      </c>
      <c r="O85" s="4" t="s">
        <v>30</v>
      </c>
      <c r="P85" s="11" t="s">
        <v>316</v>
      </c>
      <c r="Q85" s="32" t="s">
        <v>31</v>
      </c>
      <c r="R85" s="66">
        <v>46180</v>
      </c>
      <c r="S85" s="58" t="s">
        <v>672</v>
      </c>
    </row>
    <row r="86" spans="1:19" ht="43.2" x14ac:dyDescent="0.3">
      <c r="A86" s="4" t="s">
        <v>673</v>
      </c>
      <c r="B86" s="32" t="s">
        <v>665</v>
      </c>
      <c r="C86" s="32" t="s">
        <v>674</v>
      </c>
      <c r="D86" s="30" t="s">
        <v>31</v>
      </c>
      <c r="E86" s="65" t="s">
        <v>650</v>
      </c>
      <c r="F86" s="27" t="s">
        <v>23</v>
      </c>
      <c r="G86" s="4" t="s">
        <v>24</v>
      </c>
      <c r="H86" s="32" t="s">
        <v>675</v>
      </c>
      <c r="I86" s="65" t="s">
        <v>650</v>
      </c>
      <c r="J86" s="32" t="s">
        <v>676</v>
      </c>
      <c r="K86" s="32" t="s">
        <v>677</v>
      </c>
      <c r="L86" s="32" t="s">
        <v>678</v>
      </c>
      <c r="M86" s="32" t="s">
        <v>621</v>
      </c>
      <c r="N86" s="65" t="s">
        <v>315</v>
      </c>
      <c r="O86" s="4" t="s">
        <v>30</v>
      </c>
      <c r="P86" s="11" t="s">
        <v>316</v>
      </c>
      <c r="Q86" s="32" t="s">
        <v>31</v>
      </c>
      <c r="R86" s="66">
        <v>46180</v>
      </c>
      <c r="S86" s="58" t="s">
        <v>679</v>
      </c>
    </row>
    <row r="87" spans="1:19" ht="69" x14ac:dyDescent="0.3">
      <c r="A87" s="4" t="s">
        <v>680</v>
      </c>
      <c r="B87" s="32" t="s">
        <v>681</v>
      </c>
      <c r="C87" s="32" t="s">
        <v>682</v>
      </c>
      <c r="D87" s="30" t="s">
        <v>31</v>
      </c>
      <c r="E87" s="65" t="s">
        <v>683</v>
      </c>
      <c r="F87" s="27" t="s">
        <v>23</v>
      </c>
      <c r="G87" s="4" t="s">
        <v>24</v>
      </c>
      <c r="H87" s="32" t="s">
        <v>684</v>
      </c>
      <c r="I87" s="65" t="s">
        <v>683</v>
      </c>
      <c r="J87" s="32" t="s">
        <v>685</v>
      </c>
      <c r="K87" s="32" t="s">
        <v>532</v>
      </c>
      <c r="L87" s="32" t="s">
        <v>686</v>
      </c>
      <c r="M87" s="32" t="s">
        <v>534</v>
      </c>
      <c r="N87" s="65" t="s">
        <v>315</v>
      </c>
      <c r="O87" s="4" t="s">
        <v>30</v>
      </c>
      <c r="P87" s="11" t="s">
        <v>316</v>
      </c>
      <c r="Q87" s="32" t="s">
        <v>31</v>
      </c>
      <c r="R87" s="66">
        <v>46180</v>
      </c>
      <c r="S87" s="58" t="s">
        <v>687</v>
      </c>
    </row>
    <row r="88" spans="1:19" s="58" customFormat="1" ht="55.2" x14ac:dyDescent="0.3">
      <c r="A88" s="4" t="s">
        <v>688</v>
      </c>
      <c r="B88" s="32" t="s">
        <v>689</v>
      </c>
      <c r="C88" s="32" t="s">
        <v>690</v>
      </c>
      <c r="D88" s="30" t="s">
        <v>31</v>
      </c>
      <c r="E88" s="65" t="s">
        <v>683</v>
      </c>
      <c r="F88" s="27" t="s">
        <v>43</v>
      </c>
      <c r="G88" s="4" t="s">
        <v>24</v>
      </c>
      <c r="H88" s="32" t="s">
        <v>691</v>
      </c>
      <c r="I88" s="65" t="s">
        <v>683</v>
      </c>
      <c r="J88" s="32" t="s">
        <v>692</v>
      </c>
      <c r="K88" s="32" t="s">
        <v>693</v>
      </c>
      <c r="L88" s="32" t="s">
        <v>694</v>
      </c>
      <c r="M88" s="32" t="s">
        <v>695</v>
      </c>
      <c r="N88" s="65" t="s">
        <v>315</v>
      </c>
      <c r="O88" s="4" t="s">
        <v>30</v>
      </c>
      <c r="P88" s="11" t="s">
        <v>316</v>
      </c>
      <c r="Q88" s="32" t="s">
        <v>31</v>
      </c>
      <c r="R88" s="67">
        <v>46180</v>
      </c>
      <c r="S88" s="58" t="s">
        <v>696</v>
      </c>
    </row>
    <row r="89" spans="1:19" s="58" customFormat="1" ht="55.2" x14ac:dyDescent="0.3">
      <c r="A89" s="4" t="s">
        <v>697</v>
      </c>
      <c r="B89" s="32" t="s">
        <v>698</v>
      </c>
      <c r="C89" s="32" t="s">
        <v>699</v>
      </c>
      <c r="D89" s="30" t="s">
        <v>31</v>
      </c>
      <c r="E89" s="65" t="s">
        <v>683</v>
      </c>
      <c r="F89" s="27" t="s">
        <v>43</v>
      </c>
      <c r="G89" s="4" t="s">
        <v>24</v>
      </c>
      <c r="H89" s="32" t="s">
        <v>700</v>
      </c>
      <c r="I89" s="65" t="s">
        <v>683</v>
      </c>
      <c r="J89" s="32" t="s">
        <v>701</v>
      </c>
      <c r="K89" s="32" t="s">
        <v>702</v>
      </c>
      <c r="L89" s="32" t="s">
        <v>703</v>
      </c>
      <c r="M89" s="32" t="s">
        <v>704</v>
      </c>
      <c r="N89" s="65" t="s">
        <v>315</v>
      </c>
      <c r="O89" s="4" t="s">
        <v>30</v>
      </c>
      <c r="P89" s="11" t="s">
        <v>316</v>
      </c>
      <c r="Q89" s="32" t="s">
        <v>31</v>
      </c>
      <c r="R89" s="67">
        <v>46180</v>
      </c>
      <c r="S89" s="58" t="s">
        <v>705</v>
      </c>
    </row>
    <row r="90" spans="1:19" s="58" customFormat="1" ht="43.2" x14ac:dyDescent="0.3">
      <c r="A90" s="4" t="s">
        <v>706</v>
      </c>
      <c r="B90" s="32" t="s">
        <v>707</v>
      </c>
      <c r="C90" s="32" t="s">
        <v>708</v>
      </c>
      <c r="D90" s="30" t="s">
        <v>22</v>
      </c>
      <c r="E90" s="65" t="s">
        <v>709</v>
      </c>
      <c r="F90" s="27" t="s">
        <v>43</v>
      </c>
      <c r="G90" s="4" t="s">
        <v>24</v>
      </c>
      <c r="H90" s="32" t="s">
        <v>710</v>
      </c>
      <c r="I90" s="65" t="s">
        <v>709</v>
      </c>
      <c r="J90" s="32" t="s">
        <v>711</v>
      </c>
      <c r="K90" s="32" t="s">
        <v>712</v>
      </c>
      <c r="L90" s="32" t="s">
        <v>713</v>
      </c>
      <c r="M90" s="32" t="s">
        <v>714</v>
      </c>
      <c r="N90" s="65" t="s">
        <v>315</v>
      </c>
      <c r="O90" s="4" t="s">
        <v>30</v>
      </c>
      <c r="P90" s="11" t="s">
        <v>316</v>
      </c>
      <c r="Q90" s="32" t="s">
        <v>22</v>
      </c>
      <c r="R90" s="67">
        <v>46180</v>
      </c>
      <c r="S90" s="58" t="s">
        <v>715</v>
      </c>
    </row>
    <row r="91" spans="1:19" ht="129.6" x14ac:dyDescent="0.3">
      <c r="A91" s="4" t="s">
        <v>716</v>
      </c>
      <c r="B91" s="11" t="s">
        <v>717</v>
      </c>
      <c r="C91" s="11" t="s">
        <v>718</v>
      </c>
      <c r="D91" s="12" t="s">
        <v>42</v>
      </c>
      <c r="E91" s="75" t="s">
        <v>96</v>
      </c>
      <c r="F91" s="13" t="s">
        <v>43</v>
      </c>
      <c r="G91" s="75" t="s">
        <v>24</v>
      </c>
      <c r="H91" s="76" t="s">
        <v>96</v>
      </c>
      <c r="I91" s="75" t="s">
        <v>719</v>
      </c>
      <c r="J91" s="11" t="s">
        <v>720</v>
      </c>
      <c r="K91" s="11" t="s">
        <v>721</v>
      </c>
      <c r="L91" s="11" t="s">
        <v>722</v>
      </c>
      <c r="M91" s="11" t="s">
        <v>723</v>
      </c>
      <c r="N91" s="78" t="s">
        <v>96</v>
      </c>
      <c r="O91" s="77" t="s">
        <v>30</v>
      </c>
      <c r="P91" s="11" t="s">
        <v>42</v>
      </c>
      <c r="Q91" s="11" t="s">
        <v>42</v>
      </c>
      <c r="R91" s="75" t="s">
        <v>96</v>
      </c>
      <c r="S91" s="75" t="s">
        <v>724</v>
      </c>
    </row>
    <row r="92" spans="1:19" ht="72" x14ac:dyDescent="0.3">
      <c r="A92" s="4" t="s">
        <v>725</v>
      </c>
      <c r="B92" s="11" t="s">
        <v>717</v>
      </c>
      <c r="C92" s="11" t="s">
        <v>726</v>
      </c>
      <c r="D92" s="12" t="s">
        <v>42</v>
      </c>
      <c r="E92" s="75" t="s">
        <v>96</v>
      </c>
      <c r="F92" s="13" t="s">
        <v>76</v>
      </c>
      <c r="G92" s="75" t="s">
        <v>24</v>
      </c>
      <c r="H92" s="11" t="s">
        <v>96</v>
      </c>
      <c r="I92" s="75" t="s">
        <v>719</v>
      </c>
      <c r="J92" s="11" t="s">
        <v>727</v>
      </c>
      <c r="K92" s="11" t="s">
        <v>728</v>
      </c>
      <c r="L92" s="11" t="s">
        <v>729</v>
      </c>
      <c r="M92" s="11" t="s">
        <v>730</v>
      </c>
      <c r="N92" s="75" t="s">
        <v>96</v>
      </c>
      <c r="O92" s="77" t="s">
        <v>30</v>
      </c>
      <c r="P92" s="11" t="s">
        <v>42</v>
      </c>
      <c r="Q92" s="11" t="s">
        <v>42</v>
      </c>
      <c r="R92" s="75" t="s">
        <v>96</v>
      </c>
      <c r="S92" s="75" t="s">
        <v>731</v>
      </c>
    </row>
    <row r="93" spans="1:19" ht="96.6" x14ac:dyDescent="0.3">
      <c r="A93" s="4" t="s">
        <v>732</v>
      </c>
      <c r="B93" s="25" t="s">
        <v>717</v>
      </c>
      <c r="C93" s="25" t="s">
        <v>733</v>
      </c>
      <c r="D93" s="12" t="s">
        <v>42</v>
      </c>
      <c r="E93" s="79" t="s">
        <v>96</v>
      </c>
      <c r="F93" s="27" t="s">
        <v>43</v>
      </c>
      <c r="G93" s="75" t="s">
        <v>24</v>
      </c>
      <c r="H93" s="25" t="s">
        <v>96</v>
      </c>
      <c r="I93" s="79" t="s">
        <v>719</v>
      </c>
      <c r="J93" s="25" t="s">
        <v>734</v>
      </c>
      <c r="K93" s="25" t="s">
        <v>735</v>
      </c>
      <c r="L93" s="25" t="s">
        <v>736</v>
      </c>
      <c r="M93" s="25" t="s">
        <v>737</v>
      </c>
      <c r="N93" s="79" t="s">
        <v>96</v>
      </c>
      <c r="O93" s="77" t="s">
        <v>30</v>
      </c>
      <c r="P93" s="11" t="s">
        <v>42</v>
      </c>
      <c r="Q93" s="11" t="s">
        <v>42</v>
      </c>
      <c r="R93" s="75" t="s">
        <v>96</v>
      </c>
      <c r="S93" s="75" t="s">
        <v>738</v>
      </c>
    </row>
    <row r="94" spans="1:19" ht="82.8" x14ac:dyDescent="0.3">
      <c r="A94" s="4" t="s">
        <v>739</v>
      </c>
      <c r="B94" s="25" t="s">
        <v>717</v>
      </c>
      <c r="C94" s="25" t="s">
        <v>740</v>
      </c>
      <c r="D94" s="12" t="s">
        <v>42</v>
      </c>
      <c r="E94" s="79" t="s">
        <v>96</v>
      </c>
      <c r="F94" s="27" t="s">
        <v>76</v>
      </c>
      <c r="G94" s="75" t="s">
        <v>24</v>
      </c>
      <c r="H94" s="25" t="s">
        <v>96</v>
      </c>
      <c r="I94" s="79" t="s">
        <v>719</v>
      </c>
      <c r="J94" s="25" t="s">
        <v>741</v>
      </c>
      <c r="K94" s="25" t="s">
        <v>742</v>
      </c>
      <c r="L94" s="25" t="s">
        <v>743</v>
      </c>
      <c r="M94" s="25" t="s">
        <v>744</v>
      </c>
      <c r="N94" s="79" t="s">
        <v>96</v>
      </c>
      <c r="O94" s="77" t="s">
        <v>30</v>
      </c>
      <c r="P94" s="11" t="s">
        <v>42</v>
      </c>
      <c r="Q94" s="11" t="s">
        <v>42</v>
      </c>
      <c r="R94" s="75" t="s">
        <v>96</v>
      </c>
      <c r="S94" s="75" t="s">
        <v>745</v>
      </c>
    </row>
    <row r="95" spans="1:19" ht="82.8" x14ac:dyDescent="0.3">
      <c r="A95" s="4" t="s">
        <v>746</v>
      </c>
      <c r="B95" s="25" t="s">
        <v>717</v>
      </c>
      <c r="C95" s="25" t="s">
        <v>747</v>
      </c>
      <c r="D95" s="12" t="s">
        <v>42</v>
      </c>
      <c r="E95" s="79" t="s">
        <v>96</v>
      </c>
      <c r="F95" s="27" t="s">
        <v>76</v>
      </c>
      <c r="G95" s="75" t="s">
        <v>24</v>
      </c>
      <c r="H95" s="25" t="s">
        <v>96</v>
      </c>
      <c r="I95" s="79" t="s">
        <v>719</v>
      </c>
      <c r="J95" s="25" t="s">
        <v>748</v>
      </c>
      <c r="K95" s="25" t="s">
        <v>749</v>
      </c>
      <c r="L95" s="25" t="s">
        <v>750</v>
      </c>
      <c r="M95" s="25" t="s">
        <v>751</v>
      </c>
      <c r="N95" s="79" t="s">
        <v>96</v>
      </c>
      <c r="O95" s="77" t="s">
        <v>30</v>
      </c>
      <c r="P95" s="11" t="s">
        <v>42</v>
      </c>
      <c r="Q95" s="11" t="s">
        <v>42</v>
      </c>
      <c r="R95" s="75" t="s">
        <v>96</v>
      </c>
      <c r="S95" s="75" t="s">
        <v>752</v>
      </c>
    </row>
    <row r="96" spans="1:19" ht="179.4" x14ac:dyDescent="0.3">
      <c r="A96" s="4" t="s">
        <v>753</v>
      </c>
      <c r="B96" s="32" t="s">
        <v>717</v>
      </c>
      <c r="C96" s="32" t="s">
        <v>754</v>
      </c>
      <c r="D96" s="12" t="s">
        <v>42</v>
      </c>
      <c r="E96" s="65" t="s">
        <v>96</v>
      </c>
      <c r="F96" s="27" t="s">
        <v>23</v>
      </c>
      <c r="G96" s="75" t="s">
        <v>24</v>
      </c>
      <c r="H96" s="32" t="s">
        <v>96</v>
      </c>
      <c r="I96" s="65" t="s">
        <v>719</v>
      </c>
      <c r="J96" s="32" t="s">
        <v>755</v>
      </c>
      <c r="K96" s="32" t="s">
        <v>756</v>
      </c>
      <c r="L96" s="32" t="s">
        <v>757</v>
      </c>
      <c r="M96" s="32" t="s">
        <v>758</v>
      </c>
      <c r="N96" s="65" t="s">
        <v>96</v>
      </c>
      <c r="O96" s="77" t="s">
        <v>30</v>
      </c>
      <c r="P96" s="11" t="s">
        <v>42</v>
      </c>
      <c r="Q96" s="11" t="s">
        <v>42</v>
      </c>
      <c r="R96" s="75" t="s">
        <v>96</v>
      </c>
      <c r="S96" s="75" t="s">
        <v>759</v>
      </c>
    </row>
    <row r="97" spans="1:20" ht="124.2" x14ac:dyDescent="0.3">
      <c r="A97" s="4" t="s">
        <v>760</v>
      </c>
      <c r="B97" s="32" t="s">
        <v>761</v>
      </c>
      <c r="C97" s="32" t="s">
        <v>762</v>
      </c>
      <c r="D97" s="12" t="s">
        <v>42</v>
      </c>
      <c r="E97" s="65" t="s">
        <v>96</v>
      </c>
      <c r="F97" s="27" t="s">
        <v>76</v>
      </c>
      <c r="G97" s="75" t="s">
        <v>24</v>
      </c>
      <c r="H97" s="32" t="s">
        <v>96</v>
      </c>
      <c r="I97" s="65" t="s">
        <v>763</v>
      </c>
      <c r="J97" s="32" t="s">
        <v>764</v>
      </c>
      <c r="K97" s="32" t="s">
        <v>765</v>
      </c>
      <c r="L97" s="32" t="s">
        <v>766</v>
      </c>
      <c r="M97" s="32" t="s">
        <v>767</v>
      </c>
      <c r="N97" s="65" t="s">
        <v>96</v>
      </c>
      <c r="O97" s="77" t="s">
        <v>30</v>
      </c>
      <c r="P97" s="11" t="s">
        <v>42</v>
      </c>
      <c r="Q97" s="11" t="s">
        <v>42</v>
      </c>
      <c r="R97" s="75" t="s">
        <v>96</v>
      </c>
      <c r="S97" s="75" t="s">
        <v>768</v>
      </c>
    </row>
    <row r="98" spans="1:20" ht="165.6" x14ac:dyDescent="0.3">
      <c r="A98" s="4" t="s">
        <v>769</v>
      </c>
      <c r="B98" s="32" t="s">
        <v>761</v>
      </c>
      <c r="C98" s="32" t="s">
        <v>770</v>
      </c>
      <c r="D98" s="12" t="s">
        <v>42</v>
      </c>
      <c r="E98" s="65" t="s">
        <v>96</v>
      </c>
      <c r="F98" s="27" t="s">
        <v>23</v>
      </c>
      <c r="G98" s="75" t="s">
        <v>24</v>
      </c>
      <c r="H98" s="32" t="s">
        <v>96</v>
      </c>
      <c r="I98" s="65" t="s">
        <v>763</v>
      </c>
      <c r="J98" s="32" t="s">
        <v>771</v>
      </c>
      <c r="K98" s="32" t="s">
        <v>772</v>
      </c>
      <c r="L98" s="32" t="s">
        <v>773</v>
      </c>
      <c r="M98" s="32" t="s">
        <v>774</v>
      </c>
      <c r="N98" s="65" t="s">
        <v>96</v>
      </c>
      <c r="O98" s="77" t="s">
        <v>30</v>
      </c>
      <c r="P98" s="11" t="s">
        <v>42</v>
      </c>
      <c r="Q98" s="11" t="s">
        <v>42</v>
      </c>
      <c r="R98" s="75" t="s">
        <v>96</v>
      </c>
      <c r="S98" s="75" t="s">
        <v>775</v>
      </c>
    </row>
    <row r="99" spans="1:20" ht="110.4" x14ac:dyDescent="0.3">
      <c r="A99" s="4" t="s">
        <v>776</v>
      </c>
      <c r="B99" s="32" t="s">
        <v>761</v>
      </c>
      <c r="C99" s="32" t="s">
        <v>777</v>
      </c>
      <c r="D99" s="12" t="s">
        <v>42</v>
      </c>
      <c r="E99" s="65" t="s">
        <v>96</v>
      </c>
      <c r="F99" s="27" t="s">
        <v>76</v>
      </c>
      <c r="G99" s="75" t="s">
        <v>24</v>
      </c>
      <c r="H99" s="32" t="s">
        <v>96</v>
      </c>
      <c r="I99" s="65" t="s">
        <v>763</v>
      </c>
      <c r="J99" s="32" t="s">
        <v>778</v>
      </c>
      <c r="K99" s="32" t="s">
        <v>779</v>
      </c>
      <c r="L99" s="32" t="s">
        <v>780</v>
      </c>
      <c r="M99" s="32" t="s">
        <v>781</v>
      </c>
      <c r="N99" s="65" t="s">
        <v>96</v>
      </c>
      <c r="O99" s="77" t="s">
        <v>30</v>
      </c>
      <c r="P99" s="11" t="s">
        <v>42</v>
      </c>
      <c r="Q99" s="11" t="s">
        <v>42</v>
      </c>
      <c r="R99" s="75" t="s">
        <v>96</v>
      </c>
      <c r="S99" s="75" t="s">
        <v>782</v>
      </c>
    </row>
    <row r="100" spans="1:20" ht="110.4" x14ac:dyDescent="0.3">
      <c r="A100" s="4" t="s">
        <v>783</v>
      </c>
      <c r="B100" s="32" t="s">
        <v>784</v>
      </c>
      <c r="C100" s="32" t="s">
        <v>785</v>
      </c>
      <c r="D100" s="12" t="s">
        <v>42</v>
      </c>
      <c r="E100" s="65" t="s">
        <v>96</v>
      </c>
      <c r="F100" s="27" t="s">
        <v>23</v>
      </c>
      <c r="G100" s="75" t="s">
        <v>24</v>
      </c>
      <c r="H100" s="32" t="s">
        <v>96</v>
      </c>
      <c r="I100" s="65" t="s">
        <v>786</v>
      </c>
      <c r="J100" s="32" t="s">
        <v>787</v>
      </c>
      <c r="K100" s="32" t="s">
        <v>788</v>
      </c>
      <c r="L100" s="32" t="s">
        <v>789</v>
      </c>
      <c r="M100" s="32" t="s">
        <v>790</v>
      </c>
      <c r="N100" s="65" t="s">
        <v>96</v>
      </c>
      <c r="O100" s="77" t="s">
        <v>30</v>
      </c>
      <c r="P100" s="11" t="s">
        <v>42</v>
      </c>
      <c r="Q100" s="11" t="s">
        <v>42</v>
      </c>
      <c r="R100" s="75" t="s">
        <v>96</v>
      </c>
      <c r="S100" s="75" t="s">
        <v>791</v>
      </c>
    </row>
    <row r="101" spans="1:20" ht="110.4" x14ac:dyDescent="0.3">
      <c r="A101" s="4" t="s">
        <v>792</v>
      </c>
      <c r="B101" s="32" t="s">
        <v>784</v>
      </c>
      <c r="C101" s="32" t="s">
        <v>793</v>
      </c>
      <c r="D101" s="12" t="s">
        <v>42</v>
      </c>
      <c r="E101" s="65" t="s">
        <v>96</v>
      </c>
      <c r="F101" s="27" t="s">
        <v>23</v>
      </c>
      <c r="G101" s="75" t="s">
        <v>24</v>
      </c>
      <c r="H101" s="32" t="s">
        <v>96</v>
      </c>
      <c r="I101" s="65" t="s">
        <v>786</v>
      </c>
      <c r="J101" s="32" t="s">
        <v>794</v>
      </c>
      <c r="K101" s="32" t="s">
        <v>795</v>
      </c>
      <c r="L101" s="32" t="s">
        <v>796</v>
      </c>
      <c r="M101" s="32" t="s">
        <v>797</v>
      </c>
      <c r="N101" s="65" t="s">
        <v>96</v>
      </c>
      <c r="O101" s="77" t="s">
        <v>30</v>
      </c>
      <c r="P101" s="11" t="s">
        <v>42</v>
      </c>
      <c r="Q101" s="11" t="s">
        <v>42</v>
      </c>
      <c r="R101" s="75" t="s">
        <v>96</v>
      </c>
      <c r="S101" s="75" t="s">
        <v>798</v>
      </c>
    </row>
    <row r="102" spans="1:20" ht="72" x14ac:dyDescent="0.3">
      <c r="A102" s="4" t="s">
        <v>799</v>
      </c>
      <c r="B102" s="10" t="s">
        <v>800</v>
      </c>
      <c r="C102" s="4" t="s">
        <v>801</v>
      </c>
      <c r="D102" s="80" t="s">
        <v>361</v>
      </c>
      <c r="E102" t="s">
        <v>802</v>
      </c>
      <c r="F102" s="81" t="s">
        <v>43</v>
      </c>
      <c r="G102" t="s">
        <v>803</v>
      </c>
      <c r="H102" s="10" t="s">
        <v>804</v>
      </c>
      <c r="I102" t="s">
        <v>802</v>
      </c>
      <c r="J102" s="4" t="s">
        <v>805</v>
      </c>
      <c r="K102" s="4" t="s">
        <v>806</v>
      </c>
      <c r="L102" s="4" t="s">
        <v>807</v>
      </c>
      <c r="M102" s="4" t="s">
        <v>808</v>
      </c>
      <c r="N102" s="58" t="s">
        <v>809</v>
      </c>
      <c r="O102" s="58" t="s">
        <v>315</v>
      </c>
      <c r="P102" s="10" t="s">
        <v>30</v>
      </c>
      <c r="Q102" s="10" t="s">
        <v>316</v>
      </c>
      <c r="R102" t="s">
        <v>361</v>
      </c>
      <c r="S102" s="66">
        <v>46180</v>
      </c>
      <c r="T102" s="58" t="s">
        <v>810</v>
      </c>
    </row>
    <row r="103" spans="1:20" ht="72" x14ac:dyDescent="0.3">
      <c r="A103" s="4" t="s">
        <v>811</v>
      </c>
      <c r="B103" s="10" t="s">
        <v>812</v>
      </c>
      <c r="C103" s="4" t="s">
        <v>813</v>
      </c>
      <c r="D103" s="80" t="s">
        <v>361</v>
      </c>
      <c r="E103" t="s">
        <v>802</v>
      </c>
      <c r="F103" s="81" t="s">
        <v>43</v>
      </c>
      <c r="G103" t="s">
        <v>803</v>
      </c>
      <c r="H103" s="10" t="s">
        <v>814</v>
      </c>
      <c r="I103" t="s">
        <v>802</v>
      </c>
      <c r="J103" s="4" t="s">
        <v>815</v>
      </c>
      <c r="K103" s="4" t="s">
        <v>816</v>
      </c>
      <c r="L103" s="4" t="s">
        <v>817</v>
      </c>
      <c r="M103" s="4" t="s">
        <v>818</v>
      </c>
      <c r="N103" s="58" t="s">
        <v>819</v>
      </c>
      <c r="O103" s="58" t="s">
        <v>315</v>
      </c>
      <c r="P103" s="10" t="s">
        <v>30</v>
      </c>
      <c r="Q103" s="10" t="s">
        <v>316</v>
      </c>
      <c r="R103" t="s">
        <v>361</v>
      </c>
      <c r="S103" s="66">
        <v>46180</v>
      </c>
      <c r="T103" s="58" t="s">
        <v>820</v>
      </c>
    </row>
    <row r="104" spans="1:20" ht="43.2" x14ac:dyDescent="0.3">
      <c r="A104" s="4" t="s">
        <v>821</v>
      </c>
      <c r="B104" s="10" t="s">
        <v>812</v>
      </c>
      <c r="C104" s="10" t="s">
        <v>822</v>
      </c>
      <c r="D104" s="80" t="s">
        <v>361</v>
      </c>
      <c r="E104" t="s">
        <v>802</v>
      </c>
      <c r="F104" s="81" t="s">
        <v>23</v>
      </c>
      <c r="G104" t="s">
        <v>803</v>
      </c>
      <c r="H104" s="10" t="s">
        <v>823</v>
      </c>
      <c r="I104" t="s">
        <v>802</v>
      </c>
      <c r="J104" s="4" t="s">
        <v>824</v>
      </c>
      <c r="K104" s="4" t="s">
        <v>825</v>
      </c>
      <c r="L104" s="4" t="s">
        <v>826</v>
      </c>
      <c r="M104" s="4" t="s">
        <v>827</v>
      </c>
      <c r="N104" s="58" t="s">
        <v>315</v>
      </c>
      <c r="O104" t="s">
        <v>30</v>
      </c>
      <c r="P104" s="10" t="s">
        <v>316</v>
      </c>
      <c r="Q104" s="10" t="s">
        <v>361</v>
      </c>
      <c r="R104" s="66">
        <v>46180</v>
      </c>
      <c r="S104" s="58" t="s">
        <v>828</v>
      </c>
    </row>
    <row r="105" spans="1:20" ht="57.6" x14ac:dyDescent="0.3">
      <c r="A105" s="4" t="s">
        <v>829</v>
      </c>
      <c r="B105" s="10" t="s">
        <v>812</v>
      </c>
      <c r="C105" s="4" t="s">
        <v>830</v>
      </c>
      <c r="D105" s="80" t="s">
        <v>361</v>
      </c>
      <c r="E105" t="s">
        <v>802</v>
      </c>
      <c r="F105" s="81" t="s">
        <v>43</v>
      </c>
      <c r="G105" t="s">
        <v>803</v>
      </c>
      <c r="H105" s="10" t="s">
        <v>831</v>
      </c>
      <c r="I105" t="s">
        <v>802</v>
      </c>
      <c r="J105" s="4" t="s">
        <v>832</v>
      </c>
      <c r="K105" s="4" t="s">
        <v>833</v>
      </c>
      <c r="L105" s="4" t="s">
        <v>834</v>
      </c>
      <c r="M105" s="4" t="s">
        <v>835</v>
      </c>
      <c r="N105" s="58" t="s">
        <v>836</v>
      </c>
      <c r="O105" s="58" t="s">
        <v>315</v>
      </c>
      <c r="P105" s="10" t="s">
        <v>30</v>
      </c>
      <c r="Q105" s="10" t="s">
        <v>316</v>
      </c>
      <c r="R105" t="s">
        <v>361</v>
      </c>
      <c r="S105" s="66">
        <v>46180</v>
      </c>
      <c r="T105" s="58" t="s">
        <v>837</v>
      </c>
    </row>
    <row r="106" spans="1:20" ht="57.6" x14ac:dyDescent="0.3">
      <c r="A106" s="4" t="s">
        <v>838</v>
      </c>
      <c r="B106" s="10" t="s">
        <v>839</v>
      </c>
      <c r="C106" s="10" t="s">
        <v>840</v>
      </c>
      <c r="D106" s="80" t="s">
        <v>361</v>
      </c>
      <c r="E106" t="s">
        <v>841</v>
      </c>
      <c r="F106" s="81" t="s">
        <v>43</v>
      </c>
      <c r="G106" t="s">
        <v>803</v>
      </c>
      <c r="H106" s="10" t="s">
        <v>842</v>
      </c>
      <c r="I106" t="s">
        <v>841</v>
      </c>
      <c r="J106" s="4" t="s">
        <v>843</v>
      </c>
      <c r="K106" s="4" t="s">
        <v>844</v>
      </c>
      <c r="L106" s="4" t="s">
        <v>845</v>
      </c>
      <c r="M106" s="4" t="s">
        <v>846</v>
      </c>
      <c r="N106" s="58" t="s">
        <v>315</v>
      </c>
      <c r="O106" t="s">
        <v>30</v>
      </c>
      <c r="P106" s="10" t="s">
        <v>316</v>
      </c>
      <c r="Q106" s="10" t="s">
        <v>847</v>
      </c>
      <c r="R106" s="66">
        <v>46180</v>
      </c>
      <c r="S106" s="58" t="s">
        <v>848</v>
      </c>
    </row>
    <row r="107" spans="1:20" ht="69" x14ac:dyDescent="0.3">
      <c r="A107" s="4" t="s">
        <v>849</v>
      </c>
      <c r="B107" s="32" t="s">
        <v>850</v>
      </c>
      <c r="C107" s="32" t="s">
        <v>851</v>
      </c>
      <c r="D107" s="30" t="s">
        <v>31</v>
      </c>
      <c r="E107" s="32" t="s">
        <v>852</v>
      </c>
      <c r="F107" s="27" t="s">
        <v>43</v>
      </c>
      <c r="G107" s="4" t="s">
        <v>24</v>
      </c>
      <c r="H107" s="32" t="s">
        <v>853</v>
      </c>
      <c r="I107" s="32" t="s">
        <v>852</v>
      </c>
      <c r="J107" s="32" t="s">
        <v>854</v>
      </c>
      <c r="K107" s="32" t="s">
        <v>855</v>
      </c>
      <c r="L107" s="32" t="s">
        <v>856</v>
      </c>
      <c r="M107" s="32" t="s">
        <v>857</v>
      </c>
      <c r="N107" s="32" t="s">
        <v>315</v>
      </c>
      <c r="O107" s="4" t="s">
        <v>30</v>
      </c>
      <c r="P107" s="11" t="s">
        <v>316</v>
      </c>
      <c r="Q107" s="32" t="s">
        <v>31</v>
      </c>
      <c r="R107" s="59">
        <v>46180</v>
      </c>
      <c r="S107" s="4" t="s">
        <v>858</v>
      </c>
    </row>
    <row r="108" spans="1:20" ht="55.2" x14ac:dyDescent="0.3">
      <c r="A108" s="4" t="s">
        <v>859</v>
      </c>
      <c r="B108" s="32" t="s">
        <v>850</v>
      </c>
      <c r="C108" s="32" t="s">
        <v>860</v>
      </c>
      <c r="D108" s="30" t="s">
        <v>31</v>
      </c>
      <c r="E108" s="32" t="s">
        <v>861</v>
      </c>
      <c r="F108" s="27" t="s">
        <v>43</v>
      </c>
      <c r="G108" s="4" t="s">
        <v>24</v>
      </c>
      <c r="H108" s="32" t="s">
        <v>862</v>
      </c>
      <c r="I108" s="32" t="s">
        <v>861</v>
      </c>
      <c r="J108" s="32" t="s">
        <v>863</v>
      </c>
      <c r="K108" s="32" t="s">
        <v>864</v>
      </c>
      <c r="L108" s="32" t="s">
        <v>313</v>
      </c>
      <c r="M108" s="32" t="s">
        <v>314</v>
      </c>
      <c r="N108" s="32" t="s">
        <v>315</v>
      </c>
      <c r="O108" s="4" t="s">
        <v>30</v>
      </c>
      <c r="P108" s="11" t="s">
        <v>316</v>
      </c>
      <c r="Q108" s="32" t="s">
        <v>31</v>
      </c>
      <c r="R108" s="59">
        <v>46180</v>
      </c>
      <c r="S108" s="4" t="s">
        <v>317</v>
      </c>
    </row>
    <row r="109" spans="1:20" ht="55.2" x14ac:dyDescent="0.3">
      <c r="A109" s="4" t="s">
        <v>865</v>
      </c>
      <c r="B109" s="32" t="s">
        <v>850</v>
      </c>
      <c r="C109" s="32" t="s">
        <v>866</v>
      </c>
      <c r="D109" s="30" t="s">
        <v>31</v>
      </c>
      <c r="E109" s="32" t="s">
        <v>867</v>
      </c>
      <c r="F109" s="27" t="s">
        <v>23</v>
      </c>
      <c r="G109" s="4" t="s">
        <v>24</v>
      </c>
      <c r="H109" s="32" t="s">
        <v>868</v>
      </c>
      <c r="I109" s="32" t="s">
        <v>867</v>
      </c>
      <c r="J109" s="32" t="s">
        <v>869</v>
      </c>
      <c r="K109" s="32" t="s">
        <v>870</v>
      </c>
      <c r="L109" s="32" t="s">
        <v>871</v>
      </c>
      <c r="M109" s="32" t="s">
        <v>872</v>
      </c>
      <c r="N109" s="32" t="s">
        <v>315</v>
      </c>
      <c r="O109" s="4" t="s">
        <v>30</v>
      </c>
      <c r="P109" s="11" t="s">
        <v>316</v>
      </c>
      <c r="Q109" s="32" t="s">
        <v>31</v>
      </c>
      <c r="R109" s="59">
        <v>46180</v>
      </c>
      <c r="S109" s="4" t="s">
        <v>873</v>
      </c>
    </row>
    <row r="110" spans="1:20" ht="43.2" x14ac:dyDescent="0.3">
      <c r="A110" s="4" t="s">
        <v>874</v>
      </c>
      <c r="B110" s="32" t="s">
        <v>850</v>
      </c>
      <c r="C110" s="32" t="s">
        <v>875</v>
      </c>
      <c r="D110" s="30" t="s">
        <v>31</v>
      </c>
      <c r="E110" s="32" t="s">
        <v>876</v>
      </c>
      <c r="F110" s="27" t="s">
        <v>76</v>
      </c>
      <c r="G110" s="4" t="s">
        <v>24</v>
      </c>
      <c r="H110" s="32" t="s">
        <v>877</v>
      </c>
      <c r="I110" s="32" t="s">
        <v>876</v>
      </c>
      <c r="J110" s="32" t="s">
        <v>878</v>
      </c>
      <c r="K110" s="32" t="s">
        <v>879</v>
      </c>
      <c r="L110" s="32" t="s">
        <v>880</v>
      </c>
      <c r="M110" s="32" t="s">
        <v>881</v>
      </c>
      <c r="N110" s="32" t="s">
        <v>315</v>
      </c>
      <c r="O110" s="4" t="s">
        <v>30</v>
      </c>
      <c r="P110" s="11" t="s">
        <v>316</v>
      </c>
      <c r="Q110" s="32" t="s">
        <v>31</v>
      </c>
      <c r="R110" s="59">
        <v>46180</v>
      </c>
      <c r="S110" s="4" t="s">
        <v>882</v>
      </c>
    </row>
    <row r="111" spans="1:20" ht="55.2" x14ac:dyDescent="0.3">
      <c r="A111" s="4" t="s">
        <v>883</v>
      </c>
      <c r="B111" s="32" t="s">
        <v>884</v>
      </c>
      <c r="C111" s="32" t="s">
        <v>885</v>
      </c>
      <c r="D111" s="30" t="s">
        <v>31</v>
      </c>
      <c r="E111" s="32" t="s">
        <v>886</v>
      </c>
      <c r="F111" s="27" t="s">
        <v>43</v>
      </c>
      <c r="G111" s="4" t="s">
        <v>24</v>
      </c>
      <c r="H111" s="32" t="s">
        <v>887</v>
      </c>
      <c r="I111" s="32" t="s">
        <v>886</v>
      </c>
      <c r="J111" s="32" t="s">
        <v>888</v>
      </c>
      <c r="K111" s="32" t="s">
        <v>889</v>
      </c>
      <c r="L111" s="32" t="s">
        <v>890</v>
      </c>
      <c r="M111" s="32" t="s">
        <v>891</v>
      </c>
      <c r="N111" s="32" t="s">
        <v>315</v>
      </c>
      <c r="O111" s="4" t="s">
        <v>30</v>
      </c>
      <c r="P111" s="11" t="s">
        <v>316</v>
      </c>
      <c r="Q111" s="32" t="s">
        <v>31</v>
      </c>
      <c r="R111" s="59">
        <v>46180</v>
      </c>
      <c r="S111" s="4" t="s">
        <v>892</v>
      </c>
    </row>
    <row r="112" spans="1:20" ht="55.2" x14ac:dyDescent="0.3">
      <c r="A112" s="4" t="s">
        <v>893</v>
      </c>
      <c r="B112" s="32" t="s">
        <v>894</v>
      </c>
      <c r="C112" s="32" t="s">
        <v>895</v>
      </c>
      <c r="D112" s="30" t="s">
        <v>22</v>
      </c>
      <c r="E112" s="32" t="s">
        <v>896</v>
      </c>
      <c r="F112" s="27" t="s">
        <v>23</v>
      </c>
      <c r="G112" s="4" t="s">
        <v>24</v>
      </c>
      <c r="H112" s="32" t="s">
        <v>897</v>
      </c>
      <c r="I112" s="32" t="s">
        <v>896</v>
      </c>
      <c r="J112" s="32" t="s">
        <v>898</v>
      </c>
      <c r="K112" s="32" t="s">
        <v>899</v>
      </c>
      <c r="L112" s="32" t="s">
        <v>900</v>
      </c>
      <c r="M112" s="32" t="s">
        <v>901</v>
      </c>
      <c r="N112" s="32" t="s">
        <v>315</v>
      </c>
      <c r="O112" s="4" t="s">
        <v>30</v>
      </c>
      <c r="P112" s="11" t="s">
        <v>316</v>
      </c>
      <c r="Q112" s="32" t="s">
        <v>22</v>
      </c>
      <c r="R112" s="59">
        <v>46180</v>
      </c>
      <c r="S112" s="4" t="s">
        <v>902</v>
      </c>
    </row>
    <row r="113" spans="1:20" ht="55.2" x14ac:dyDescent="0.3">
      <c r="A113" s="4" t="s">
        <v>903</v>
      </c>
      <c r="B113" s="32" t="s">
        <v>894</v>
      </c>
      <c r="C113" s="32" t="s">
        <v>904</v>
      </c>
      <c r="D113" s="30" t="s">
        <v>22</v>
      </c>
      <c r="E113" s="32" t="s">
        <v>905</v>
      </c>
      <c r="F113" s="27" t="s">
        <v>43</v>
      </c>
      <c r="G113" s="4" t="s">
        <v>24</v>
      </c>
      <c r="H113" s="32" t="s">
        <v>906</v>
      </c>
      <c r="I113" s="32" t="s">
        <v>905</v>
      </c>
      <c r="J113" s="32" t="s">
        <v>907</v>
      </c>
      <c r="K113" s="32" t="s">
        <v>908</v>
      </c>
      <c r="L113" s="32" t="s">
        <v>909</v>
      </c>
      <c r="M113" s="32" t="s">
        <v>910</v>
      </c>
      <c r="N113" s="32" t="s">
        <v>315</v>
      </c>
      <c r="O113" s="4" t="s">
        <v>30</v>
      </c>
      <c r="P113" s="11" t="s">
        <v>316</v>
      </c>
      <c r="Q113" s="32" t="s">
        <v>22</v>
      </c>
      <c r="R113" s="59">
        <v>46180</v>
      </c>
      <c r="S113" s="4" t="s">
        <v>911</v>
      </c>
    </row>
    <row r="114" spans="1:20" ht="55.2" x14ac:dyDescent="0.3">
      <c r="A114" s="4" t="s">
        <v>912</v>
      </c>
      <c r="B114" s="32" t="s">
        <v>894</v>
      </c>
      <c r="C114" s="32" t="s">
        <v>913</v>
      </c>
      <c r="D114" s="30" t="s">
        <v>22</v>
      </c>
      <c r="E114" s="32" t="s">
        <v>914</v>
      </c>
      <c r="F114" s="27" t="s">
        <v>43</v>
      </c>
      <c r="G114" s="4" t="s">
        <v>24</v>
      </c>
      <c r="H114" s="32" t="s">
        <v>915</v>
      </c>
      <c r="I114" s="32" t="s">
        <v>914</v>
      </c>
      <c r="J114" s="32" t="s">
        <v>916</v>
      </c>
      <c r="K114" s="32" t="s">
        <v>917</v>
      </c>
      <c r="L114" s="32" t="s">
        <v>918</v>
      </c>
      <c r="M114" s="32" t="s">
        <v>919</v>
      </c>
      <c r="N114" s="32" t="s">
        <v>315</v>
      </c>
      <c r="O114" s="4" t="s">
        <v>30</v>
      </c>
      <c r="P114" s="11" t="s">
        <v>316</v>
      </c>
      <c r="Q114" s="32" t="s">
        <v>22</v>
      </c>
      <c r="R114" s="59">
        <v>46180</v>
      </c>
      <c r="S114" s="4" t="s">
        <v>920</v>
      </c>
    </row>
    <row r="115" spans="1:20" ht="69" x14ac:dyDescent="0.3">
      <c r="A115" s="4" t="s">
        <v>921</v>
      </c>
      <c r="B115" s="32" t="s">
        <v>922</v>
      </c>
      <c r="C115" s="32" t="s">
        <v>923</v>
      </c>
      <c r="D115" s="30" t="s">
        <v>31</v>
      </c>
      <c r="E115" s="32" t="s">
        <v>924</v>
      </c>
      <c r="F115" s="27" t="s">
        <v>23</v>
      </c>
      <c r="G115" s="4" t="s">
        <v>24</v>
      </c>
      <c r="H115" s="32" t="s">
        <v>925</v>
      </c>
      <c r="I115" s="32" t="s">
        <v>924</v>
      </c>
      <c r="J115" s="32" t="s">
        <v>926</v>
      </c>
      <c r="K115" s="32" t="s">
        <v>927</v>
      </c>
      <c r="L115" s="32" t="s">
        <v>928</v>
      </c>
      <c r="M115" s="32" t="s">
        <v>929</v>
      </c>
      <c r="N115" s="32" t="s">
        <v>315</v>
      </c>
      <c r="O115" s="4" t="s">
        <v>30</v>
      </c>
      <c r="P115" s="11" t="s">
        <v>316</v>
      </c>
      <c r="Q115" s="32" t="s">
        <v>31</v>
      </c>
      <c r="R115" s="59">
        <v>46180</v>
      </c>
      <c r="S115" s="4" t="s">
        <v>930</v>
      </c>
    </row>
    <row r="116" spans="1:20" s="90" customFormat="1" ht="82.8" x14ac:dyDescent="0.3">
      <c r="A116" s="4" t="s">
        <v>931</v>
      </c>
      <c r="B116" s="82" t="s">
        <v>922</v>
      </c>
      <c r="C116" s="82" t="s">
        <v>932</v>
      </c>
      <c r="D116" s="83" t="s">
        <v>31</v>
      </c>
      <c r="E116" s="82" t="s">
        <v>933</v>
      </c>
      <c r="F116" s="84" t="s">
        <v>43</v>
      </c>
      <c r="G116" s="85" t="s">
        <v>24</v>
      </c>
      <c r="H116" s="86" t="s">
        <v>934</v>
      </c>
      <c r="I116" s="82" t="s">
        <v>933</v>
      </c>
      <c r="J116" s="82" t="s">
        <v>935</v>
      </c>
      <c r="K116" s="82" t="s">
        <v>936</v>
      </c>
      <c r="L116" s="82" t="s">
        <v>937</v>
      </c>
      <c r="M116" s="82" t="s">
        <v>938</v>
      </c>
      <c r="N116" s="82" t="s">
        <v>315</v>
      </c>
      <c r="O116" s="85" t="s">
        <v>30</v>
      </c>
      <c r="P116" s="87" t="s">
        <v>316</v>
      </c>
      <c r="Q116" s="82" t="s">
        <v>31</v>
      </c>
      <c r="R116" s="88">
        <v>46180</v>
      </c>
      <c r="S116" s="85" t="s">
        <v>939</v>
      </c>
      <c r="T116" s="89"/>
    </row>
    <row r="117" spans="1:20" ht="69" x14ac:dyDescent="0.3">
      <c r="A117" s="4" t="s">
        <v>940</v>
      </c>
      <c r="B117" s="91" t="s">
        <v>922</v>
      </c>
      <c r="C117" s="91" t="s">
        <v>941</v>
      </c>
      <c r="D117" s="92" t="s">
        <v>31</v>
      </c>
      <c r="E117" s="91" t="s">
        <v>924</v>
      </c>
      <c r="F117" s="27" t="s">
        <v>23</v>
      </c>
      <c r="G117" s="4" t="s">
        <v>24</v>
      </c>
      <c r="H117" s="32" t="s">
        <v>925</v>
      </c>
      <c r="I117" s="91" t="s">
        <v>924</v>
      </c>
      <c r="J117" s="91" t="s">
        <v>926</v>
      </c>
      <c r="K117" s="91" t="s">
        <v>927</v>
      </c>
      <c r="L117" s="91" t="s">
        <v>928</v>
      </c>
      <c r="M117" s="91" t="s">
        <v>929</v>
      </c>
      <c r="N117" s="91" t="s">
        <v>315</v>
      </c>
      <c r="O117" s="4" t="s">
        <v>30</v>
      </c>
      <c r="P117" s="93" t="s">
        <v>316</v>
      </c>
      <c r="Q117" s="91" t="s">
        <v>31</v>
      </c>
      <c r="R117" s="59">
        <v>46180</v>
      </c>
      <c r="S117" s="4" t="s">
        <v>930</v>
      </c>
    </row>
    <row r="118" spans="1:20" ht="82.8" x14ac:dyDescent="0.3">
      <c r="A118" s="4" t="s">
        <v>942</v>
      </c>
      <c r="B118" s="32" t="s">
        <v>922</v>
      </c>
      <c r="C118" s="32" t="s">
        <v>943</v>
      </c>
      <c r="D118" s="30" t="s">
        <v>31</v>
      </c>
      <c r="E118" s="32" t="s">
        <v>944</v>
      </c>
      <c r="F118" s="27" t="s">
        <v>43</v>
      </c>
      <c r="G118" s="4" t="s">
        <v>24</v>
      </c>
      <c r="H118" s="32" t="s">
        <v>945</v>
      </c>
      <c r="I118" s="32" t="s">
        <v>944</v>
      </c>
      <c r="J118" s="32" t="s">
        <v>946</v>
      </c>
      <c r="K118" s="32" t="s">
        <v>947</v>
      </c>
      <c r="L118" s="32" t="s">
        <v>948</v>
      </c>
      <c r="M118" s="32" t="s">
        <v>949</v>
      </c>
      <c r="N118" s="32" t="s">
        <v>315</v>
      </c>
      <c r="O118" s="4" t="s">
        <v>30</v>
      </c>
      <c r="P118" s="11" t="s">
        <v>316</v>
      </c>
      <c r="Q118" s="32" t="s">
        <v>31</v>
      </c>
      <c r="R118" s="59">
        <v>46180</v>
      </c>
      <c r="S118" s="4" t="s">
        <v>950</v>
      </c>
    </row>
    <row r="119" spans="1:20" ht="69" x14ac:dyDescent="0.3">
      <c r="A119" s="4" t="s">
        <v>951</v>
      </c>
      <c r="B119" s="32" t="s">
        <v>952</v>
      </c>
      <c r="C119" s="32" t="s">
        <v>953</v>
      </c>
      <c r="D119" s="30" t="s">
        <v>31</v>
      </c>
      <c r="E119" s="32" t="s">
        <v>954</v>
      </c>
      <c r="F119" s="27" t="s">
        <v>23</v>
      </c>
      <c r="G119" s="4" t="s">
        <v>24</v>
      </c>
      <c r="H119" s="32" t="s">
        <v>955</v>
      </c>
      <c r="I119" s="32" t="s">
        <v>954</v>
      </c>
      <c r="J119" s="32" t="s">
        <v>956</v>
      </c>
      <c r="K119" s="32" t="s">
        <v>957</v>
      </c>
      <c r="L119" s="32" t="s">
        <v>332</v>
      </c>
      <c r="M119" s="32" t="s">
        <v>958</v>
      </c>
      <c r="N119" s="32" t="s">
        <v>315</v>
      </c>
      <c r="O119" s="4" t="s">
        <v>30</v>
      </c>
      <c r="P119" s="11" t="s">
        <v>316</v>
      </c>
      <c r="Q119" s="32" t="s">
        <v>31</v>
      </c>
      <c r="R119" s="59">
        <v>46180</v>
      </c>
      <c r="S119" s="4" t="s">
        <v>959</v>
      </c>
    </row>
    <row r="120" spans="1:20" s="43" customFormat="1" ht="55.2" x14ac:dyDescent="0.3">
      <c r="A120" s="4" t="s">
        <v>960</v>
      </c>
      <c r="B120" s="94" t="s">
        <v>952</v>
      </c>
      <c r="C120" s="94" t="s">
        <v>961</v>
      </c>
      <c r="D120" s="95" t="s">
        <v>31</v>
      </c>
      <c r="E120" s="94" t="s">
        <v>933</v>
      </c>
      <c r="F120" s="96" t="s">
        <v>43</v>
      </c>
      <c r="G120" s="37" t="s">
        <v>24</v>
      </c>
      <c r="H120" s="97" t="s">
        <v>934</v>
      </c>
      <c r="I120" s="94" t="s">
        <v>933</v>
      </c>
      <c r="J120" s="94" t="s">
        <v>962</v>
      </c>
      <c r="K120" s="94" t="s">
        <v>963</v>
      </c>
      <c r="L120" s="94" t="s">
        <v>964</v>
      </c>
      <c r="M120" s="94" t="s">
        <v>965</v>
      </c>
      <c r="N120" s="94" t="s">
        <v>315</v>
      </c>
      <c r="O120" s="37" t="s">
        <v>30</v>
      </c>
      <c r="P120" s="98" t="s">
        <v>316</v>
      </c>
      <c r="Q120" s="94" t="s">
        <v>31</v>
      </c>
      <c r="R120" s="99">
        <v>46180</v>
      </c>
      <c r="S120" s="37" t="s">
        <v>966</v>
      </c>
      <c r="T120" s="56"/>
    </row>
    <row r="121" spans="1:20" ht="69" x14ac:dyDescent="0.3">
      <c r="A121" s="4" t="s">
        <v>967</v>
      </c>
      <c r="B121" s="91" t="s">
        <v>952</v>
      </c>
      <c r="C121" s="91" t="s">
        <v>941</v>
      </c>
      <c r="D121" s="92" t="s">
        <v>31</v>
      </c>
      <c r="E121" s="91" t="s">
        <v>924</v>
      </c>
      <c r="F121" s="27" t="s">
        <v>23</v>
      </c>
      <c r="G121" s="4" t="s">
        <v>24</v>
      </c>
      <c r="H121" s="32" t="s">
        <v>925</v>
      </c>
      <c r="I121" s="91" t="s">
        <v>924</v>
      </c>
      <c r="J121" s="91" t="s">
        <v>956</v>
      </c>
      <c r="K121" s="91" t="s">
        <v>957</v>
      </c>
      <c r="L121" s="91" t="s">
        <v>928</v>
      </c>
      <c r="M121" s="91" t="s">
        <v>968</v>
      </c>
      <c r="N121" s="91" t="s">
        <v>315</v>
      </c>
      <c r="O121" s="4" t="s">
        <v>30</v>
      </c>
      <c r="P121" s="93" t="s">
        <v>316</v>
      </c>
      <c r="Q121" s="91" t="s">
        <v>31</v>
      </c>
      <c r="R121" s="59">
        <v>46180</v>
      </c>
      <c r="S121" s="4" t="s">
        <v>930</v>
      </c>
    </row>
    <row r="122" spans="1:20" ht="82.8" x14ac:dyDescent="0.3">
      <c r="A122" s="4" t="s">
        <v>969</v>
      </c>
      <c r="B122" s="32" t="s">
        <v>952</v>
      </c>
      <c r="C122" s="32" t="s">
        <v>970</v>
      </c>
      <c r="D122" s="30" t="s">
        <v>31</v>
      </c>
      <c r="E122" s="32" t="s">
        <v>971</v>
      </c>
      <c r="F122" s="27" t="s">
        <v>43</v>
      </c>
      <c r="G122" s="4" t="s">
        <v>24</v>
      </c>
      <c r="H122" s="32" t="s">
        <v>972</v>
      </c>
      <c r="I122" s="32" t="s">
        <v>971</v>
      </c>
      <c r="J122" s="32" t="s">
        <v>973</v>
      </c>
      <c r="K122" s="32" t="s">
        <v>974</v>
      </c>
      <c r="L122" s="32" t="s">
        <v>323</v>
      </c>
      <c r="M122" s="32" t="s">
        <v>975</v>
      </c>
      <c r="N122" s="32" t="s">
        <v>315</v>
      </c>
      <c r="O122" s="4" t="s">
        <v>30</v>
      </c>
      <c r="P122" s="11" t="s">
        <v>316</v>
      </c>
      <c r="Q122" s="32" t="s">
        <v>31</v>
      </c>
      <c r="R122" s="59">
        <v>46180</v>
      </c>
      <c r="S122" s="4" t="s">
        <v>976</v>
      </c>
    </row>
    <row r="123" spans="1:20" ht="55.2" x14ac:dyDescent="0.3">
      <c r="A123" s="4" t="s">
        <v>977</v>
      </c>
      <c r="B123" s="32" t="s">
        <v>978</v>
      </c>
      <c r="C123" s="32" t="s">
        <v>979</v>
      </c>
      <c r="D123" s="30" t="s">
        <v>22</v>
      </c>
      <c r="E123" s="32" t="s">
        <v>980</v>
      </c>
      <c r="F123" s="27" t="s">
        <v>43</v>
      </c>
      <c r="G123" s="4" t="s">
        <v>24</v>
      </c>
      <c r="H123" s="32" t="s">
        <v>981</v>
      </c>
      <c r="I123" s="32" t="s">
        <v>980</v>
      </c>
      <c r="J123" s="32" t="s">
        <v>982</v>
      </c>
      <c r="K123" s="32" t="s">
        <v>983</v>
      </c>
      <c r="L123" s="32" t="s">
        <v>984</v>
      </c>
      <c r="M123" s="32" t="s">
        <v>985</v>
      </c>
      <c r="N123" s="32" t="s">
        <v>315</v>
      </c>
      <c r="O123" s="4" t="s">
        <v>30</v>
      </c>
      <c r="P123" s="11" t="s">
        <v>316</v>
      </c>
      <c r="Q123" s="32" t="s">
        <v>22</v>
      </c>
      <c r="R123" s="59">
        <v>46180</v>
      </c>
      <c r="S123" s="4" t="s">
        <v>986</v>
      </c>
    </row>
    <row r="124" spans="1:20" ht="43.2" x14ac:dyDescent="0.3">
      <c r="A124" s="4" t="s">
        <v>987</v>
      </c>
      <c r="B124" s="10" t="s">
        <v>988</v>
      </c>
      <c r="C124" s="10" t="s">
        <v>989</v>
      </c>
      <c r="D124" s="80" t="s">
        <v>31</v>
      </c>
      <c r="E124" t="s">
        <v>990</v>
      </c>
      <c r="F124" s="81" t="s">
        <v>23</v>
      </c>
      <c r="G124" t="s">
        <v>803</v>
      </c>
      <c r="H124" s="10" t="s">
        <v>991</v>
      </c>
      <c r="I124" t="s">
        <v>990</v>
      </c>
      <c r="J124" s="4" t="s">
        <v>992</v>
      </c>
      <c r="K124" s="4" t="s">
        <v>993</v>
      </c>
      <c r="L124" s="4" t="s">
        <v>994</v>
      </c>
      <c r="M124" s="4" t="s">
        <v>995</v>
      </c>
      <c r="N124" s="58" t="s">
        <v>315</v>
      </c>
      <c r="O124" t="s">
        <v>30</v>
      </c>
      <c r="P124" s="10" t="s">
        <v>316</v>
      </c>
      <c r="Q124" s="10" t="s">
        <v>31</v>
      </c>
      <c r="R124" s="66">
        <v>46180</v>
      </c>
      <c r="S124" t="s">
        <v>996</v>
      </c>
    </row>
    <row r="128" spans="1:20" ht="25.5" customHeight="1" x14ac:dyDescent="0.3">
      <c r="A128" s="100" t="s">
        <v>997</v>
      </c>
      <c r="B128" s="100" t="s">
        <v>998</v>
      </c>
      <c r="C128" s="100" t="s">
        <v>999</v>
      </c>
    </row>
    <row r="129" spans="1:12" ht="23.25" customHeight="1" x14ac:dyDescent="0.3">
      <c r="A129" s="80" t="s">
        <v>31</v>
      </c>
      <c r="B129" s="80">
        <f>COUNTIF(D:D, "Afram")</f>
        <v>47</v>
      </c>
      <c r="C129" s="80">
        <f>COUNTIF(Q:Q, "Afram")</f>
        <v>53</v>
      </c>
    </row>
    <row r="130" spans="1:12" ht="23.25" customHeight="1" x14ac:dyDescent="0.3">
      <c r="A130" s="80" t="s">
        <v>22</v>
      </c>
      <c r="B130" s="80">
        <f>COUNTIF(D:D, "AY")</f>
        <v>18</v>
      </c>
      <c r="C130" s="80">
        <f>COUNTIF(Q:Q, "AY")</f>
        <v>5</v>
      </c>
    </row>
    <row r="131" spans="1:12" ht="24.75" customHeight="1" x14ac:dyDescent="0.3">
      <c r="A131" s="80" t="s">
        <v>42</v>
      </c>
      <c r="B131" s="80">
        <f>COUNTIF(D:D, "Omar")</f>
        <v>53</v>
      </c>
      <c r="C131" s="80">
        <f>COUNTIF(Q:Q, "Omar")</f>
        <v>47</v>
      </c>
    </row>
    <row r="132" spans="1:12" ht="22.5" customHeight="1" x14ac:dyDescent="0.3">
      <c r="A132" s="80" t="s">
        <v>361</v>
      </c>
      <c r="B132" s="80">
        <f>COUNTIF(D:D, "Aly")</f>
        <v>5</v>
      </c>
      <c r="C132" s="80">
        <f>COUNTIF(Q:Q, "Aly")</f>
        <v>5</v>
      </c>
    </row>
    <row r="133" spans="1:12" ht="15" thickBot="1" x14ac:dyDescent="0.35"/>
    <row r="134" spans="1:12" ht="21.6" thickBot="1" x14ac:dyDescent="0.35">
      <c r="A134" s="101" t="s">
        <v>1000</v>
      </c>
      <c r="B134" s="102"/>
    </row>
    <row r="135" spans="1:12" ht="18.600000000000001" thickBot="1" x14ac:dyDescent="0.35">
      <c r="A135" s="103" t="s">
        <v>34</v>
      </c>
      <c r="B135" s="104">
        <f>COUNTIF(F:F, "Critical")</f>
        <v>6</v>
      </c>
    </row>
    <row r="136" spans="1:12" ht="18.600000000000001" thickBot="1" x14ac:dyDescent="0.35">
      <c r="A136" s="105" t="s">
        <v>43</v>
      </c>
      <c r="B136" s="106">
        <f>COUNTIF(F:F, "High")</f>
        <v>46</v>
      </c>
    </row>
    <row r="137" spans="1:12" ht="18.600000000000001" thickBot="1" x14ac:dyDescent="0.35">
      <c r="A137" s="103" t="s">
        <v>23</v>
      </c>
      <c r="B137" s="107">
        <f>COUNTIF(F:F, "Medium")</f>
        <v>50</v>
      </c>
    </row>
    <row r="138" spans="1:12" ht="18.600000000000001" thickBot="1" x14ac:dyDescent="0.35">
      <c r="A138" s="103" t="s">
        <v>76</v>
      </c>
      <c r="B138" s="108">
        <f>COUNTIF(F:F, "Low")</f>
        <v>8</v>
      </c>
    </row>
    <row r="139" spans="1:12" ht="18.600000000000001" thickBot="1" x14ac:dyDescent="0.35">
      <c r="A139" s="103" t="s">
        <v>1001</v>
      </c>
      <c r="B139" s="109">
        <f>SUM(B135:B138)</f>
        <v>110</v>
      </c>
    </row>
    <row r="140" spans="1:12" x14ac:dyDescent="0.3">
      <c r="A140" s="75"/>
    </row>
    <row r="141" spans="1:12" x14ac:dyDescent="0.3">
      <c r="A141" s="75"/>
    </row>
    <row r="144" spans="1:12" x14ac:dyDescent="0.3">
      <c r="L144"/>
    </row>
    <row r="145" spans="1:12" ht="15" thickBot="1" x14ac:dyDescent="0.35">
      <c r="L145"/>
    </row>
    <row r="146" spans="1:12" ht="15" thickBot="1" x14ac:dyDescent="0.35">
      <c r="A146" s="110"/>
      <c r="B146" s="111"/>
    </row>
    <row r="147" spans="1:12" x14ac:dyDescent="0.3">
      <c r="L147"/>
    </row>
    <row r="148" spans="1:12" x14ac:dyDescent="0.3">
      <c r="L148"/>
    </row>
  </sheetData>
  <mergeCells count="1">
    <mergeCell ref="A134:B134"/>
  </mergeCells>
  <conditionalFormatting sqref="O2:O90 O107:O123">
    <cfRule type="cellIs" dxfId="6" priority="1" operator="equal">
      <formula>"Rejected"</formula>
    </cfRule>
    <cfRule type="cellIs" dxfId="5" priority="2" operator="equal">
      <formula>"Assigned"</formula>
    </cfRule>
    <cfRule type="cellIs" dxfId="4" priority="3" operator="equal">
      <formula>"Open"</formula>
    </cfRule>
    <cfRule type="cellIs" dxfId="3" priority="4" operator="equal">
      <formula>"Open,Assigned"</formula>
    </cfRule>
    <cfRule type="cellIs" dxfId="2" priority="5" operator="equal">
      <formula>"New"</formula>
    </cfRule>
    <cfRule type="cellIs" dxfId="1" priority="6" operator="equal">
      <formula>"New"</formula>
    </cfRule>
    <cfRule type="cellIs" dxfId="0" priority="7" operator="equal">
      <formula>"Closed"</formula>
    </cfRule>
  </conditionalFormatting>
  <dataValidations count="3">
    <dataValidation type="list" allowBlank="1" showInputMessage="1" showErrorMessage="1" sqref="O2:O39 O41:O123" xr:uid="{710AC3D6-A232-41CD-8F36-4FD95F380F17}">
      <formula1>"New,Assigned,Open,Fixed,Retest,Closed,Reopened,Rejected"</formula1>
    </dataValidation>
    <dataValidation type="list" allowBlank="1" showInputMessage="1" showErrorMessage="1" sqref="F149:F1048576 F146 D134:F139 D144:E148 F2:F143" xr:uid="{4C7CDBDA-349F-47D8-8D3A-E45AFA95396F}">
      <formula1>"Critical,High,Medium,Low"</formula1>
    </dataValidation>
    <dataValidation type="list" allowBlank="1" showInputMessage="1" showErrorMessage="1" sqref="D149:D1048576 Q149:Q1048576 Q146 D146 O134:O139 O144:O148 B144:B148 B134 D2:D143 Q2:Q143" xr:uid="{AED0F3E4-485A-4FD4-A797-626D59FB78D2}">
      <formula1>"AY,Afram,Omar,Aly,Ayman"</formula1>
    </dataValidation>
  </dataValidations>
  <hyperlinks>
    <hyperlink ref="H2" location="Test_Cases!A3" display="tc_002" xr:uid="{3A88945F-063E-43B9-8591-5D319499FB3B}"/>
    <hyperlink ref="H3" location="Test_Cases!A4" display="tc_003" xr:uid="{E8905C85-B62B-4C70-A6C8-44734C19F317}"/>
    <hyperlink ref="H5" location="Test_Cases!A7" display="tc_006" xr:uid="{FC4B4D12-6EC8-47F0-9B58-139D86112439}"/>
    <hyperlink ref="H6" location="'Test_Cases'!A10" display="tc_009" xr:uid="{58238F62-4CA4-4E29-A5E4-93B07099562D}"/>
    <hyperlink ref="H7" location="Test_Cases!A11" display="TC_LOGIN_010" xr:uid="{930AFF7E-A9A2-4F18-9ABF-26DB243D8F72}"/>
    <hyperlink ref="H9" location="Test_Cases!A18" display="TC_LOGIN_017" xr:uid="{CFF18A5F-F91F-4507-A258-04AD1EEB9202}"/>
    <hyperlink ref="N4" r:id="rId1" xr:uid="{DBAB6035-3777-4143-AEE7-63F6C6DB741D}"/>
    <hyperlink ref="N7" r:id="rId2" xr:uid="{03620EED-2A99-4552-B9DA-8B09BCB6ECDE}"/>
    <hyperlink ref="H4" location="User_Stories!A5" display="TC_LOGIN_004" xr:uid="{CC7B3F24-D857-4D10-B6E4-E6F711EABCBE}"/>
    <hyperlink ref="H10" location="Test_Cases!A27" display="TC_LOGIN_026" xr:uid="{A909DCC7-624A-4BB6-88BD-C0D543F41F32}"/>
    <hyperlink ref="H14" location="Test_Cases!A32" display="TC_LOGIN_031" xr:uid="{9490DAD7-B0EB-4A28-AEEB-2043FED9C3F8}"/>
    <hyperlink ref="H13" location="Test_Cases!A31" display="TC_LOGIN_030" xr:uid="{7A64B0B1-4788-45B8-B23A-6755FDAF8040}"/>
    <hyperlink ref="H16" location="Test_Cases!A48" display="TC_LOGIN_047" xr:uid="{EAEA4A3A-CA9A-44FE-94A3-D781BA5D9063}"/>
    <hyperlink ref="H17" location="Test_Cases!A50" display="TC_LOGIN_049" xr:uid="{97B1BF7D-94A3-4423-A340-3D6AF1459D15}"/>
    <hyperlink ref="H18" location="Test_Cases!A51" display="TC_LOGIN_050" xr:uid="{D3B94BE2-F654-492E-BFED-F56FA4DA46C7}"/>
    <hyperlink ref="H19" location="Test_Cases!A57" display="TC_LOGIN_055" xr:uid="{0C49E53B-818C-4431-BE4B-BB54FCC0B15C}"/>
    <hyperlink ref="H20" location="Test_Cases!A61" display="TC_LOGIN_044" xr:uid="{D8AD0A8D-A5C7-46A0-98C3-2963270ECEC7}"/>
    <hyperlink ref="H8" location="Test_Cases!A13" display="TC_LOGIN_012" xr:uid="{976306FB-6AEC-4D8E-A2D7-C15BE5FF519B}"/>
    <hyperlink ref="H15" location="Test_Cases!A44" display="TC_LOGIN_043" xr:uid="{409619DA-2C60-4489-A833-2598B8225492}"/>
    <hyperlink ref="H21" location="Test_Cases!A62" display="TC_LOGIN_060" xr:uid="{88799E89-099E-4091-8602-9545776AE61B}"/>
    <hyperlink ref="H22" location="Test_Cases!A66" display="TC_LOGIN_064" xr:uid="{1154A4BC-3D8B-4925-A45C-609AC56A5840}"/>
    <hyperlink ref="H23" location="Test_Cases!A64" display="TC_LOGIN_062" xr:uid="{B149F8C6-E84B-4B17-94D5-791CEB35EE6C}"/>
    <hyperlink ref="H24" location="Test_Cases!A65" display="TC_LOGIN_063" xr:uid="{6B95FD00-8256-45E3-994E-5DAE13264C06}"/>
    <hyperlink ref="H26" location="Test_Cases!A66" display="TC_LOGIN_064" xr:uid="{FB1F5231-B627-420F-B91A-A72000AFFB28}"/>
    <hyperlink ref="H27" location="Test_Cases!A72" display="TC_LOGIN_070" xr:uid="{7811CE8F-E641-4BB3-A042-6CB442E3F550}"/>
    <hyperlink ref="H28" location="Test_Cases!A77" display="TC_LOGIN_075" xr:uid="{91B9C807-D7BC-4960-AE92-6E99B2043E7D}"/>
    <hyperlink ref="H29" location="Test_Cases!A81" display="TC_LOGIN_079" xr:uid="{59BCDC2F-C5A9-4CC8-A2A6-EC7050EF6006}"/>
    <hyperlink ref="H30" location="Test_Cases!A82" display="TC_LOGIN_080" xr:uid="{A581D7CF-A912-4E11-AA7D-EC54BE6E7BDF}"/>
    <hyperlink ref="H31" location="Test_Cases!A95" display="TC_ADMIN_009" xr:uid="{3F30DC1C-1B91-4ADE-9D44-9B523ED3E8A8}"/>
    <hyperlink ref="H32" location="Test_Cases!A107" display="TC_ADMIN_021" xr:uid="{B9B90375-376E-4CF6-A3B9-1C376D4E2E34}"/>
    <hyperlink ref="H33" location="Test_Cases!A109" display="TC_ADMIN_023" xr:uid="{40E67D7B-44B5-4766-9B0A-7250A962E1FB}"/>
    <hyperlink ref="H34" location="Test_Cases!A120" display="TC_ADMIN_033" xr:uid="{34013989-E287-4236-AC42-153E4EADDE7C}"/>
    <hyperlink ref="H35" location="Test_Cases!A130" display="TC_ADMIN_043" xr:uid="{A8540CE9-184E-44A2-BECF-E43B68E61F6B}"/>
    <hyperlink ref="H36" location="Test_Cases!A149" display="TC_ADMIN_061" xr:uid="{9A68B92F-203F-4CE4-B800-FDB89B70BE5E}"/>
    <hyperlink ref="H37" location="Bug_Report!A159" display="TC_ADMIN_071" xr:uid="{CBA264BC-CC98-4553-AF8D-1AE241601658}"/>
    <hyperlink ref="H38" location="Test_Cases!A175" display="TC_ADMIN_086" xr:uid="{0233BCA5-0E2E-4115-A8D9-169DD6ECDA88}"/>
    <hyperlink ref="H39" location="Test_Cases!A183" display="TC_ADMIN_095" xr:uid="{F1C966EE-E5BB-4D8E-AFD5-0CC55A30D504}"/>
    <hyperlink ref="H40" location="Test_Cases!A206" display="TC_ADMIN_117" xr:uid="{667F114B-7F95-4112-99EA-699C2DCCD063}"/>
    <hyperlink ref="H41" location="Test_Cases!A214" display="TC_ADMIN_125" xr:uid="{AD438B27-9C60-4CE7-BD9C-8A5433865823}"/>
    <hyperlink ref="H42" location="Test_Cases!A231" display="TC_ADMIN_141" xr:uid="{53336FBA-85B0-499E-A456-6914F2EF4BFE}"/>
    <hyperlink ref="H43" location="Test_Cases!A245" display="TC_ADMIN_155" xr:uid="{651B6B72-9E77-4888-A094-5C7548095FC5}"/>
    <hyperlink ref="H44" location="Test_Cases!A289" display="TC_ADMIN_198" xr:uid="{C54E2C62-7819-42BC-9864-D5D318A9FE37}"/>
    <hyperlink ref="H45" location="Test_Cases!A314" display="TC_ADMIN_222" xr:uid="{A4208F7B-3A0E-4252-BC0C-C28FFD888967}"/>
    <hyperlink ref="H46" location="Test_Cases!A315" display="TC_ADMIN_223" xr:uid="{226BE05E-36B2-4C55-BA52-EFDBD172BE28}"/>
    <hyperlink ref="H47" location="Test_Cases!A353" display="TC_ADMIN_260" xr:uid="{EE96E8BE-E488-4CA2-B640-6150C534B733}"/>
    <hyperlink ref="H48" location="Test_Cases!A360" display="TC_ADMIN_267" xr:uid="{DEDCD177-4CB8-4042-B492-DC0FDD1AFF6E}"/>
    <hyperlink ref="H49" location="Test_Cases!A365" display="TC_ADMIN_272" xr:uid="{AC1DE07E-59EE-4627-96C9-7F731CFE54C6}"/>
    <hyperlink ref="H50" location="Test_Cases!A369" display="TC_ADMIN_276" xr:uid="{94C5C37F-44DE-495E-8795-ED407E77DE4E}"/>
    <hyperlink ref="H51" location="Test_Cases!A396" display="TC_ADMIN_301" xr:uid="{CFE61127-DD5C-4203-AD9D-CD04A560C3C3}"/>
    <hyperlink ref="H52" location="Test_Cases!A404" display="TC_ADMIN_309" xr:uid="{123906E2-7454-44AC-A41B-6268225B6A61}"/>
    <hyperlink ref="H53" location="Test_Cases!A427" display="TC_ADMIN_331" xr:uid="{19D529F3-AB52-4094-94EF-42C2E7B25787}"/>
    <hyperlink ref="H54" location="Test_Cases!A435" display="TC_ADMIN_339" xr:uid="{C65AC82F-7AEE-46D9-9AD3-26B76AA65E02}"/>
    <hyperlink ref="H55" location="Test_Cases!A451" display="TC_ADMIN_354" xr:uid="{25FDB90E-89FF-41A6-ABCC-D41E92AABEBA}"/>
    <hyperlink ref="H56" location="Test_Cases!A452" display="TC_ADMIN_355" xr:uid="{52A3D809-D3B5-4D2B-8E18-215A2E31EABC}"/>
    <hyperlink ref="H57" location="Test_Cases!A462" display="TC_ADMIN_365" xr:uid="{F3BFFBC8-4CC0-40B2-A6D4-A24FED463360}"/>
    <hyperlink ref="H58" location="Test_Cases!A517" display="TC_ADMIN_417" xr:uid="{99248426-1904-4C14-AC22-80CC7953EA38}"/>
    <hyperlink ref="H59" location="Test_Cases!A525" display="TC_ADMIN_425" xr:uid="{E362D114-48B0-44E5-A022-9E194F656C37}"/>
    <hyperlink ref="H61" location="Test_Cases!A558" display=" TC_ADMIN_457" xr:uid="{AFA0E468-346E-4433-8139-986C058982AB}"/>
    <hyperlink ref="H60" location="Test_Cases!A552" display=" TC_ADMIN_451" xr:uid="{DAF6D0AF-B551-45B3-BD35-7A8D7865D2C7}"/>
    <hyperlink ref="H62" location="Test_Cases!A560" display="TC_ADMIN_459" xr:uid="{13657B0C-2A1B-4610-BB34-32B89E3926C3}"/>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068840B4ED1C4EB4681537101D73D3" ma:contentTypeVersion="11" ma:contentTypeDescription="Create a new document." ma:contentTypeScope="" ma:versionID="1997aba67a76f680ca23b161d22ca17d">
  <xsd:schema xmlns:xsd="http://www.w3.org/2001/XMLSchema" xmlns:xs="http://www.w3.org/2001/XMLSchema" xmlns:p="http://schemas.microsoft.com/office/2006/metadata/properties" xmlns:ns2="cb23a937-6fb0-4c61-9ecf-3515dcddfeef" xmlns:ns3="d3226164-7e9f-47f9-8673-d4410887d857" targetNamespace="http://schemas.microsoft.com/office/2006/metadata/properties" ma:root="true" ma:fieldsID="3663dc2c3c7cfed109a12c7b1b3f39a3" ns2:_="" ns3:_="">
    <xsd:import namespace="cb23a937-6fb0-4c61-9ecf-3515dcddfeef"/>
    <xsd:import namespace="d3226164-7e9f-47f9-8673-d4410887d8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3a937-6fb0-4c61-9ecf-3515dcddf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26164-7e9f-47f9-8673-d4410887d8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e7a04f5-7010-4e3d-b988-b6b5bafeea2f}" ma:internalName="TaxCatchAll" ma:showField="CatchAllData" ma:web="d3226164-7e9f-47f9-8673-d4410887d8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23a937-6fb0-4c61-9ecf-3515dcddfeef">
      <Terms xmlns="http://schemas.microsoft.com/office/infopath/2007/PartnerControls"/>
    </lcf76f155ced4ddcb4097134ff3c332f>
    <TaxCatchAll xmlns="d3226164-7e9f-47f9-8673-d4410887d857" xsi:nil="true"/>
  </documentManagement>
</p:properties>
</file>

<file path=customXml/itemProps1.xml><?xml version="1.0" encoding="utf-8"?>
<ds:datastoreItem xmlns:ds="http://schemas.openxmlformats.org/officeDocument/2006/customXml" ds:itemID="{CEB7F6E7-42EB-46D6-A5CF-B8BE24C0843C}"/>
</file>

<file path=customXml/itemProps2.xml><?xml version="1.0" encoding="utf-8"?>
<ds:datastoreItem xmlns:ds="http://schemas.openxmlformats.org/officeDocument/2006/customXml" ds:itemID="{333E889B-6EF7-4CE7-A1D7-0367180D39CD}"/>
</file>

<file path=customXml/itemProps3.xml><?xml version="1.0" encoding="utf-8"?>
<ds:datastoreItem xmlns:ds="http://schemas.openxmlformats.org/officeDocument/2006/customXml" ds:itemID="{2795BC57-BDF4-4A00-B50A-59BB76FBA5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Sakr</dc:creator>
  <cp:lastModifiedBy>Abdelrahman Sakr</cp:lastModifiedBy>
  <dcterms:created xsi:type="dcterms:W3CDTF">2026-07-09T14:49:09Z</dcterms:created>
  <dcterms:modified xsi:type="dcterms:W3CDTF">2026-07-09T14:50:15Z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0x01010001068840B4ED1C4EB4681537101D73D3</vt:lpwstr>
  </property>
</Properties>
</file>