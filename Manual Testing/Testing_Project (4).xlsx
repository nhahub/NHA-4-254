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5"/>
  <workbookPr codeName="ThisWorkbook"/>
  <mc:AlternateContent xmlns:mc="http://schemas.openxmlformats.org/markup-compatibility/2006">
    <mc:Choice Requires="x15">
      <x15ac:absPath xmlns:x15ac="http://schemas.microsoft.com/office/spreadsheetml/2010/11/ac" url="https://d.docs.live.net/5a11c97090c4d2b0/"/>
    </mc:Choice>
  </mc:AlternateContent>
  <xr:revisionPtr revIDLastSave="0" documentId="8_{219E28E3-B673-4F87-A90F-7BF3CB04A574}" xr6:coauthVersionLast="47" xr6:coauthVersionMax="47" xr10:uidLastSave="{00000000-0000-0000-0000-000000000000}"/>
  <bookViews>
    <workbookView xWindow="-108" yWindow="-108" windowWidth="23256" windowHeight="13176" tabRatio="622" firstSheet="6" activeTab="6" xr2:uid="{00000000-000D-0000-FFFF-FFFF00000000}"/>
  </bookViews>
  <sheets>
    <sheet name="Project_Info" sheetId="8" r:id="rId1"/>
    <sheet name="Requirements" sheetId="1" state="hidden" r:id="rId2"/>
    <sheet name="Project_Plan" sheetId="10" r:id="rId3"/>
    <sheet name="User_Stories" sheetId="2" r:id="rId4"/>
    <sheet name="Test_Cases" sheetId="3" r:id="rId5"/>
    <sheet name="Bug_Report" sheetId="7" r:id="rId6"/>
    <sheet name="Test_Summary_Report" sheetId="14" r:id="rId7"/>
    <sheet name="SIQs" sheetId="4" state="hidden" r:id="rId8"/>
    <sheet name="Traceability" sheetId="5" state="hidden" r:id="rId9"/>
    <sheet name="Comments" sheetId="9" state="hidden" r:id="rId10"/>
    <sheet name="Summary_Report" sheetId="6" state="hidden" r:id="rId11"/>
  </sheets>
  <definedNames>
    <definedName name="_xlnm._FilterDatabase" localSheetId="4" hidden="1">Test_Cases!$A$1:$R$51</definedName>
    <definedName name="ZZZ289">Test_Cases!$R$253:$DVH$289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5" i="3" l="1"/>
  <c r="X21" i="3"/>
  <c r="Y7" i="3"/>
  <c r="X7" i="3"/>
  <c r="X20" i="3"/>
  <c r="Y6" i="3"/>
  <c r="X6" i="3"/>
  <c r="X19" i="3"/>
  <c r="X12" i="3"/>
  <c r="Y5" i="3"/>
  <c r="X5" i="3"/>
  <c r="X18" i="3"/>
  <c r="X11" i="3"/>
  <c r="Y4" i="3"/>
  <c r="X4" i="3"/>
  <c r="J8" i="6"/>
  <c r="B13" i="14"/>
  <c r="B12" i="14"/>
  <c r="B8" i="14"/>
  <c r="B25" i="14"/>
  <c r="B24" i="14"/>
  <c r="B23" i="14"/>
  <c r="B22" i="14"/>
  <c r="C3" i="2"/>
  <c r="A4" i="2"/>
  <c r="C132" i="7"/>
  <c r="C131" i="7"/>
  <c r="C130" i="7"/>
  <c r="C129" i="7"/>
  <c r="B129" i="7"/>
  <c r="B132" i="7"/>
  <c r="B131" i="7"/>
  <c r="B130" i="7"/>
  <c r="B136" i="7"/>
  <c r="C1034" i="3"/>
  <c r="C1006" i="3"/>
  <c r="C1023" i="3"/>
  <c r="C1022" i="3"/>
  <c r="C1021" i="3"/>
  <c r="C1020" i="3"/>
  <c r="C1019" i="3"/>
  <c r="C1018" i="3"/>
  <c r="C1017" i="3"/>
  <c r="C1016" i="3"/>
  <c r="C986" i="3"/>
  <c r="B135" i="7"/>
  <c r="B138" i="7"/>
  <c r="B137" i="7"/>
  <c r="C920" i="3"/>
  <c r="C919" i="3"/>
  <c r="C918" i="3"/>
  <c r="C917" i="3"/>
  <c r="C916" i="3"/>
  <c r="C914" i="3"/>
  <c r="C911" i="3"/>
  <c r="C912" i="3"/>
  <c r="C913" i="3"/>
  <c r="C915" i="3"/>
  <c r="C910" i="3"/>
  <c r="C909" i="3"/>
  <c r="C908" i="3"/>
  <c r="C1024" i="3"/>
  <c r="C1025" i="3"/>
  <c r="C1026" i="3"/>
  <c r="C1027" i="3"/>
  <c r="C1028" i="3"/>
  <c r="C1029" i="3"/>
  <c r="C1030" i="3"/>
  <c r="C1031" i="3"/>
  <c r="C1033" i="3"/>
  <c r="C1035" i="3"/>
  <c r="C1036" i="3"/>
  <c r="C1037" i="3"/>
  <c r="C1038" i="3"/>
  <c r="C1040" i="3"/>
  <c r="C1041" i="3"/>
  <c r="C1042" i="3"/>
  <c r="C1043" i="3"/>
  <c r="C1044" i="3"/>
  <c r="C1045" i="3"/>
  <c r="C1046" i="3"/>
  <c r="C1011" i="3"/>
  <c r="C1012" i="3"/>
  <c r="C1013" i="3"/>
  <c r="C1014" i="3"/>
  <c r="C999" i="3"/>
  <c r="C1007" i="3"/>
  <c r="C1002" i="3"/>
  <c r="C1003" i="3"/>
  <c r="C1004" i="3"/>
  <c r="C1005" i="3"/>
  <c r="C1000" i="3"/>
  <c r="C1001" i="3"/>
  <c r="C1008" i="3"/>
  <c r="C1009" i="3"/>
  <c r="C1010" i="3"/>
  <c r="C994" i="3"/>
  <c r="C995" i="3"/>
  <c r="C996" i="3"/>
  <c r="C997" i="3"/>
  <c r="C998" i="3"/>
  <c r="C988" i="3"/>
  <c r="C989" i="3"/>
  <c r="C990" i="3"/>
  <c r="C991" i="3"/>
  <c r="C992" i="3"/>
  <c r="C993" i="3"/>
  <c r="C987" i="3"/>
  <c r="C906" i="3"/>
  <c r="C907" i="3"/>
  <c r="C905" i="3"/>
  <c r="C901" i="3"/>
  <c r="C902" i="3"/>
  <c r="C903" i="3"/>
  <c r="C904" i="3"/>
  <c r="C900" i="3"/>
  <c r="C899" i="3"/>
  <c r="C897" i="3"/>
  <c r="C898" i="3"/>
  <c r="C972" i="3"/>
  <c r="C962" i="3"/>
  <c r="C971" i="3"/>
  <c r="C969" i="3"/>
  <c r="C970" i="3"/>
  <c r="C952" i="3"/>
  <c r="C957" i="3"/>
  <c r="C958" i="3"/>
  <c r="C959" i="3"/>
  <c r="C960" i="3"/>
  <c r="C961" i="3"/>
  <c r="C964" i="3"/>
  <c r="C965" i="3"/>
  <c r="C966" i="3"/>
  <c r="C967" i="3"/>
  <c r="C968" i="3"/>
  <c r="C953" i="3"/>
  <c r="C954" i="3"/>
  <c r="C955" i="3"/>
  <c r="C949" i="3"/>
  <c r="C950" i="3"/>
  <c r="C951" i="3"/>
  <c r="C946" i="3"/>
  <c r="C947" i="3"/>
  <c r="C948" i="3"/>
  <c r="C941" i="3"/>
  <c r="C942" i="3"/>
  <c r="C943" i="3"/>
  <c r="C944" i="3"/>
  <c r="C939" i="3"/>
  <c r="C940" i="3"/>
  <c r="C937" i="3"/>
  <c r="C938" i="3"/>
  <c r="C896" i="3"/>
  <c r="C894" i="3"/>
  <c r="C893" i="3"/>
  <c r="C934" i="3"/>
  <c r="C935" i="3"/>
  <c r="C930" i="3"/>
  <c r="C931" i="3"/>
  <c r="C932" i="3"/>
  <c r="C933" i="3"/>
  <c r="C927" i="3"/>
  <c r="C928" i="3"/>
  <c r="C929" i="3"/>
  <c r="C924" i="3"/>
  <c r="C925" i="3"/>
  <c r="C923" i="3"/>
  <c r="C922" i="3"/>
  <c r="C888" i="3"/>
  <c r="C889" i="3"/>
  <c r="C890" i="3"/>
  <c r="C891" i="3"/>
  <c r="C892" i="3"/>
  <c r="C895" i="3"/>
  <c r="C887" i="3"/>
  <c r="C886" i="3"/>
  <c r="C872" i="3"/>
  <c r="C873" i="3"/>
  <c r="C874" i="3"/>
  <c r="C875" i="3"/>
  <c r="C876" i="3"/>
  <c r="C877" i="3"/>
  <c r="C878" i="3"/>
  <c r="C879" i="3"/>
  <c r="C880" i="3"/>
  <c r="C881" i="3"/>
  <c r="C882" i="3"/>
  <c r="C883" i="3"/>
  <c r="C884" i="3"/>
  <c r="C885" i="3"/>
  <c r="C871" i="3"/>
  <c r="C863" i="3"/>
  <c r="C864" i="3"/>
  <c r="C865" i="3"/>
  <c r="C866" i="3"/>
  <c r="C867" i="3"/>
  <c r="C868" i="3"/>
  <c r="C869" i="3"/>
  <c r="C870" i="3"/>
  <c r="C862" i="3"/>
  <c r="B26" i="14" l="1"/>
  <c r="A15" i="2"/>
  <c r="X8" i="3"/>
  <c r="X13" i="3"/>
  <c r="B139" i="7"/>
  <c r="B11" i="14"/>
  <c r="B18" i="14" s="1"/>
  <c r="A24" i="2" l="1"/>
  <c r="B17" i="14"/>
  <c r="A31" i="2" l="1"/>
  <c r="A41" i="2" l="1"/>
  <c r="A53" i="2"/>
  <c r="A63" i="2" l="1"/>
  <c r="A73" i="2"/>
  <c r="A85" i="2" l="1"/>
  <c r="A94" i="2"/>
  <c r="A107" i="2" l="1"/>
  <c r="A118" i="2" l="1"/>
  <c r="A129" i="2" l="1"/>
  <c r="A139" i="2" l="1"/>
  <c r="A149" i="2" l="1"/>
  <c r="A157" i="2"/>
  <c r="A165" i="2" l="1"/>
  <c r="A175" i="2" l="1"/>
  <c r="A186" i="2" s="1"/>
  <c r="A197" i="2" s="1"/>
  <c r="A208" i="2"/>
  <c r="A218" i="2" l="1"/>
  <c r="A229" i="2" l="1"/>
  <c r="A240" i="2" s="1"/>
  <c r="A249" i="2" s="1"/>
  <c r="A260" i="2" s="1"/>
  <c r="A270" i="2" s="1"/>
  <c r="A296" i="2" s="1"/>
  <c r="A314" i="2" s="1"/>
  <c r="A325" i="2" s="1"/>
  <c r="A336" i="2" s="1"/>
  <c r="A347" i="2" s="1"/>
  <c r="A357" i="2" s="1"/>
  <c r="A367" i="2" s="1"/>
  <c r="A383" i="2" s="1"/>
  <c r="A400" i="2" s="1"/>
  <c r="A419" i="2" s="1"/>
  <c r="A438" i="2" s="1"/>
  <c r="A459" i="2" s="1"/>
  <c r="A478" i="2" s="1"/>
  <c r="A493" i="2" s="1"/>
  <c r="A508" i="2" s="1"/>
  <c r="A524" i="2" s="1"/>
  <c r="A543" i="2" s="1"/>
  <c r="A561" i="2" s="1"/>
  <c r="A582" i="2" s="1"/>
  <c r="A607" i="2" s="1"/>
  <c r="A634" i="2" s="1"/>
  <c r="A652" i="2" s="1"/>
  <c r="A669" i="2" s="1"/>
  <c r="A685" i="2" s="1"/>
  <c r="A701" i="2" s="1"/>
  <c r="A718" i="2" s="1"/>
  <c r="A734" i="2" s="1"/>
  <c r="A750" i="2" s="1"/>
  <c r="A767" i="2" s="1"/>
  <c r="A802" i="2" s="1"/>
  <c r="A823" i="2" s="1"/>
  <c r="A843" i="2" s="1"/>
  <c r="A866" i="2" s="1"/>
  <c r="A887" i="2" s="1"/>
  <c r="A902" i="2" s="1"/>
  <c r="A917" i="2" s="1"/>
  <c r="A932" i="2" s="1"/>
  <c r="A945" i="2" s="1"/>
  <c r="A958" i="2" s="1"/>
  <c r="A969" i="2" s="1"/>
  <c r="A980" i="2" s="1"/>
  <c r="A993" i="2" s="1"/>
  <c r="A1014" i="2" s="1"/>
  <c r="A1026" i="2" s="1"/>
  <c r="A1040" i="2" s="1"/>
  <c r="A1056" i="2" s="1"/>
  <c r="A1072" i="2" s="1"/>
  <c r="A1088" i="2" s="1"/>
  <c r="A1102" i="2" s="1"/>
  <c r="A1115" i="2" s="1"/>
  <c r="A1129" i="2" s="1"/>
  <c r="A1143" i="2" s="1"/>
  <c r="A1159" i="2" s="1"/>
  <c r="B7" i="14"/>
  <c r="C2" i="2"/>
</calcChain>
</file>

<file path=xl/sharedStrings.xml><?xml version="1.0" encoding="utf-8"?>
<sst xmlns="http://schemas.openxmlformats.org/spreadsheetml/2006/main" count="24489" uniqueCount="13043">
  <si>
    <t>Project Name:</t>
  </si>
  <si>
    <t>Client:</t>
  </si>
  <si>
    <t>Created By:</t>
  </si>
  <si>
    <t>Creation Date:</t>
  </si>
  <si>
    <t>Reviewed by:</t>
  </si>
  <si>
    <t>Type of Testing:</t>
  </si>
  <si>
    <t>Req_ID</t>
  </si>
  <si>
    <t>Description</t>
  </si>
  <si>
    <t>Type</t>
  </si>
  <si>
    <t>Priority</t>
  </si>
  <si>
    <t>Status</t>
  </si>
  <si>
    <t>Version</t>
  </si>
  <si>
    <t>REQ_LOGIN_01</t>
  </si>
  <si>
    <t>System shall allow login with valid email and password</t>
  </si>
  <si>
    <t xml:space="preserve">Functional   </t>
  </si>
  <si>
    <t xml:space="preserve">High     </t>
  </si>
  <si>
    <t xml:space="preserve">Open   </t>
  </si>
  <si>
    <t>REQ_LOGIN_02</t>
  </si>
  <si>
    <t xml:space="preserve">System shall display warning after 10 minutes of inactivity  </t>
  </si>
  <si>
    <t xml:space="preserve">Medium   </t>
  </si>
  <si>
    <t>REQ_LOGIN_03</t>
  </si>
  <si>
    <t xml:space="preserve">System shall reject login with invalid or unregistered email     </t>
  </si>
  <si>
    <t>High</t>
  </si>
  <si>
    <t>REQ_LOGIN_04</t>
  </si>
  <si>
    <t>System shall reject login with incorrect password</t>
  </si>
  <si>
    <t>REQ_LOGIN_05</t>
  </si>
  <si>
    <t>System shall automatically logout user after inactivity</t>
  </si>
  <si>
    <t>REQ_LOGIN_06</t>
  </si>
  <si>
    <t>System shall support auto login for returning users (Remember Me)</t>
  </si>
  <si>
    <t>REQ_LOGIN_07</t>
  </si>
  <si>
    <t>System shall request phone/OTP verification after failed attempts</t>
  </si>
  <si>
    <t xml:space="preserve">Security     </t>
  </si>
  <si>
    <t>REQ_LOGIN_08</t>
  </si>
  <si>
    <t xml:space="preserve">System shall validate empty email field </t>
  </si>
  <si>
    <t xml:space="preserve">Validation   </t>
  </si>
  <si>
    <t>REQ_LOGIN_09</t>
  </si>
  <si>
    <t xml:space="preserve">System shall validate empty password field </t>
  </si>
  <si>
    <t xml:space="preserve">Validation </t>
  </si>
  <si>
    <t>REQ_LOGIN_10</t>
  </si>
  <si>
    <t>System shall treat password as case-sensitive</t>
  </si>
  <si>
    <t>REQ_LOGIN_11</t>
  </si>
  <si>
    <t>System shall lock account after 5 failed login attempts</t>
  </si>
  <si>
    <t xml:space="preserve">Critical </t>
  </si>
  <si>
    <t>REQ_LOGIN_12</t>
  </si>
  <si>
    <t>System shall provide "Forgot Password" functionality</t>
  </si>
  <si>
    <t>Functional</t>
  </si>
  <si>
    <t>REQ_LOGIN_13</t>
  </si>
  <si>
    <t>System shall prevent SQL injection via input sanitization</t>
  </si>
  <si>
    <t>REQ_LOGIN_14</t>
  </si>
  <si>
    <t>Login page shall display required UI elements (fields, button, logo)</t>
  </si>
  <si>
    <t xml:space="preserve">UI  </t>
  </si>
  <si>
    <t>REQ_LOGIN_15</t>
  </si>
  <si>
    <t xml:space="preserve">Login page shall be responsive across devices    </t>
  </si>
  <si>
    <t>REQ_LOGIN_16</t>
  </si>
  <si>
    <t>System shall trim leading and trailing spaces in inputs</t>
  </si>
  <si>
    <t>REQ_LOGIN_17</t>
  </si>
  <si>
    <t>System shall maintain session after page refresh</t>
  </si>
  <si>
    <t>Functiona</t>
  </si>
  <si>
    <t>REQ_LOGIN_18</t>
  </si>
  <si>
    <t>System shall restrict access to protected pages without login</t>
  </si>
  <si>
    <t>Security</t>
  </si>
  <si>
    <t>REQ_LOGIN_19</t>
  </si>
  <si>
    <t>System shall prevent access after logout using browser navigation</t>
  </si>
  <si>
    <t>REQ_LOGIN_20</t>
  </si>
  <si>
    <t xml:space="preserve">System shall mask password input  </t>
  </si>
  <si>
    <t>UI/Security</t>
  </si>
  <si>
    <t>REQ_LOGIN_21</t>
  </si>
  <si>
    <t xml:space="preserve">System shall handle copy/paste securely in password field </t>
  </si>
  <si>
    <t xml:space="preserve">Low      </t>
  </si>
  <si>
    <t>Title</t>
  </si>
  <si>
    <t>Sprint Goal</t>
  </si>
  <si>
    <t>Plan</t>
  </si>
  <si>
    <t>Sprint 1
Duration
(25/4 - 3/5)</t>
  </si>
  <si>
    <t>The goal of Sprint 1 is to prepare the complete QA environment, understand the OrangeHRM system, setup Agile tools,
 create the initial testing documentation, and prepare the project foundation for manual and automation testing.
manual: Write User story , test cases, bug report and peer review by Manual team (Edit, Add, Delete) or upload as tickets for login page
automation"</t>
  </si>
  <si>
    <t>US_ID</t>
  </si>
  <si>
    <t>UserStory</t>
  </si>
  <si>
    <t>Acceptance Criteria</t>
  </si>
  <si>
    <t>No of user stories</t>
  </si>
  <si>
    <t>No of Acceptance Criteria</t>
  </si>
  <si>
    <t>As an OrangeHRM user (Admin or ESS),
I want to log in using my unique credentials,
So that I can securely access my personal dashboard and HR management tools based on my assigned role.</t>
  </si>
  <si>
    <t>Scenario 1: User Authentication and Login Validation
Given the user is on the Login page
When the user enters login credentials and clicks the Login button
Then the system should authenticate the user according to the provided credentials
And
When a valid username and password are entered
Then the system should redirect the user to the appropriate Dashboard
And
When an invalid username or password is entered
Then the system should deny access
And display the generic error message "Invalid credentials"
And should not indicate whether the username or password is incorrect
And
When the password is entered using incorrect letter casing
Then the system should reject the login attempt
And display the error message "Invalid credentials"
And enforce password case sensitivity during authentication.</t>
  </si>
  <si>
    <t>Scenario 2: Validate Login Page UI Layout
Given the user navigates to the Login page
When the page loads successfully
Then the system should display the required login components
Including:
Username Field
Password Field
Login Button
OrangeHRM Logo
And the Password field should mask entered characters by default
And the Login button should be clearly visible and accessible
And the OrangeHRM logo should be displayed correctly to maintain brand consistency.</t>
  </si>
  <si>
    <t>Scenario 3: Validate Login Security Requirements
Given the user is on the Login page
When the user attempts to log in
Then the system should validate all required fields and display "Required" for any empty field(s)
And
When authentication is successful
Then the system should maintain the user session until logout or session timeout
And
When invalid or malicious input is submitted
Then the system should sanitize the input and prevent unauthorized access or security vulnerabilities.</t>
  </si>
  <si>
    <t>Scenario 4: Validate Login Edge Cases and Accessibility
Given the user is on the Login page
When five consecutive login attempts fail
Then the system should temporarily lock the account for 20 minutes
And
When the user clicks "Forgot your password?"
Then the system should redirect the user to the password reset request page
And
When the Login page is accessed from mobile, tablet, or desktop devices
Then the login form should remain accessible, properly aligned, and fully functional across supported screen sizes.</t>
  </si>
  <si>
    <t>Scenario 5: Inactivity Warning
Given the user is logged into the system,
When the user remains inactive for a defined period (e.g., 10 minutes),
Then the system should display a warning message indicating inactivity,
And the session should remain active until further action or timeout occurs</t>
  </si>
  <si>
    <t>Scenario 6: Identity Verification After Failed Attempts
Given the user enters incorrect login credentials multiple times,
When the system detects suspicious or repeated failed attempts,
Then the system should require additional identity verification (e.g., redirect to password reset or verification step),
And prevent direct login without verification</t>
  </si>
  <si>
    <t>Scenario 7: Input Trimming
Given the user enters username or password with leading or trailing spaces,
When the login request is submitted,
Then the system should trim unnecessary spaces before validation,
And process the credentials correctly</t>
  </si>
  <si>
    <t>Scenario 8: Username Case Sensitivity
Given the user enters the username with different letter cases,
When the system processes the login request,
Then the username should be treated as case-insensitive,
And the user should be able to log in successfully if credentials are valid</t>
  </si>
  <si>
    <t>Scenario 9: Copy and Paste Behavior in Password Field
Given the user is on the login page,
When the user performs copy and paste actions in the password field,
Then the system should allow paste functionality without breaking login behavior,
And authentication should work as expected</t>
  </si>
  <si>
    <t>Scenario 10: CSRF Token Expiration Handling
Given the user is on the login page and the session remains idle for a period of time,
When the CSRF token expires and the user submits valid login credentials,
Then the system should not block the user with a technical error message,
And should display a clear, user-friendly message such as:
"Session expired, please refresh the page",
And allow the user to retry the login process successfully after refreshing the page</t>
  </si>
  <si>
    <t>As an OrangeHRM user who cannot remember my password,
I want to request a password reset link by providing my username,
So that I can securely regain access to my account without exposing my credentials.</t>
  </si>
  <si>
    <t>Scenario 1: Successful Password Reset Request
Given the user is on the "Forgot your password?" page,
When they enter a valid, registered username in the system,
And they click the "Reset Password" button,
Then the system should generate a secure, time-sensitive reset token,
And send an email containing the reset link to the email address associated with that username,
And redirect the user to a confirmation screen displaying: "Reset password link sent successfully".</t>
  </si>
  <si>
    <t>Scenario 2: Processing an Invalid Username (Account Harvesting Mitigation)
Given the user is on the "Forgot your password?" page,
When they enter a username that does not exist in the system,
And they click the "Reset Password" button,
Then the system should not send an email,
And it must display the exact same confirmation screen: "Reset password link sent successfully".
Note: This prevents malicious actors from guessing valid usernames based on different system responses</t>
  </si>
  <si>
    <t>Scenario 3: Input Field Validation
Given the user is on the "Forgot your password?" page,
When they leave the username field blank,
And they click the "Reset Password" button,
Then the system must prevent submission,
And display a validation error message below the field stating: "Required".</t>
  </si>
  <si>
    <t>Scenario 4: Canceling the Reset Request
Given the user is on the "Forgot your password?" page,
When they click the "Cancel" button,
Then the system should abort the request without sending an email,
And redirect the user back to the primary Login page.</t>
  </si>
  <si>
    <t>Scenario 5: Rate Limiting on Reset Requests
Given the user is on the Forgot Password page,
When the same username submits multiple reset requests in a short period,
Then the system should rate-limit subsequent requests,
And display a message: 'Too many requests. Please try again later.</t>
  </si>
  <si>
    <t>added new</t>
  </si>
  <si>
    <t>Scenario 6: Token Expiry
Given a password reset email has been sent,
When the user clicks the reset link after the token has expired (e.g., after 24h),
Then the system should display an error: 'This reset link has expired',
And prompt the user to submit a new reset request.</t>
  </si>
  <si>
    <t>As a Logged-in Admin
I want to view, add, search, edit, delete and manage employee records from the PIM page
So that I can efficiently maintain accurate and up-to-date employee information within the organization.</t>
  </si>
  <si>
    <t>Scenario 1: Successful user creation
Given I am logged in as Admin
When I navigate to Admin → Add User
And I fill all required fields correctly
And click Save
Then the system should create the user successfully
And display a success message
And the user should appear in the user list</t>
  </si>
  <si>
    <t>Scenario 2: Required fields validation
Given I am on the Add User page
When I click Save without filling required fields
Then error messages should appear for:
User Role
Employee Name
Username
Password
Confirm Password</t>
  </si>
  <si>
    <t>Scenario 3: Password mismatch
Given I entered password and confirm password
When they are different
Then system should show:
Passwords do not match</t>
  </si>
  <si>
    <t>Scenario 4: Username already exists
Given I enter an existing username
When I try to save
Then system should show:
Username already exists</t>
  </si>
  <si>
    <t>Scenario 5: Invalid employee name
Given I enter an employee name not in system
Then system should show validation error</t>
  </si>
  <si>
    <t>Scenario 6: Cancel action
Given I click Cancel
Then I should be redirected to user list page
And no data should be saved</t>
  </si>
  <si>
    <t>As an Admin,
I want to view, add, edit, and delete job titles,
So that I can manage employee roles and organizational structure effectively.</t>
  </si>
  <si>
    <t>Scenario 1: View job titles list
Given I am logged in as Admin
When I navigate to Admin → Job Titles
Then I should see a list of job titles
And each row should display:
Job Title
Job Description
Note
And pagination should be available if needed</t>
  </si>
  <si>
    <t>Scenario 2: Add new job title
Given I am on Job Titles page
When I click Add
And I enter valid job title details
And click Save
Then the job title should be added successfully
And appear in the list</t>
  </si>
  <si>
    <t>Scenario 3: Required field validation
Given I am adding a new job title
When I leave required fields empty
Then validation messages should appear</t>
  </si>
  <si>
    <t>Scenario 4: Edit job title
Given I select an existing job title
When I update its details
And click Save
Then changes should be saved successfully
And reflected in the list</t>
  </si>
  <si>
    <t>Scenario 5: Delete job title (single)
Given I select a job title
When I click Delete
And confirm deletion
Then the job title should be removed from the list</t>
  </si>
  <si>
    <t>Scenario 6: Delete multiple job titles
Given I select multiple job titles
When I click Delete Selected
And confirm
Then all selected job titles should be deleted</t>
  </si>
  <si>
    <t>Scenario 7: Cancel delete
Given I click delete
When I cancel confirmation
Then no job title should be deleted</t>
  </si>
  <si>
    <t>Scenario 8: Search / filter (if available)
Given I enter search criteria
When I click search
Then filtered results should be displayed</t>
  </si>
  <si>
    <t>Scenario 9: No data case
Given there are no job titles
Then system should display:
No Records Found</t>
  </si>
  <si>
    <t>As an Admin,
I want to create, view, edit, and delete pay grades with salary ranges,
So that I can define salary structures for employees in the organization.</t>
  </si>
  <si>
    <t>Scenario 1: View pay grades list
Given I am logged in as Admin
When I navigate to Admin → Pay Grades
Then I should see a list of pay grades
And each row should display:
Pay Grade Name
And pagination should work correctly</t>
  </si>
  <si>
    <t>Scenario 2: Add new pay grade
Given I am on Pay Grades page
When I click Add
And I enter a valid pay grade name
And click Save
Then the pay grade should be created successfully
And appear in the list</t>
  </si>
  <si>
    <t>Scenario 3: Required field validation
Given I am adding a new pay grade
When I leave the name empty
Then the system should display a validation message</t>
  </si>
  <si>
    <t>Scenario 4: Edit pay grade
Given I select an existing pay grade
When I update the name
And click Save
Then the changes should be saved
And reflected in the list</t>
  </si>
  <si>
    <t>Scenario 5: Delete pay grade (single)
Given I select a pay grade
When I click Delete
And confirm
Then the pay grade should be removed</t>
  </si>
  <si>
    <t>Scenario 6: Delete multiple pay grades
Given I select multiple pay grades
When I click Delete Selected
Then all selected pay grades should be deleted</t>
  </si>
  <si>
    <t>Scenario 7: Cancel delete
Given I initiate delete
When I cancel
Then no pay grade should be removed</t>
  </si>
  <si>
    <t>Scenario 8: Add salary components (currency + range)
Given I open a specific pay grade
When I add a salary component with:
Currency
Minimum Salary
Maximum Salary
Then the component should be saved successfully
And displayed in the salary list</t>
  </si>
  <si>
    <t>Scenario 9: Salary validation
Given I enter salary values
When:
Minimum &gt; Maximum
Negative values
Then the system should show validation error</t>
  </si>
  <si>
    <t>Scenario 10: Multiple currencies
Given I add multiple salary components
Then each currency should be stored and displayed correctly</t>
  </si>
  <si>
    <t>Scenario 11: Delete salary component
Given I select a salary component
When I delete it
Then it should be removed</t>
  </si>
  <si>
    <t>As an Admin,
I want to create, edit, and delete employment status types,
So that I can categorize employees based on their employment type (e.g., Full-Time, Part-Time, Contract).</t>
  </si>
  <si>
    <t>Scenario 1: View employment status list
Given I am logged in as Admin
When I navigate to Admin → Employment Status
Then I should see a list of employment statuses
And each row should display:
Employment Status Name</t>
  </si>
  <si>
    <t>Scenario 2: Add new employment status
Given I am on Employment Status page
When I click Add
And I enter a valid status name
And click Save
Then the new status should be created successfully
And appear in the list</t>
  </si>
  <si>
    <t>Scenario 3: Required field validation
Given I am adding a new employment status
When I leave the field empty
Then the system should show a validation error</t>
  </si>
  <si>
    <t>Scenario 4: Edit employment status
Given I select an existing status
When I update its name
And click Save
Then changes should be saved successfully
And reflected in the list</t>
  </si>
  <si>
    <t>Scenario 5: Delete employment status (single)
Given I select a status
When I click Delete
And confirm
Then the status should be removed from the list</t>
  </si>
  <si>
    <t>Scenario 6: Delete multiple employment statuses
Given I select multiple statuses
When I click Delete Selected
Then all selected statuses should be deleted</t>
  </si>
  <si>
    <t>Scenario 7: Cancel delete
Given I initiate deletion
When I cancel
Then no status should be removed</t>
  </si>
  <si>
    <t>Scenario 8: Duplicate status name
Given I enter an already existing status name
When I try to save
Then the system should show an error
Already exists</t>
  </si>
  <si>
    <t>Scenario 9: No data case
Given there are no employment statuses
Then system should display:
No Records Found</t>
  </si>
  <si>
    <t>As an Admin,
I want to create, edit, and delete job categories,
So that I can organize jobs into meaningful categories (e.g., IT, HR, Finance).</t>
  </si>
  <si>
    <t>Scenario 1: View job category list
Given I am logged in as Admin
When I navigate to Admin → Job Categories
Then I should see a list of job categories
And each row should display:
Category Name</t>
  </si>
  <si>
    <t>Scenario 2: Add new job category
Given I am on Job Categories page
When I click Add
And I enter a valid category name
And click Save
Then the category should be created successfully
And appear in the list</t>
  </si>
  <si>
    <t>Scenario 3: Required field validation
Given I am adding a new category
When I leave the field empty
Then the system should display a validation error</t>
  </si>
  <si>
    <t>Scenario 4: Edit job category
Given I select an existing category
When I update its name
And click Save
Then the changes should be saved
And reflected in the list</t>
  </si>
  <si>
    <t>Scenario 5: Delete job category (single)
Given I select a category
When I click Delete
And confirm
Then the category should be removed</t>
  </si>
  <si>
    <t>Scenario 6: Delete multiple job categories
Given I select multiple categories
When I click Delete Selected
Then all selected categories should be deleted</t>
  </si>
  <si>
    <t>Scenario 7: Cancel delete
Given I initiate deletion
When I cancel
Then no category should be removed</t>
  </si>
  <si>
    <t>Scenario 8: Duplicate category name
Given I enter an existing category name
When I try to save
Then the system should show:
Already exists</t>
  </si>
  <si>
    <t>Scenario 9: No data case
Given there are no categories
Then the system should display:
No Records Found</t>
  </si>
  <si>
    <t>As an Admin,
I want to create, edit, and delete work shifts with working hours and assigned employees,
So that I can define and manage employee working schedules effectively.</t>
  </si>
  <si>
    <t>Scenario 1: View work shift list
Given I am logged in as Admin
When I navigate to Admin → Work Shifts
Then I should see a list of work shifts
And each row should display:
Shift Name
Work Hours (From – To)
Assigned Employees</t>
  </si>
  <si>
    <t>Scenario 2: Add new work shift
Given I am on Work Shifts page
When I click Add
And I enter:
Shift Name
From Time
To Time
And click Save
Then the shift should be created successfully
And appear in the list</t>
  </si>
  <si>
    <t>Scenario 3: Required field validation
Given I am creating a shift
When required fields are empty
Then the system should show validation errors</t>
  </si>
  <si>
    <t>Scenario 4: Time validation
Given I enter shift times
When:
From Time ≥ To Time
Then the system should show an error
Invalid time range</t>
  </si>
  <si>
    <t>Scenario 5: Edit work shift
Given I select an existing shift
When I update:
Name
Time
And click Save
Then changes should be saved successfully</t>
  </si>
  <si>
    <t>Scenario 6: Assign employees to shift
Given I am editing a shift
When I assign employees
Then they should be linked to the shift
And displayed in the shift details</t>
  </si>
  <si>
    <t>Scenario 7: Remove employee from shift
Given an employee is assigned
When I remove them
Then they should no longer be part of the shift</t>
  </si>
  <si>
    <t>Scenario 8: Delete work shift
Given I select a shift
When I delete and confirm
Then the shift should be removed</t>
  </si>
  <si>
    <t>Scenario 9: Delete shift with assigned employees
Given a shift has assigned employees
When I delete it
Then system should:
Either allow deletion
Or show warning (depending on system rules)</t>
  </si>
  <si>
    <t>Scenario 10: Duplicate shift name
Given I enter an existing shift name
Then the system should show:
Already exists</t>
  </si>
  <si>
    <t>Scenario 11: No data case
Given no work shifts exist
Then system should display:
No Records Found</t>
  </si>
  <si>
    <t>As an Admin,
I want to view and update the organization’s general information,
So that the system reflects accurate company details (name, contact info, registration details, etc.).</t>
  </si>
  <si>
    <t>Scenario 1: View organization information
Given I am logged in as Admin
When I navigate to Admin → Organization → General Information
Then I should see organization details including:
Organization Name
Registration Number
Tax ID
Phone
Fax
Email
Address
City / State / Country</t>
  </si>
  <si>
    <t>Scenario 2: Enable edit mode
Given I am on the page
When I click Edit
Then all editable fields should become enabled</t>
  </si>
  <si>
    <t>Scenario 3: Update organization information
Given I am in edit mode
When I update valid data
And click Save
Then the information should be saved successfully
And displayed correctly after saving</t>
  </si>
  <si>
    <t>Scenario 4: Required field validation
Given I am editing information
When I leave required fields empty
Then the system should show validation errors</t>
  </si>
  <si>
    <t>Scenario 5: Email validation
Given I enter an invalid email format
Then the system should show an error
Invalid email format</t>
  </si>
  <si>
    <t>Scenario 6: Phone number validation
Given I enter invalid phone number format
Then the system should show validation error</t>
  </si>
  <si>
    <t>Scenario 7: Data persistence
Given I update organization data
When I refresh the page
Then updated data should persist</t>
  </si>
  <si>
    <t>Scenario 8: Field length validation
Given I enter very long values
Then system should:
either restrict input
or show validation error</t>
  </si>
  <si>
    <t>As an Admin,
I want to create, view, edit, delete, and search organization locations,
So that I can manage company branches and offices with accurate details.</t>
  </si>
  <si>
    <t>Scenario 1: View locations list
Given I am logged in as Admin
When I navigate to Admin → Organization → Locations
Then I should see a list of locations
And each row should display:
Name
City
Country
And pagination should work if needed</t>
  </si>
  <si>
    <t>Scenario 2: Add new location
Given I am on Locations page
When I click Add
And I enter valid details:
Name
City
Country
Address (optional fields)
And click Save
Then the location should be created successfully
And appear in the list</t>
  </si>
  <si>
    <t>Scenario 3: Required field validation
Given I am adding a location
When required fields (e.g., Name) are empty
Then the system should show validation errors</t>
  </si>
  <si>
    <t>Scenario 4: Edit location
Given I select an existing location
When I update its details
And click Save
Then changes should be saved successfully
And reflected in the list</t>
  </si>
  <si>
    <t>Scenario 5: Delete location (single)
Given I select a location
When I click Delete
And confirm
Then the location should be removed</t>
  </si>
  <si>
    <t>Scenario 6: Delete multiple locations
Given I select multiple locations
When I click Delete Selected
Then all selected locations should be deleted</t>
  </si>
  <si>
    <t>Scenario 7: Cancel delete
Given I initiate deletion
When I cancel
Then no location should be removed</t>
  </si>
  <si>
    <t>Scenario 8: Search / filter locations
Given I enter search criteria (Name, City, Country)
When I click Search
Then filtered results should be displayed</t>
  </si>
  <si>
    <t>Scenario 9: Reset search
Given I applied filters
When I click Reset
Then all locations should be displayed again</t>
  </si>
  <si>
    <t>Scenario 10: Duplicate location name
Given I enter an existing location name
When I try to save
Then the system should show:
Already exists</t>
  </si>
  <si>
    <t>Scenario 11: Country dropdown validation
Given I open the country dropdown
Then it should:
Display available countries
Allow selection
Save correctly</t>
  </si>
  <si>
    <t>Scenario 12: No data case
Given there are no locations
Then the system should display:
No Records Found</t>
  </si>
  <si>
    <t>As an Admin,
I want to create, edit, and delete organizational units in a hierarchical structure,
So that I can represent the company structure (departments, divisions, branches) accurately.</t>
  </si>
  <si>
    <t>Scenario 1: View organization structure
Given I am logged in as Admin
When I navigate to Admin → Organization → Structure
Then I should see a hierarchical tree of the organization
And the root node should represent the company
And child nodes should represent departments or units</t>
  </si>
  <si>
    <t>Scenario 2: Add new organizational unit
Given I select a parent node
When I click Add
And I enter valid details:
Unit Name
And click Save
Then the new unit should be added under the selected parent</t>
  </si>
  <si>
    <t>Scenario 3: Required field validation
Given I am adding a unit
When I leave required fields empty
Then the system should show validation errors</t>
  </si>
  <si>
    <t>Scenario 4: Edit organizational unit
Given I select an existing unit
When I update its name/details
And click Save
Then changes should be saved successfully</t>
  </si>
  <si>
    <t>Scenario 5: Delete organizational unit
Given I select a unit
When I click Delete
And confirm
Then the unit should be removed from the structure</t>
  </si>
  <si>
    <t>Scenario 6: Delete unit with children
Given a unit has child nodes
When I delete it
Then system should:
either delete all child nodes
or show warning (based on system rule)</t>
  </si>
  <si>
    <t>Scenario 7: Expand / collapse tree
Given the structure is displayed
When I click expand/collapse icons
Then child nodes should show/hide correctly</t>
  </si>
  <si>
    <t>Scenario 8: Navigation between nodes
Given I click a node
Then its details should be displayed
And actions (Edit/Delete/Add) should apply to that node</t>
  </si>
  <si>
    <t>Scenario 9: Duplicate unit name
Given I enter an existing unit name under same parent
Then system should show:
Already exists</t>
  </si>
  <si>
    <t>Scenario 10: No data / initial state
Given only root exists
Then system should display base organization node</t>
  </si>
  <si>
    <t>As an Admin,
I want to create, view, edit, and delete skills,
So that I can define and maintain a list of skills used to describe employee capabilities.</t>
  </si>
  <si>
    <t>Scenario 1: View skills list
Given I am logged in as Admin
When I navigate to Admin → Skills
Then I should see a list of skills
And each row should display:
Skill Name
Description</t>
  </si>
  <si>
    <t>Scenario 2: Add new skill
Given I am on Skills page
When I click Add
And I enter:
Skill Name
Description (optional)
And click Save
Then the skill should be created successfully
And appear in the list</t>
  </si>
  <si>
    <t>Scenario 3: Required field validation
Given I am adding a skill
When I leave the Skill Name empty
Then the system should show a validation error</t>
  </si>
  <si>
    <t>Scenario 4: Edit skill
Given I select an existing skill
When I update:
Name
Description
And click Save
Then changes should be saved successfully
And reflected in the list</t>
  </si>
  <si>
    <t>Scenario 5: Delete skill (single)
Given I select a skill
When I click Delete
And confirm
Then the skill should be removed</t>
  </si>
  <si>
    <t>Scenario 6: Delete multiple skills
Given I select multiple skills
When I click Delete Selected
Then all selected skills should be deleted</t>
  </si>
  <si>
    <t>Scenario 7: Cancel delete
Given I initiate deletion
When I cancel
Then no skill should be removed</t>
  </si>
  <si>
    <t>Scenario 8: Duplicate skill name
Given I enter an existing skill name
When I try to save
Then the system should show:
Already exists</t>
  </si>
  <si>
    <t>Scenario 9: Description validation
Given I enter a description
When it exceeds the allowed length (400 characters)
Then the system should:
restrict input
or show validation error</t>
  </si>
  <si>
    <t>Scenario 10: No data case
Given there are no skills
Then the system should display:
No Records Found</t>
  </si>
  <si>
    <t>As an Admin,
I want to create, view, edit, and delete education levels,
So that I can define academic qualifications used in employee profiles (e.g., Bachelor’s, Master’s, PhD).</t>
  </si>
  <si>
    <t>Scenario 1: View education list
Given I am logged in as Admin
When I navigate to Admin → Education
Then I should see a list of education levels
And each row should display:
Education Level Name</t>
  </si>
  <si>
    <t>Scenario 2: Add new education level
Given I am on Education page
When I click Add
And I enter a valid education level name
And click Save
Then the education level should be created successfully
And appear in the list</t>
  </si>
  <si>
    <t>Scenario 3: Required field validation
Given I am adding a new education level
When I leave the field empty
Then the system should display a validation error</t>
  </si>
  <si>
    <t>Scenario 4: Edit education level
Given I select an existing education level
When I update its name
And click Save
Then changes should be saved successfully
And reflected in the list</t>
  </si>
  <si>
    <t>Scenario 5: Delete education level (single)
Given I select a level
When I click Delete
And confirm
Then the level should be removed</t>
  </si>
  <si>
    <t>Scenario 6: Delete multiple education levels
Given I select multiple levels
When I click Delete Selected
Then all selected levels should be deleted</t>
  </si>
  <si>
    <t>Scenario 7: Cancel delete
Given I initiate deletion
When I cancel
Then no level should be removed</t>
  </si>
  <si>
    <t>Scenario 8: Duplicate education level
Given I enter an existing education level name
When I try to save
Then the system should show:
Already exists</t>
  </si>
  <si>
    <t>Scenario 9: No data case
Given there are no education levels
Then the system should display:
No Records Found</t>
  </si>
  <si>
    <t>As an Admin,
I want to create, view, edit, and delete licenses,
So that I can define professional certifications used in employee profiles (e.g., Driving License, PMP, AWS Certification).</t>
  </si>
  <si>
    <t>Scenario 1: View licenses list
Given I am logged in as Admin
When I navigate to Admin → Licenses
Then I should see a list of licenses
And each row should display:
License Name</t>
  </si>
  <si>
    <t>Scenario 2: Add new license
Given I am on Licenses page
When I click Add
And I enter a valid license name
And click Save
Then the license should be created successfully
And appear in the list</t>
  </si>
  <si>
    <t>Scenario 3: Required field validation
Given I am adding a license
When I leave the field empty
Then the system should show a validation error</t>
  </si>
  <si>
    <t>Scenario 4: Edit license
Given I select an existing license
When I update its name
And click Save
Then changes should be saved successfully
And reflected in the list</t>
  </si>
  <si>
    <t>Scenario 5: Delete license (single)
Given I select a license
When I click Delete
And confirm
Then the license should be removed</t>
  </si>
  <si>
    <t>Scenario 6: Delete multiple licenses
Given I select multiple licenses
When I click Delete Selected
Then all selected licenses should be deleted</t>
  </si>
  <si>
    <t>Scenario 7: Cancel delete
Given I initiate deletion
When I cancel
Then no license should be removed</t>
  </si>
  <si>
    <t>Scenario 8: Duplicate license name
Given I enter an existing license name
When I try to save
Then the system should show:
Already exists</t>
  </si>
  <si>
    <t>Scenario 9: No data case
Given there are no licenses
Then the system should display:
No Records Found</t>
  </si>
  <si>
    <t>As an Admin,
I want to create, view, edit, and delete languages,
So that I can manage the list of languages used in employee qualifications and profiles.</t>
  </si>
  <si>
    <t>Scenario 1: View Languages List
Given the Admin is logged into the OrangeHRM system
When the Admin navigates to the Languages page
Then the system should display a list of all existing languages
And each language should appear in a table format.</t>
  </si>
  <si>
    <t>Scenario 2: Add New Language Successfully
Given the Admin is on the Languages page
When the Admin clicks the "Add" button
And enters a valid language name
And clicks the "Save" button
Then the system should save the new language successfully
And display a success message
And the new language should appear in the languages list.</t>
  </si>
  <si>
    <t>Scenario 3: Validate Required Language Name Field
Given the Admin is on the Add Language form
When the Admin leaves the Language Name field empty
And clicks the "Save" button
Then the system should display a validation error message
And prevent the form from being submitted.</t>
  </si>
  <si>
    <t>Scenario 4: Prevent Duplicate Language Creation
Given a language already exists in the system
When the Admin enters the same language name again
And clicks the "Save" button
Then the system should display a duplicate entry error message
And the language should not be created.</t>
  </si>
  <si>
    <t>Scenario 5: Edit Existing Language
Given the Admin is on the Languages page
When the Admin selects an existing language
And updates the language name
And clicks the "Save" button
Then the system should update the language successfully
And display a success confirmation message.</t>
  </si>
  <si>
    <t>Scenario 6: Delete Language Successfully
Given the Admin is on the Languages page
When the Admin selects one or more languages
And clicks the "Delete" button
And confirms the deletion
Then the system should remove the selected language(s) successfully
And display a success message.</t>
  </si>
  <si>
    <t>Scenario 7: Cancel Adding Language
Given the Admin is on the Add Language form
When the Admin clicks the "Cancel" button
Then the system should discard unsaved changes
And redirect the Admin back to the Languages list page.</t>
  </si>
  <si>
    <t>As an Admin,
I want to create, view, edit, and delete memberships,
So that I can manage the list of professional memberships and associations used in employee records.</t>
  </si>
  <si>
    <t>Scenario 1: View Memberships List
Given the Admin is logged into the OrangeHRM system
When the Admin navigates to the Memberships page
Then the system should display a list of all existing memberships
And each membership should appear in a table format.</t>
  </si>
  <si>
    <t>Scenario 2: Add New Membership Successfully
Given the Admin is on the Memberships page
When the Admin clicks the "Add" button
And enters a valid membership name
And clicks the "Save" button
Then the system should save the new membership successfully
And display a success message
And the new membership should appear in the memberships list.</t>
  </si>
  <si>
    <t>Scenario 3: Validate Required Membership Name Field
Given the Admin is on the Add Membership form
When the Admin leaves the Membership Name field empty
And clicks the "Save" button
Then the system should display a validation error message
And prevent the form from being submitted.</t>
  </si>
  <si>
    <t>Scenario 4: Prevent Duplicate Membership Creation
Given a membership already exists in the system
When the Admin enters the same membership name again
And clicks the "Save" button
Then the system should display a duplicate entry error message
And the membership should not be created.</t>
  </si>
  <si>
    <t>Scenario 5: Edit Existing Membership
Given the Admin is on the Memberships page
When the Admin selects an existing membership
And updates the membership name
And clicks the "Save" button
Then the system should update the membership successfully
And display a success confirmation message.</t>
  </si>
  <si>
    <t>Scenario 6: Delete Membership Successfully
Given the Admin is on the Memberships page
When the Admin selects one or more memberships
And clicks the "Delete" button
And confirms the deletion
Then the system should remove the selected membership(s) successfully
And display a success message.</t>
  </si>
  <si>
    <t>Scenario 7: Cancel Adding Membership
Given the Admin is on the Add Membership form
When the Admin clicks the "Cancel" button
Then the system should discard unsaved changes
And redirect the Admin back to the Memberships list page.</t>
  </si>
  <si>
    <t>As an Admin,
I want to create, view, edit, and delete nationalities,
So that I can maintain nationality records used in employee personal information.</t>
  </si>
  <si>
    <t>Scenario 1: View Nationalities List
Given the Admin is logged into the OrangeHRM system
When the Admin navigates to the Nationalities page
Then the system should display a list of all existing nationalities
And each nationality should appear in a table format.</t>
  </si>
  <si>
    <t>Scenario 2: Add New Nationality Successfully
Given the Admin is on the Nationalities page
When the Admin clicks the "Add" button
And enters a valid nationality name
And clicks the "Save" button
Then the system should save the new nationality successfully
And display a success message
And the new nationality should appear in the nationalities list.</t>
  </si>
  <si>
    <t>Scenario 3: Validate Required Nationality Name Field
Given the Admin is on the Add Nationality form
When the Admin leaves the Nationality Name field empty
And clicks the "Save" button
Then the system should display a validation error message
And prevent the form from being submitted.</t>
  </si>
  <si>
    <t>Scenario 4: Prevent Duplicate Nationality Creation
Given a nationality already exists in the system
When the Admin enters the same nationality name again
And clicks the "Save" button
Then the system should display a duplicate entry error message
And the nationality should not be created.</t>
  </si>
  <si>
    <t>Scenario 5: Edit Existing Nationality
Given the Admin is on the Nationalities page
When the Admin selects an existing nationality
And updates the nationality name
And clicks the "Save" button
Then the system should update the nationality successfully
And display a success confirmation message.</t>
  </si>
  <si>
    <t>Scenario 6: Delete Nationality Successfully
Given the Admin is on the Nationalities page
When the Admin selects one or more nationalities
And clicks the "Delete" button
And confirms the deletion
Then the system should remove the selected nationality(s) successfully
And display a success message.</t>
  </si>
  <si>
    <t>Scenario 7: Search for Existing Nationality
Given the Admin is on the Nationalities page
When the Admin enters a nationality name in the search field
And clicks the "Search" button
Then the system should display matching search results.</t>
  </si>
  <si>
    <t>Scenario 8: Search for Non-Existing Nationality
Given the Admin is on the Nationalities page
When the Admin searches for a non-existing nationality
Then the system should display a "No Records Found" message.</t>
  </si>
  <si>
    <t>Scenario 9: Cancel Adding Nationality
Given the Admin is on the Add Nationality form
When the Admin clicks the "Cancel" button
Then the system should discard unsaved changes
And redirect the Admin back to the Nationalities list page.</t>
  </si>
  <si>
    <t>As an Admin,
I want to customize the corporate branding settings,
So that the OrangeHRM system reflects the organization’s brand identity and visual appearance.</t>
  </si>
  <si>
    <t>Scenario 1: View Corporate Branding Page
Given the Admin is logged into the OrangeHRM system
When the Admin navigates to the Corporate Branding page
Then the system should display the current branding configuration
Including:
Primary color
Secondary color
Company logo
Client logo
Theme preview settings.</t>
  </si>
  <si>
    <t>Scenario 2: Upload Company Logo Successfully
Given the Admin is on the Corporate Branding page
When the Admin uploads a valid company logo image
And clicks the "Publish" button
Then the system should save the new logo successfully
And display the updated logo across the application.</t>
  </si>
  <si>
    <t>Scenario 3: Upload Client Logo Successfully
Given the Admin is on the Corporate Branding page
When the Admin uploads a valid client logo image
And clicks the "Publish" button
Then the system should save the client logo successfully
And display a success confirmation message.</t>
  </si>
  <si>
    <t>Scenario 4: Validate Unsupported File Format
Given the Admin is on the Corporate Branding page
When the Admin uploads an unsupported file type
Then the system should display a validation error message
And prevent the upload process.</t>
  </si>
  <si>
    <t>Scenario 5: Validate Maximum File Size
Given the Admin is on the Corporate Branding page
When the Admin uploads an image exceeding the allowed size limit
Then the system should display an error message
And reject the uploaded file.</t>
  </si>
  <si>
    <t>Scenario 6: Change Primary Theme Color
Given the Admin is on the Corporate Branding page
When the Admin selects a new primary color
And clicks the "Publish" button
Then the system should apply the selected color successfully
And update the system theme appearance.</t>
  </si>
  <si>
    <t>Scenario 7: Change Secondary Theme Color
Given the Admin is on the Corporate Branding page
When the Admin selects a new secondary color
And clicks the "Publish" button
Then the system should apply the selected secondary color successfully.</t>
  </si>
  <si>
    <t>Scenario 8: Reset Branding Settings
Given the Admin has modified branding settings
When the Admin clicks the "Reset to Default" option
Then the system should restore default branding configurations.</t>
  </si>
  <si>
    <t>Scenario 9: Publish Branding Changes Successfully
Given the Admin has updated branding settings
When the Admin clicks the "Publish" button
Then the system should save all branding changes
And display a success confirmation message.</t>
  </si>
  <si>
    <t>Scenario 10: Cancel Branding Changes
Given the Admin has unsaved branding modifications
When the Admin clicks the "Cancel" button
Then the system should discard unsaved changes
And retain the previous branding configuration.</t>
  </si>
  <si>
    <t>As an Admin,
I want to configure the email settings of the system,
So that OrangeHRM can send notifications and emails successfully using the organization’s mail server.</t>
  </si>
  <si>
    <t>Scenario 1: View Email Configuration Settings
Given the Admin is logged into the OrangeHRM system
When the Admin navigates to the Email Configuration page
Then the system should display the current email configuration settings
Including:
Mail Sent As
Sending Method
SMTP Host
SMTP Port
Authentication details
Security protocol settings.</t>
  </si>
  <si>
    <t>Scenario 2: Configure SMTP Email Settings Successfully
Given the Admin is on the Email Configuration page
When the Admin enters valid SMTP configuration details
And clicks the "Save" button
Then the system should save the email configuration successfully
And display a success confirmation message.</t>
  </si>
  <si>
    <t>Scenario 3: Validate Required Email Configuration Fields
Given the Admin is on the Email Configuration form
When the Admin leaves mandatory fields empty
And clicks the "Save" button
Then the system should display validation error messages
And prevent the configuration from being saved.</t>
  </si>
  <si>
    <t>Scenario 4: Validate Invalid SMTP Port
Given the Admin is on the Email Configuration page
When the Admin enters an invalid SMTP port value
And clicks the "Save" button
Then the system should display an error message
And reject the configuration.</t>
  </si>
  <si>
    <t>Scenario 5: Enable SMTP Authentication
Given the Admin is configuring SMTP settings
When the Admin enables authentication
And enters valid username and password credentials
Then the system should allow authenticated SMTP configuration.</t>
  </si>
  <si>
    <t>Scenario 6: Validate Incorrect Authentication Credentials
Given the Admin enters incorrect SMTP credentials
When the Admin attempts to save or test the configuration
Then the system should display an authentication failure message.</t>
  </si>
  <si>
    <t>Scenario 7: Send Test Email Successfully
Given the Admin has configured valid email settings
When the Admin clicks the "Send Test Email" button
And enters a valid recipient email address
Then the system should send the test email successfully
And display a confirmation message.</t>
  </si>
  <si>
    <t>Scenario 8: Fail Sending Test Email with Invalid Recipient
Given the Admin is sending a test email
When the Admin enters an invalid recipient email address
Then the system should display a validation error message
And prevent the email from being sent.</t>
  </si>
  <si>
    <t>Scenario 9: Configure Secure Email Connection
Given the Admin is on the Email Configuration page
When the Admin enables TLS or SSL security settings
And saves the configuration
Then the system should store the secure email configuration successfully.</t>
  </si>
  <si>
    <t>Scenario 10: Cancel Email Configuration Changes
Given the Admin has modified email settings
When the Admin clicks the "Cancel" button
Then the system should discard unsaved changes
And retain the previous configuration settings.</t>
  </si>
  <si>
    <t>هنا انت تقصد زر ال Reset؟</t>
  </si>
  <si>
    <t>As an Admin,
I want to manage email subscription settings for system notifications,
So that users and administrators can receive important email alerts for different HR activities and events.</t>
  </si>
  <si>
    <t>Scenario 1: View Email Subscription List
Given the Admin is logged into the OrangeHRM system
When the Admin navigates to the Email Subscriptions page
Then the system should display all available email notification modules
And show whether each subscription is enabled or disabled.</t>
  </si>
  <si>
    <t>Scenario 2: Enable an Email Subscription
Given the Admin is on the Email Subscriptions page
When the Admin enables a specific email notification option
And clicks the "Save" button
Then the system should activate that email subscription successfully
And display a success confirmation message.</t>
  </si>
  <si>
    <t>Scenario 3: Disable an Email Subscription
Given the Admin is on the Email Subscriptions page
When the Admin disables a specific email notification option
And clicks the "Save" button
Then the system should deactivate that email subscription successfully
And display a success confirmation message.</t>
  </si>
  <si>
    <t>Scenario 4: Save Multiple Email Subscription Changes
Given the Admin modifies multiple email subscription settings
When the Admin clicks the "Save" button
Then the system should save all updated subscription preferences successfully.</t>
  </si>
  <si>
    <t>Scenario 5: Persist Subscription Settings After Refresh
Given the Admin has saved updated email subscription settings
When the Admin refreshes or revisits the Email Subscriptions page
Then the system should display the previously saved subscription settings correctly.</t>
  </si>
  <si>
    <t>Scenario 6: Validate User Permissions for Email Subscriptions
Given a non-admin user attempts to access the Email Subscriptions page
When the user navigates to the Email Subscription URL
Then the system should deny access
And display an authorization or access denied message.</t>
  </si>
  <si>
    <t>Scenario 7: Display Available Notification Categories
Given the Admin is viewing Email Subscriptions
When the page loads
Then the system should display all notification categories clearly
Such as:
Leave Notifications
Recruitment Notifications
Performance Notifications
Employee Updates
Attendance Notifications.</t>
  </si>
  <si>
    <t>Scenario 8: Cancel Subscription Changes
Given the Admin has modified email subscription settings
When the Admin clicks the "Cancel" button
Then the system should discard unsaved changes
And restore the previously saved settings.</t>
  </si>
  <si>
    <t>Scenario 9: Handle System Error During Save
Given the Admin updates email subscription settings
When a system or server error occurs during saving
Then the system should display an appropriate error message
And should not apply incomplete changes.</t>
  </si>
  <si>
    <t>Scenario 10: Maintain Subscription Settings Across Sessions
Given the Admin saved email subscription preferences successfully
When the Admin logs out and logs in again
Then the system should retain the previously configured email subscription settings.</t>
  </si>
  <si>
    <t>As an Admin,
I want to configure localization settings for the system,
So that the application can display the correct language, date format, and regional preferences for users.</t>
  </si>
  <si>
    <t>Scenario 1: View Localization Settings
Given the Admin is logged into the OrangeHRM system
When the Admin navigates to the Localization page
Then the system should display the current localization settings
Including:
Language
Date Format
Localization preferences.</t>
  </si>
  <si>
    <t>Scenario 2: Change System Language Successfully
Given the Admin is on the Localization page
When the Admin selects a different system language
And clicks the "Save" button
Then the system should save the selected language successfully
And display the application interface in the updated language.</t>
  </si>
  <si>
    <t>Scenario 3: Change Date Format Successfully
Given the Admin is on the Localization page
When the Admin selects a valid date format
And saves the changes
Then the system should apply the selected date format across the application.</t>
  </si>
  <si>
    <t>Scenario 4: Persist Localization Settings
Given the Admin has updated localization settings
When the Admin refreshes the page or logs in again
Then the system should retain the previously saved localization settings.</t>
  </si>
  <si>
    <t>Scenario 5: Validate Required Localization Fields
Given the Admin is on the Localization form
When the Admin leaves mandatory fields empty
And clicks the "Save" button
Then the system should display validation error messages
And prevent saving incomplete settings.</t>
  </si>
  <si>
    <t xml:space="preserve">مينفغش لانه بيبقا حاطت كده كده بيانات </t>
  </si>
  <si>
    <t>Scenario 7: Restrict Localization Access to Admins
Given a non-admin user attempts to access the Localization page
When the user navigates to the Localization URL
Then the system should deny access
And display an authorization or access denied message.</t>
  </si>
  <si>
    <t>Scenario 8: Display Supported Languages
Given the Admin is on the Localization page
When the page loads
Then the system should display all supported system languages in the language dropdown list.</t>
  </si>
  <si>
    <t>Scenario 9: Apply Localization Changes System-Wide
Given the Admin saves updated localization settings
When users navigate through the system
Then all dates and supported localized content should follow the configured localization preferences.</t>
  </si>
  <si>
    <t>Scenario 10: Handle Errors During Localization Save
Given the Admin attempts to save localization settings
When a system or server error occurs
Then the system should display an appropriate error message
And should not apply incomplete changes.</t>
  </si>
  <si>
    <t>As an Admin,
I want to manage language packages in the system,
So that I can add, update, and maintain multilingual support for OrangeHRM users.</t>
  </si>
  <si>
    <t>Scenario 1: View Available Language Packages
Given the Admin is logged into the OrangeHRM system
When the Admin navigates to the Language Packages page
Then the system should display all installed language packages
Including:
Language Name
Package Status
Translation Progress
Available Actions.</t>
  </si>
  <si>
    <t>Scenario 2: Add a New Language Package
Given the Admin is on the Language Packages page
When the Admin selects a language package to install
And clicks the "Add" or "Install" button
Then the system should install the selected language package successfully
And display a success confirmation message.</t>
  </si>
  <si>
    <t>Scenario 3: Prevent Duplicate Language Package Installation
Given a language package is already installed
When the Admin attempts to install the same package again
Then the system should prevent duplicate installation
And display an appropriate warning message.</t>
  </si>
  <si>
    <t>Scenario 4: Update an Existing Language Package
Given the Admin is viewing installed language packages
When the Admin selects a package update option
Then the system should update the language package successfully
And confirm the update completion.</t>
  </si>
  <si>
    <t>Scenario 5: Delete a Language Package
Given the Admin is on the Language Packages page
When the Admin selects a removable language package
And confirms deletion
Then the system should remove the package successfully
And it should no longer appear in the language package list.</t>
  </si>
  <si>
    <t>Scenario 6: Prevent Deletion of Default Language Package
Given the default system language package is installed
When the Admin attempts to delete it
Then the system should block the deletion
And display an error or warning message.</t>
  </si>
  <si>
    <t>Scenario 7: Search for a Language Package
Given multiple language packages exist
When the Admin searches using a language name
Then the system should display matching language packages only.</t>
  </si>
  <si>
    <t>Scenario 8: Validate Admin Access to Language Packages
Given a non-admin user attempts to access the Language Packages page
When the user navigates to the page URL
Then the system should deny access
And display an authorization message.</t>
  </si>
  <si>
    <t>Scenario 9: Persist Installed Language Packages
Given the Admin installs or updates a language package
When the Admin refreshes the page or logs in again
Then the system should retain the installed language package information correctly.</t>
  </si>
  <si>
    <t>Scenario 10: Handle Installation Failure Gracefully
Given the Admin attempts to install a language package
When the installation process fails due to a system or network issue
Then the system should display an appropriate error message
And should not install a corrupted or incomplete package.</t>
  </si>
  <si>
    <t>As an Admin,
I want to enable or disable system modules,
So that I can control which HR features and functionalities are available within the OrangeHRM application.</t>
  </si>
  <si>
    <t>Scenario 1: View Available System Modules
Given the Admin is logged into the OrangeHRM system
When the Admin navigates to the Modules page
Then the system should display all available modules
Including:
Module Name
Module Status (Enabled/Disabled)
Module Description (if available).</t>
  </si>
  <si>
    <t>Scenario 2: Enable a Disabled Module
Given a module is currently disabled
When the Admin enables the module
And clicks the "Save" button
Then the system should activate the module successfully
And display a success confirmation message.</t>
  </si>
  <si>
    <t>Scenario 3: Disable an Enabled Module
Given a module is currently enabled
When the Admin disables the module
And clicks the "Save" button
Then the system should deactivate the module successfully
And display a success confirmation message.</t>
  </si>
  <si>
    <t>Scenario 4: Persist Module Configuration Changes
Given the Admin updates module settings
When the Admin refreshes the page or logs in again
Then the system should retain the previously saved module configurations.</t>
  </si>
  <si>
    <t>Scenario 5: Restrict Access to Disabled Modules
Given a module is disabled by the Admin
When users attempt to access that module
Then the system should prevent access
And hide or disable related menu options.</t>
  </si>
  <si>
    <t>Scenario 6: Validate Admin Permissions for Module Management
Given a non-admin user attempts to access the Modules page
When the user navigates to the Modules URL
Then the system should deny access
And display an authorization or access denied message.</t>
  </si>
  <si>
    <t>Scenario 7: Save Multiple Module Changes
Given the Admin changes the status of multiple modules
When the Admin clicks the "Save" button
Then the system should save all module status changes successfully.</t>
  </si>
  <si>
    <t>Scenario 8: Prevent Disabling Mandatory Core Modules
Given a module is essential for system functionality
When the Admin attempts to disable the core module
Then the system should block the action
And display an appropriate warning message.</t>
  </si>
  <si>
    <t>Scenario 9: Cancel Module Configuration Changes
Given the Admin modifies module settings
When the Admin clicks the "Cancel" button
Then the system should discard unsaved changes
And restore the previous module configuration.</t>
  </si>
  <si>
    <t>Scenario 10: Handle Errors During Module Configuration Save
Given the Admin updates module settings
When a system or server error occurs during saving
Then the system should display an appropriate error message
And should not apply incomplete configuration changes.</t>
  </si>
  <si>
    <t>As an Admin,
I want to manage authentication or integration providers in the system,
So that I can control external service connections and authentication options available to users.</t>
  </si>
  <si>
    <t>Scenario 1: View Provider List
Given that the Admin is logged into the OrangeHRM system
When the Admin navigates to the Provider List page
Then the system should display all configured providers
Including:
Provider Name
Available actions.</t>
  </si>
  <si>
    <t>Scenario 2: Add a New Provider
Given that the Admin is on the Provider List page
When the Admin enters valid provider configuration details (Name, Provider URL, Client ID, Client secret)
And clicks the "Save" button
Then the system should create the new provider successfully
And display a success confirmation message.</t>
  </si>
  <si>
    <t>Scenario 3: Validate Required Provider Fields
Given the Admin is creating or editing a provider
When mandatory fields are left empty
And the Admin clicks the "Save" button
Then the system should display validation error messages
And prevent saving incomplete provider information.</t>
  </si>
  <si>
    <t>Scenario 4: Edit an Existing Provider
Given an existing provider is listed in the system
When the Admin updates provider details
And saves the changes
Then the system should update the provider successfully
And display a confirmation message.</t>
  </si>
  <si>
    <t>Scenario 5: Delete a Provider
Given a provider exists in the Provider List
When the Admin selects the provider
And confirms deletion
Then the system should remove the provider successfully
And it should no longer appear in the provider list.</t>
  </si>
  <si>
    <t>Scenario 6: Restrict Provider Management to Admin Users
Given a non-admin user attempts to access the Provider List page
When the user navigates to the Provider List URL
Then the system should deny access
And display an authorization or access denied message.</t>
  </si>
  <si>
    <t>Scenario 7: Persist Provider Configuration
Given the Admin has saved provider settings successfully
When the Admin refreshes the page or logs in again
Then the system should retain the saved provider configurations correctly.</t>
  </si>
  <si>
    <t>Scenario 8: Handle System Errors During Provider Operations
Given the Admin performs a provider management action
When a system or server error occurs
Then the system should display an appropriate error message
And should not apply incomplete changes.</t>
  </si>
  <si>
    <t>As an Admin,
I want to create, view, edit, and delete OAuth clients,
So that external applications can securely integrate with the OrangeHRM system using OAuth authentication.</t>
  </si>
  <si>
    <t>Scenario 1: View OAuth Client List
Given that the Admin is logged into the OrangeHRM system
When the Admin navigates to the OAuth Client List page
Then the system should display all registered OAuth clients
Including:
Name
Redirect URI
Status
Available Actions.</t>
  </si>
  <si>
    <t>Scenario 2: Register a New OAuth Client
Given the Admin is on the OAuth Client registration page
When the Admin enters valid OAuth client details(Name, Redirect url, enable client toggle, and confidential client toggle)
And clicks the "Save" button
Then the system should create the OAuth client successfully
And display a success confirmation message.</t>
  </si>
  <si>
    <t>Scenario 3: Validate Required OAuth Client Fields
Given the Admin is creating an OAuth client
When mandatory fields are left empty
And the Admin clicks the "Save" button
Then the system should display validation error messages
And prevent the OAuth client from being created.</t>
  </si>
  <si>
    <t>Scenario 4: Validate Redirect URI Format
Given the Admin is registering an OAuth client
When the Admin enters an invalid redirect URI
And clicks the "Save" button
Then the system should display an invalid URL error message
And reject the configuration.</t>
  </si>
  <si>
    <t>Scenario 5: Prevent Duplicate OAuth Client Registration
Given an OAuth client with the same name+B347 already exists
When the Admin attempts to create another identical OAuth client
Then the system should prevent duplication
And display an appropriate warning message.</t>
  </si>
  <si>
    <t>Scenario 6: Edit an Existing OAuth Client
Given an OAuth client already exists
When the Admin updates the client details
And saves the changes
Then the system should update the OAuth client successfully.</t>
  </si>
  <si>
    <t>Scenario 7: Delete an OAuth Client
Given an OAuth client exists in the system
When the Admin selects the client
And confirms deletion
Then the system should remove the OAuth client successfully
And it should no longer appear in the OAuth Client List.</t>
  </si>
  <si>
    <t>Scenario 8: Enable or Disable an OAuth Client
Given an OAuth client exists in the system
When the Admin changes the client status
And saves the changes
Then the system should update the OAuth client status successfully.</t>
  </si>
  <si>
    <t>Scenario 9: Restrict OAuth Client Management to Admin Users
Given a non-admin user attempts to access the OAuth Client List page
When the user navigates to the OAuth Client URL
Then the system should deny access
And display an authorization or access denied message.</t>
  </si>
  <si>
    <t>Scenario 10: Persist OAuth Client Configuration
Given the Admin saves OAuth client details successfully
When the Admin refreshes the page or logs in again
Then the system should retain the saved OAuth client configurations correctly.</t>
  </si>
  <si>
    <t>As an Admin,
I want to configure LDAP settings in the system,
So that users can log in using their organization’s centralized credentials instead of local accounts.</t>
  </si>
  <si>
    <t>Scenario 1: Access LDAP Configuration Page
Given I am logged in as an Admin,
When I navigate to the Admin section and select LDAP Configuration,
Then I should be able to view the LDAP configuration settings page.</t>
  </si>
  <si>
    <t>Scenario 2: Enable LDAP Authentication
Given I am on the LDAP Configuration page,
When I enable LDAP authentication and enter valid configuration details,
Then the system should allow me to save the configuration successfully.</t>
  </si>
  <si>
    <t>Scenario 3: Validate LDAP Connection Before Saving
Given I have entered LDAP server details,
When I click on “Test Connection”,
Then the system should verify the connection with the LDAP server and show success or failure message.</t>
  </si>
  <si>
    <t>Scenario 4: Save Valid LDAP Configuration
Given all required LDAP fields are correctly filled,
When I click Save,
Then the configuration should be stored successfully and applied to authentication.</t>
  </si>
  <si>
    <t>Scenario 5: Invalid LDAP Configuration
Given I enter incorrect LDAP details (e.g., wrong host or credentials),
When I try to test or save the configuration,
Then the system should display an error message and prevent saving.</t>
  </si>
  <si>
    <t>Scenario 6: Disable LDAP Authentication
Given LDAP is currently enabled,
When I disable LDAP authentication and save changes,
Then the system should revert to default OrangeHRM login authentication.</t>
  </si>
  <si>
    <t>Scenario 7: LDAP Login Authentication
Given LDAP is enabled and configured correctly,
When a user logs in with valid LDAP credentials,
Then the system should authenticate the user via LDAP and allow access.</t>
  </si>
  <si>
    <t>Scenario 1: Access PIM Page
Given the user is logged in with appropriate permissions
When the user navigates to PIM
Then the PIM page should be displayed successfully</t>
  </si>
  <si>
    <t>Scenario 2: Verify PIM Page Header
Given the PIM page is open
When the page loads
Then a clear header titled "PIM" or "Employee Information" should be displayed</t>
  </si>
  <si>
    <t>Scenario 3: Verify Navigation Bar Elements
Given the PIM page is open
When the page loads
Then the navigation bar should display User Menu, Upgrade button, Employee List, Add Employee, Reports, Help &amp; Support, and Configuration menu</t>
  </si>
  <si>
    <t>Scenario 4: Verify Configuration Menu Options
Given the Configuration menu is available
When the user opens the Configuration menu
Then Optional Fields, Custom Fields, Data Import, Reporting Methods, and Termination Reasons options should be displayed</t>
  </si>
  <si>
    <t>Scenario 5: Verify Search Filter Section
Given the PIM page is open
When the page loads
Then the search/filter section should be visible</t>
  </si>
  <si>
    <t>Scenario 6: Verify Search Fields Availability
Given the search/filter section is displayed
When the page loads
Then Employee Name, Employee ID, Job Title, Employment Status, Sub Unit, Supervisor Name, and Include fields should be available</t>
  </si>
  <si>
    <t>Scenario 7: Search Employee by Name
Given employee records exist
When the user enters a valid employee name and performs a search
Then matching employee records should be displayed</t>
  </si>
  <si>
    <t>Scenario 8: Search Employee by Employee ID
Given employee records exist
When the user enters a valid employee ID and performs a search
Then the matching employee record should be displayed</t>
  </si>
  <si>
    <t>Scenario 9: Search Employee by Job Title
Given employee records exist
When the user selects a job title and performs a search
Then only matching employee records should be displayed</t>
  </si>
  <si>
    <t>Scenario 10: Search Employee by Employment Status
Given employee records exist
When the user selects an employment status and performs a search
Then only matching employee records should be displayed</t>
  </si>
  <si>
    <t>Scenario 11: Search Employee by Sub Unit
Given employee records exist
When the user selects a sub unit and performs a search
Then only matching employee records should be displayed</t>
  </si>
  <si>
    <t>Scenario 12: Search Employee by Supervisor Name
Given employee records exist
When the user enters a valid supervisor name and performs a search
Then only matching employee records should be displayed</t>
  </si>
  <si>
    <t>Scenario 13: Search Using Include Filter
Given employee records exist
When the user selects an option from the Include field and performs a search
Then the search results should reflect the selected audience criteria</t>
  </si>
  <si>
    <t>Scenario 14: Search Using Multiple Filters
Given employee records exist
When the user applies multiple filters and performs a search
Then only records matching all selected criteria should be displayed</t>
  </si>
  <si>
    <t>Scenario 15: Verify Employee Records Table
Given employee records exist
When the page loads
Then the employee records table should be displayed successfully</t>
  </si>
  <si>
    <t>Scenario 16: Verify Employee Table Columns
Given the employee table is displayed
When employee records are loaded
Then Employee ID, First Name, Last Name, Job Title, Employment Status, Sub Unit, Supervisor, and Action columns should be displayed</t>
  </si>
  <si>
    <t>Scenario 17: Verify Add Employee Button
Given the PIM page is open
When the page loads
Then the Add Employee button should be visible and accessible</t>
  </si>
  <si>
    <t>Scenario 18: Add Employee Successfully
Given the Add Employee page is available
When the user enters valid employee information and saves
Then the employee record should be created successfully</t>
  </si>
  <si>
    <t>Scenario 19: Verify Delete Button
Given employee records exist
When the page loads
Then the Delete button should be visible and accessible</t>
  </si>
  <si>
    <t>Scenario 20: Delete Employee Successfully
Given an employee record exists
When the user selects the employee and confirms deletion
Then the employee record should be removed successfully</t>
  </si>
  <si>
    <t>Scenario 21: Edit Employee Record
Given an employee record exists
When the user updates employee information and saves
Then the changes should be saved successfully</t>
  </si>
  <si>
    <t>Scenario 22: Loading Indicator Validation
Given employee data is being retrieved
When the page is loading
Then a loading indicator should be displayed</t>
  </si>
  <si>
    <t>Scenario 23: No Records Found Validation
Given no employee records match the search criteria
When the user performs a search
Then a "No Records Found" message should be displayed</t>
  </si>
  <si>
    <t>Scenario 24: Responsive Layout Validation
Given the PIM page is accessed from supported screen sizes
When the page is displayed
Then the table layout should remain readable and usable</t>
  </si>
  <si>
    <t>Scenario 25: Permission Validation
Given a user without PIM permissions is logged in
When the user attempts to access the PIM page
Then access should be restricted according to system permissions</t>
  </si>
  <si>
    <t>User Story:
As a Logged-in Admin
I want to create, search, view, update, and remove employee records, including employee login details and profile information
So that employee data remains accurate, accessible, and up to date across the organization.</t>
  </si>
  <si>
    <t>Scenario 1: Access Add Employee Form
Given the admin is on the PIM page
When the admin clicks Add Employee
Then the Add Employee form should be displayed successfully</t>
  </si>
  <si>
    <t>Scenario 2: Create Employee Successfully
Given the Add Employee form is displayed
When the admin enters valid employee information and submits the form
Then the employee record should be created successfully
And a success message should be displayed
And the employee should appear in the employee list</t>
  </si>
  <si>
    <t>Scenario 3: Validate Required Employee Fields
Given the Add Employee form is displayed
When the admin submits the form without entering First Name or Last Name
Then the system should prevent submission and display validation messages</t>
  </si>
  <si>
    <t>Scenario 4: Upload Employee Image
Given the Add Employee form is displayed
When the admin uploads a valid image file within the allowed size limit
Then the image should be accepted successfully</t>
  </si>
  <si>
    <t>Scenario 5: Create Login Details
Given the Add Employee form is displayed
When the admin enables Create Login Details and enters valid username, password, and confirm password
Then the login details should be created successfully</t>
  </si>
  <si>
    <t>Scenario 6: Validate Login Details Fields
Given Create Login Details is enabled
When the admin submits invalid or incomplete login details
Then the system should display validation messages and prevent submission</t>
  </si>
  <si>
    <t>Scenario 7: Prevent Duplicate Employee ID
Given an employee ID already exists
When the admin attempts to create another employee using the same ID
Then the system should prevent creation and display an appropriate message</t>
  </si>
  <si>
    <t>Scenario 8: Search Employees
Given employee records exist
When the admin enters one or more search criteria and executes a search
Then the search results should match the entered criteria</t>
  </si>
  <si>
    <t>Scenario 9: No Matching Records Found
Given no employee records match the search criteria
When the admin performs a search
Then a "No matching records found" message should be displayed</t>
  </si>
  <si>
    <t>Scenario 10: Reset Employee Search Filters
Given search filters have been applied
When the admin clicks Reset
Then all filters should be cleared
And the full employee list should be displayed</t>
  </si>
  <si>
    <t>Scenario 11: View Employee Profile
Given employee records exist
When the admin clicks an employee name or employee ID
Then the employee profile should open and display the correct data</t>
  </si>
  <si>
    <t>Scenario 12: Edit Employee Profile
Given an employee profile is open
When the admin updates editable fields with valid data and saves
Then the changes should be saved successfully
And a success message should be displayed
And the updated data should be reflected immediately</t>
  </si>
  <si>
    <t>Scenario 13: Validate Employee Profile Updates
Given an employee profile is open
When the admin enters invalid data and attempts to save
Then the system should display validation messages and prevent saving</t>
  </si>
  <si>
    <t>Scenario 14: Delete Single Employee
Given an employee record exists
When the admin clicks the delete action button and confirms deletion
Then the employee should be deleted successfully
And a success message should be displayed</t>
  </si>
  <si>
    <t>Scenario 15: Delete Multiple Employees
Given multiple employee records are selected
When the admin clicks Delete and confirms deletion
Then all selected employees should be deleted successfully</t>
  </si>
  <si>
    <t>Scenario 16: Delete Employee Validation
Given no employee is selected
When the admin views the employee list
Then the Delete button should be disabled</t>
  </si>
  <si>
    <t>Scenario 17: Delete Failure Handling
Given an employee deletion cannot be completed
When the admin confirms deletion
Then the system should display an appropriate failure message</t>
  </si>
  <si>
    <t>As a Logged-in Admin
I want to manage optional fields from the Configuration menu
So that I can control which employee information fields are displayed in the Personal Details page.</t>
  </si>
  <si>
    <t>Scenario 1: Access Optional Fields Page
Given the admin is logged in
When the admin opens the Configuration menu and selects Optional Fields
Then the Optional Fields page should be displayed successfully</t>
  </si>
  <si>
    <t>Scenario 2: Verify Optional Fields Page Layout
Given the Optional Fields page is open
When the page loads
Then the Deprecated Fields section and Country Specific Information section should be displayed</t>
  </si>
  <si>
    <t>Scenario 3: Verify Deprecated Fields Options
Given the Deprecated Fields section is displayed
When the page loads
Then Nick Name, Smoker, and Military Service toggle options should be available</t>
  </si>
  <si>
    <t>Scenario 4: Verify Country Specific Information Options
Given the Country Specific Information section is displayed
When the page loads
Then SSN, SIN, and US Tax Exemptions toggle options should be available</t>
  </si>
  <si>
    <t>Scenario 5: Enable Optional Field
Given an optional field toggle is disabled
When the admin enables the toggle
Then the state should be updated successfully
And a success message should be displayed if applicable</t>
  </si>
  <si>
    <t>Scenario 6: Disable Optional Field
Given an optional field toggle is enabled
When the admin disables the toggle
Then the state should be updated successfully
And a success message should be displayed if applicable</t>
  </si>
  <si>
    <t>Scenario 7: Verify Toggle Persistence
Given an optional field setting has been updated
When the admin refreshes the page
Then the selected toggle state should remain unchanged</t>
  </si>
  <si>
    <t>Scenario 8: Verify Changes in Personal Details Page
Given an optional field has been enabled or disabled
When the admin opens an employee Personal Details page
Then the field visibility should reflect the configured setting</t>
  </si>
  <si>
    <t>Scenario 9: Verify Toggle Availability
Given the Optional Fields page is open
When the admin views the available settings
Then each option should be displayed with an Enable/Disable toggle switch</t>
  </si>
  <si>
    <t>Scenario 10: Page Load Validation
Given the admin navigates to Optional Fields
When the page loads
Then the page should load successfully without errors</t>
  </si>
  <si>
    <t>As a Logged-in Admin
I want to manage custom fields from the Configuration menu
So that I can customize and maintain additional employee information fields within the system.</t>
  </si>
  <si>
    <t>Scenario 1: Access Custom Fields Page
Given the admin is logged in
When the admin opens the Configuration menu and selects Custom Fields
Then the Custom Fields page should be displayed successfully</t>
  </si>
  <si>
    <t>Scenario 2: Verify Custom Fields Page Layout
Given the Custom Fields page is open
When the page loads
Then the custom fields table should be displayed
And the table should contain Custom Field Name, Screen, Field Type, and Actions columns
And Add, Edit, and Delete actions should be available</t>
  </si>
  <si>
    <t>Scenario 3: Verify Existing Custom Fields
Given custom field records exist
When the page loads
Then all existing custom fields should be displayed in the table</t>
  </si>
  <si>
    <t>Scenario 4: No Custom Fields Available
Given no custom field records exist
When the page loads
Then a "No Records Found" message should be displayed</t>
  </si>
  <si>
    <t>Scenario 5: Add Custom Field Successfully
Given the Custom Fields page is open
When the admin clicks Add and enters valid custom field information
Then the custom field should be created successfully
And the new record should appear in the table
And a success message should be displayed</t>
  </si>
  <si>
    <t>Scenario 6: Validate Required Fields for Custom Field
Given the Add Custom Field form is displayed
When the admin submits the form with required fields missing
Then the system should prevent submission and display validation messages</t>
  </si>
  <si>
    <t>Scenario 7: Edit Custom Field Successfully
Given a custom field record exists
When the admin clicks Edit and updates the field information with valid data
Then the changes should be saved successfully
And the updated data should be reflected in the table
And a success message should be displayed</t>
  </si>
  <si>
    <t>Scenario 8: Validate Custom Field Update
Given the Edit Custom Field form is displayed
When the admin enters invalid data and attempts to save
Then the system should display validation messages and prevent saving</t>
  </si>
  <si>
    <t>Scenario 9: Delete Custom Field Successfully
Given a custom field record exists
When the admin deletes the record and confirms the action
Then the custom field should be removed from the table
And a success message should be displayed</t>
  </si>
  <si>
    <t>Scenario 10: Delete Multiple Custom Fields
Given multiple custom field records are selected
When the admin confirms the deletion
Then all selected custom fields should be removed successfully</t>
  </si>
  <si>
    <t>As a Logged-in Admin
I want to import employee data using a file upload feature
So that I can efficiently create multiple employee records in the system.</t>
  </si>
  <si>
    <t>Scenario 1: Access Data Import Page
Given the admin is logged in
When the admin opens the Configuration menu and selects Data Import
Then the Import Data page should be displayed successfully</t>
  </si>
  <si>
    <t>Scenario 2: Verify Import Data Page Layout
Given the Import Data page is open
When the page loads
Then the file upload section should be displayed
And the upload control and upload button should be visible and accessible
And the import instructions should be displayed clearly</t>
  </si>
  <si>
    <t>Scenario 3: Upload Valid Import File
Given a valid import file is available
When the admin selects the file and clicks Upload
Then the file should be processed successfully
And employee records should be created
And a success message should be displayed</t>
  </si>
  <si>
    <t>Scenario 4: Upload Without Selecting File
Given the Import Data page is open
When the admin clicks Upload without selecting a file
Then the system should prevent the upload and display an appropriate validation message</t>
  </si>
  <si>
    <t>Scenario 5: Upload Invalid File Format
Given an unsupported file format is selected
When the admin attempts to upload the file
Then the system should reject the file
And display an appropriate error message</t>
  </si>
  <si>
    <t>Scenario 6: Validate Import File Content
Given an import file contains invalid data
When the admin uploads the file
Then the system should reject the import
And display the reason for failure</t>
  </si>
  <si>
    <t>Scenario 7: Validate Required Employee Data
Given an import file is selected
When required fields such as First Name or Last Name are missing
Then the system should reject the file and display an appropriate error message</t>
  </si>
  <si>
    <t>Scenario 8: Validate File Structure Rules
Given an import file is selected
When the column order is changed, date format is invalid, gender value is invalid, or record count exceeds 100
Then the system should reject the file and display an appropriate error message</t>
  </si>
  <si>
    <t>Scenario 9: Verify Import Failure Handling
Given an import file fails validation
When the import process is stopped
Then no employee records should be created
And the system should display a clear failure message</t>
  </si>
  <si>
    <t>Scenario 10: Re-Upload After Failure
Given a previous import attempt failed
When the admin corrects the file and uploads it again
Then the system should allow the file to be uploaded and processed successfully</t>
  </si>
  <si>
    <t>As a Logged-in Admin
I want to manage reporting methods from the Configuration menu
So that I can maintain and update reporting structures used within the organization.</t>
  </si>
  <si>
    <t>Scenario 1: Access Reporting Methods Page
Given the admin is logged in
When the admin opens the Configuration menu and selects Reporting Methods
Then the Reporting Methods page should be displayed successfully</t>
  </si>
  <si>
    <t>Scenario 2: Verify Reporting Methods Page Layout
Given the Reporting Methods page is open
When the page loads
Then the reporting methods table should be displayed
And the table should contain Reporting Method Name, Description, and Actions columns
And Add, Edit, and Delete actions should be available</t>
  </si>
  <si>
    <t>Scenario 3: View Existing Reporting Methods
Given reporting method records exist
When the page loads
Then all existing reporting methods should be displayed in the table</t>
  </si>
  <si>
    <t>Scenario 4: No Reporting Methods Available
Given no reporting method records exist
When the page loads
Then a "No Records Found" message should be displayed</t>
  </si>
  <si>
    <t>Scenario 5: Add Reporting Method Successfully
Given the Reporting Methods page is open
When the admin clicks Add and enters valid reporting method information
Then the reporting method should be created successfully
And the new record should appear in the table
And a success message should be displayed</t>
  </si>
  <si>
    <t>Scenario 6: Validate Required Fields
Given the Add Reporting Method form is displayed
When the admin submits the form without entering the reporting method name
Then the system should prevent submission and display validation messages</t>
  </si>
  <si>
    <t>Scenario 7: Edit Reporting Method Successfully
Given a reporting method record exists
When the admin updates the reporting method information and saves
Then the changes should be saved successfully
And the updated data should be reflected in the table
And a success message should be displayed</t>
  </si>
  <si>
    <t>Scenario 8: Delete Reporting Method Successfully
Given a reporting method record exists
When the admin deletes the record and confirms the action
Then the reporting method should be removed from the table
And a success message should be displayed</t>
  </si>
  <si>
    <t>Scenario 9: Delete Multiple Reporting Methods
Given multiple reporting method records are selected
When the admin confirms deletion
Then all selected reporting methods should be removed successfully</t>
  </si>
  <si>
    <t xml:space="preserve">
As a Logged-in Admin
I want to manage termination reasons from the Configuration menu
So that I can maintain standardized reasons for employee termination within the system.</t>
  </si>
  <si>
    <t>Scenario 1: Access Termination Reasons Page
Given the admin is logged in
When the admin opens the Configuration menu and selects Termination Reasons
Then the Termination Reasons page should be displayed successfully</t>
  </si>
  <si>
    <t>Scenario 2: Verify Termination Reasons Page Layout
Given the Termination Reasons page is open
When the page loads
Then the termination reasons table should be displayed
And the table should contain Termination Reason Name and Actions columns
And Add, Edit, and Delete actions should be available</t>
  </si>
  <si>
    <t>Scenario 3: View Existing Termination Reasons
Given termination reason records exist
When the page loads
Then all existing termination reasons should be displayed in the table</t>
  </si>
  <si>
    <t>Scenario 4: No Termination Reasons Available
Given no termination reason records exist
When the page loads
Then a "No Records Found" message should be displayed</t>
  </si>
  <si>
    <t>Scenario 5: Add Termination Reason Successfully
Given the Termination Reasons page is open
When the admin clicks Add and enters a valid termination reason name
Then the termination reason should be created successfully
And the new record should appear in the table
And a success message should be displayed</t>
  </si>
  <si>
    <t>Scenario 6: Validate Required Field for Termination Reason
Given the Add Termination Reason form is displayed
When the admin submits the form without entering a termination reason name
Then the system should prevent submission and display validation messages</t>
  </si>
  <si>
    <t>Scenario 7: Edit Termination Reason Successfully
Given a termination reason record exists
When the admin updates the termination reason name and saves
Then the changes should be saved successfully
And the updated data should be reflected in the table
And a success message should be displayed</t>
  </si>
  <si>
    <t>Scenario 8: Delete Termination Reason Successfully
Given a termination reason record exists
When the admin deletes the record and confirms the action
Then the termination reason should be removed from the table
And a success message should be displayed</t>
  </si>
  <si>
    <t>Scenario 9: Delete Multiple Termination Reasons
Given multiple termination reason records are selected
When the admin confirms deletion
Then all selected termination reasons should be removed successfully</t>
  </si>
  <si>
    <t>As a Logged-in Admin
I want to manage and view PIM reports from the Reports section
So that I can access, analyze, and maintain employee-related report data efficiently.</t>
  </si>
  <si>
    <t>Scenario 1: Access Reports Page
Given the admin is logged in
When the admin clicks the Reports button from the navigation bar
Then the Reports page should be displayed successfully</t>
  </si>
  <si>
    <t>Scenario 2: Verify Reports Page Layout
Given the Reports page is open
When the page loads
Then the reports table should be displayed
And the table should contain Report Name and Actions columns
And Add, View, Edit, and Delete actions should be available</t>
  </si>
  <si>
    <t>Scenario 3: Verify Search Filter Section
Given the Reports page is open
When the page loads
Then the search/filter section should be visible
And the Report Name search field should be available</t>
  </si>
  <si>
    <t>Scenario 4: Search Reports
Given report records exist
When the admin enters a valid report name and performs a search
Then matching report results should be displayed</t>
  </si>
  <si>
    <t>Scenario 5: No Reports Found
Given no report records match the search criteria
When the admin performs a search
Then a "No Records Found" message should be displayed</t>
  </si>
  <si>
    <t>Scenario 6: View Report Successfully
Given a report exists
When the admin clicks View for a specific report
Then the system should redirect to the Report Details page
And the report details should be displayed correctly</t>
  </si>
  <si>
    <t>Scenario 7: Verify Report Details Page
Given the Report Details page is open
When the page loads
Then report information should be displayed in a structured table format
And predefined filters and columns should be visible
And report data should be loaded successfully</t>
  </si>
  <si>
    <t>Scenario 8: Navigate Back from Report Details
Given the admin is on the Report Details page
When the admin clicks Back
Then the system should redirect to the Reports page</t>
  </si>
  <si>
    <t>Scenario 9: Add Report Successfully
Given the Reports page is open
When the admin clicks Add and enters valid report information
Then the report should be created successfully
And the new report should appear in the table
And a success message should be displayed</t>
  </si>
  <si>
    <t>Scenario 10: Validate Required Report Name
Given the Add Report form is displayed
When the admin submits the form without entering a report name
Then the system should prevent submission and display validation messages</t>
  </si>
  <si>
    <t>Scenario 11: Edit Report Successfully
Given a report exists
When the admin updates report details and saves
Then the changes should be saved successfully
And the updated data should be reflected in the table
And a success message should be displayed</t>
  </si>
  <si>
    <t>Scenario 12: Delete Report Successfully
Given a report record exists
When the admin deletes the report and confirms the action
Then the report should be removed from the table
And a success message should be displayed</t>
  </si>
  <si>
    <t>Scenario 13: Delete Multiple Reports
Given multiple reports are selected
When the admin confirms deletion
Then all selected reports should be removed successfully</t>
  </si>
  <si>
    <t>As an Employee,
I want to apply for leave through the system,
So that I can request time off and notify my manager efficiently.</t>
  </si>
  <si>
    <t>Scenario 1: Open Apply Leave page
Given I am logged into the system
When I navigate to Leave → Apply
Then the Apply Leave page should open successfully
And the following fields should be displayed:
Leave Type
From Date
To Date
Duration
Comment
Partial Days options (if applicable)
Apply button</t>
  </si>
  <si>
    <t>Scenario 2: Apply leave successfully
Given I am on the Apply Leave page
When I select a valid leave type
And I select valid leave dates
And I complete all required fields
And I click "Apply"
Then the leave request should be submitted successfully
And a success message should be displayed
And the request should appear in My Leave list</t>
  </si>
  <si>
    <t>Scenario 3: Required field validation
Given I am on the Apply Leave page
When I leave mandatory fields empty
And click "Apply"
Then validation messages should appear for required fields
And the leave request should not be submitted</t>
  </si>
  <si>
    <t>Scenario 4: Apply single-day leave
Given I am applying for leave
When I select the same From Date and To Date
And I submit the request
Then the system should create a single-day leave request successfully</t>
  </si>
  <si>
    <t>Scenario 5: Apply multiple-day leave
Given I am applying for leave
When I select a date range with multiple days
And I click "Apply"
Then the leave request should be created successfully for all selected days</t>
  </si>
  <si>
    <t>Scenario 6: Apply half-day leave
Given organization policy allows half-day leave
When I select "Half Day" duration
And choose Morning or Evening
And click "Apply"
Then the leave request should be submitted successfully as half-day leave</t>
  </si>
  <si>
    <t>Scenario 7: Apply leave for specific time
Given organization policy allows specific time leave
When I select "Specify Time"
And enter valid start and end times
And click "Apply"
Then the leave request should be submitted successfully with specified hours</t>
  </si>
  <si>
    <t>Scenario 8: Invalid date range validation
Given I am applying for leave
When I select a To Date earlier than the From Date
And click "Apply"
Then the system should display a validation error
And the request should not be submitted</t>
  </si>
  <si>
    <t>Scenario 9: Leave balance display
Given I select a leave type
When the leave type is selected
Then the system should display the available leave balance for that leave type</t>
  </si>
  <si>
    <t>Scenario 10: Comment field functionality
Given I am applying for leave
When I enter a comment
And submit the request
Then the comment should be saved successfully with the leave request</t>
  </si>
  <si>
    <t>Scenario 11: Attachment upload
Given attachment upload is enabled
When I upload a valid attachment file
And click "Apply"
Then the attachment should be uploaded successfully with the leave request</t>
  </si>
  <si>
    <t>Scenario 12: Invalid attachment validation
Given I am uploading an attachment
When the uploaded file exceeds allowed size or unsupported format
Then the system should display a validation message
And the file should not be uploaded</t>
  </si>
  <si>
    <t>Scenario 13: Prevent leave request on holiday
Given the selected leave date is a company holiday
When I submit the leave request
Then the system should automatically reject or cancel the request
And notify the user appropriately</t>
  </si>
  <si>
    <t>Scenario 14: Prevent overlapping leave request
Given I already have approved or pending leave for selected dates
When I apply for leave on overlapping dates
Then the system should prevent duplicate leave requests
And display an appropriate validation message</t>
  </si>
  <si>
    <t>Scenario 15: Cancel leave application
Given I am on the Apply Leave page
When I click Cancel or navigate away before submitting
Then no leave request should be created</t>
  </si>
  <si>
    <t>Scenario 16: Notification after leave submission
Given I successfully submit a leave request
When the request is processed
Then the supervisor should receive a notification about the leave request</t>
  </si>
  <si>
    <t>As an Employee,
I want to view and manage my leave requests,
So that I can track leave status, review leave history, and take actions when needed.</t>
  </si>
  <si>
    <t>Scenario 1: Open My Leave page
Given I am logged into the system
When I navigate to Leave → My Leave
Then the My Leave page should open successfully
And my submitted leave requests should be displayed in a list/grid view</t>
  </si>
  <si>
    <t>Scenario 2: View leave request details
Given I have submitted leave requests
When the My Leave list is displayed
Then each leave request should display:
Leave Type
From Date
To Date
Number of Days
Status
Comments (if available)</t>
  </si>
  <si>
    <t>Scenario 3: Filter leave requests by date range
Given I am on My Leave page
When I enter a valid From Date and To Date
And click "Search"
Then only leave requests within the selected date range should be displayed</t>
  </si>
  <si>
    <t>Scenario 4: Filter leave requests by status
Given I am on My Leave page
When I select one or more leave statuses:
Pending Approval
Scheduled
Taken
Rejected
Cancelled
And click "Search"
Then the system should display matching leave requests only</t>
  </si>
  <si>
    <t>Scenario 5: Search leave requests successfully
Given leave requests exist
When I apply valid filters
And click "Search"
Then matching leave records should be displayed correctly</t>
  </si>
  <si>
    <t>Scenario 6: Reset search filters
Given search filters are applied
When I click "Reset"
Then all filters should be cleared
And the full leave list should be displayed again</t>
  </si>
  <si>
    <t>Scenario 7: Cancel pending leave request
Given I have a leave request with status "Pending Approval"
When I select the request
And click "Cancel"
And confirm the action
Then the leave request status should change to "Cancelled"</t>
  </si>
  <si>
    <t>Scenario 8: Prevent cancellation of approved/taken leave
Given I have an approved or taken leave request
When I attempt to cancel the request
Then the system should prevent cancellation
And display an appropriate message</t>
  </si>
  <si>
    <t>Scenario 9: View leave comments
Given comments exist for a leave request
When I open leave request details
Then all related comments should be displayed</t>
  </si>
  <si>
    <t>Scenario 10: Add comment to leave request
Given I open a leave request
When I add a comment
And save the changes
Then the comment should be stored successfully with the leave request</t>
  </si>
  <si>
    <t>Scenario 11: No records found case
Given no leave requests match the selected filters
When I click "Search"
Then the system should display:
"No Records Found"</t>
  </si>
  <si>
    <t>Scenario 12: Pagination functionality
Given the number of leave requests exceeds the page limit
When I navigate between pages
Then the correct leave records should be displayed for the selected page</t>
  </si>
  <si>
    <t>Scenario 13: Multi-day leave request display
Given I submitted a leave request for multiple days
When the request appears in My Leave list
Then the request should appear as a single grouped record</t>
  </si>
  <si>
    <t>Scenario 14: Expand multi-day leave request
Given a multi-day leave request exists
When I expand the leave request details
Then the system should display leave details for each day separately</t>
  </si>
  <si>
    <t>Scenario 15: View leave balance from My Leave
Given I am viewing my leave requests
When I access leave details or related options
Then I should be able to view leave balance information for the selected leave type</t>
  </si>
  <si>
    <t>Scenario 16: iCalendar integration
Given I am on My Leave page
When I enable iCalendar feed
Then the system should generate a valid calendar integration link
And I should be able to use it in external calendar applications</t>
  </si>
  <si>
    <t>Scenario 17: Generate new iCalendar link
Given an iCalendar link already exists
When I click "Get New Link"
Then the old link should become invalid
And a new valid calendar link should be generated</t>
  </si>
  <si>
    <t>Scenario 18: Unauthorized access restriction
Given I am not logged into the system
When I try to access the My Leave page directly via URL
Then the system should redirect me to the login page
Or display an unauthorized access message</t>
  </si>
  <si>
    <t xml:space="preserve">
As an HR Admin,
I want to add leave entitlements for employees,
So that employees receive the correct leave balances based on company policies.</t>
  </si>
  <si>
    <t>Scenario 1: Open Add Leave Entitlement page
Given I am logged in as HR Admin
When I navigate to Leave → Entitlements → Add Entitlements
Then the Add Leave Entitlement page should open successfully
And the following fields should be displayed:
Employee Name
Leave Type
Add to Multiple Employees checkbox
Leave Period
Entitlement
Comment
Save button</t>
  </si>
  <si>
    <t>Scenario 2: Add leave entitlement for a single employee
Given I am on the Add Leave Entitlement page
When I enter a valid employee name
And select a leave type
And select a leave period
And enter valid entitlement days
And click "Save"
Then the system should display the entitlement confirmation screen
And the leave entitlement should be added successfully after confirmation</t>
  </si>
  <si>
    <t>Scenario 3: Add leave entitlement for multiple employees
Given I am on the Add Leave Entitlement page
When I enable "Add to Multiple Employees"
And select a valid location
And select a valid subunit
And complete required fields
And click "Save"
Then the system should apply leave entitlements to all matching employees successfully</t>
  </si>
  <si>
    <t>Scenario 4: Required field validation
Given I am adding a leave entitlement
When I leave mandatory fields empty
And click "Save"
Then validation messages should appear for required fields
And the entitlement should not be created</t>
  </si>
  <si>
    <t>Scenario 5: Employee auto-suggestion functionality
Given I am entering an employee name
When I type part of the employee name
Then the system should display matching employee suggestions</t>
  </si>
  <si>
    <t>Scenario 6: Leave type dropdown functionality
Given leave types exist in the system
When I open the Leave Type dropdown
Then all configured leave types should be displayed</t>
  </si>
  <si>
    <t>Scenario 7: Add negative leave entitlement
Given negative entitlements are allowed by the system
When I enter a negative entitlement value
And click "Save"
Then the entitlement should be saved successfully</t>
  </si>
  <si>
    <t>Scenario 8: Add entitlement using hours
Given hour-based leave types are enabled
When I select an hour-based leave type
And enter entitlement hours
And click "Save"
Then the entitlement should be added successfully using hours instead of days</t>
  </si>
  <si>
    <t>Scenario 9: Confirmation screen after saving
Given valid entitlement information is entered
When I click "Save"
Then the system should display an Updating Entitlement confirmation screen
And it should display:
Affected employees
Old entitlement
New entitlement</t>
  </si>
  <si>
    <t>Scenario 10: Confirm entitlement update
Given the confirmation screen is displayed
When I click "Confirm"
Then the entitlement changes should be applied successfully</t>
  </si>
  <si>
    <t>Scenario 11: Cancel entitlement update
Given the confirmation screen is displayed
When I click "Cancel"
Then no entitlement changes should be applied</t>
  </si>
  <si>
    <t>Scenario 12: Comment field functionality
Given I am adding leave entitlement
When I enter a comment
And save the entitlement
Then the comment should be stored successfully with the entitlement record</t>
  </si>
  <si>
    <t>Scenario 13: Decimal entitlement values
Given the system allows decimal leave values
When I enter decimal entitlement days
And save the record
Then the entitlement should be saved successfully with decimal values</t>
  </si>
  <si>
    <t>Scenario 14: Invalid entitlement value validation
Given I am adding leave entitlement
When I enter invalid entitlement data:
Alphabetic characters
Special characters
Empty value
And click "Save"
Then the system should display validation errors
And the entitlement should not be created</t>
  </si>
  <si>
    <t>Scenario 15: Location and subunit visibility
Given "Add to Multiple Employees" is unchecked
When the page loads
Then Location and Subunit fields should remain hidden
And Given I enable "Add to Multiple Employees"
Then Location and Subunit fields should become visible</t>
  </si>
  <si>
    <t>Scenario 16: Duplicate entitlement handling
Given an entitlement already exists for the same employee, leave type, and leave period
When I add another entitlement
Then the system should create a separate entitlement record
Or update balances according to business rules</t>
  </si>
  <si>
    <t>Scenario 17: Unauthorized access restriction
Given I am logged in as a non-admin user
When I try to access the Add Leave Entitlement page directly via URL
Then the system should deny access
Or display an unauthorized access message</t>
  </si>
  <si>
    <t>Scenario 18: Successful entitlement reflected in entitlement list
Given I successfully added leave entitlement
When I navigate to Entitlement List
Then the new entitlement record should appear correctly in the list</t>
  </si>
  <si>
    <t>As an HR Admin,
I want to view and manage employee leave entitlements,
So that I can track leave balances and ensure leave allocations are accurate.</t>
  </si>
  <si>
    <t>Scenario 1: Open Leave Entitlements page
Given I am logged in as HR Admin
When I navigate to Leave → Entitlements → Employee Entitlements
Then the Leave Entitlements page should open successfully
And the following search fields should be displayed:
Employee Name
Leave Type
Leave Period
Search button
Reset button</t>
  </si>
  <si>
    <t>Scenario 2: Search leave entitlements successfully
Given leave entitlement records exist
When I enter valid search criteria
And click "Search"
Then matching leave entitlement records should be displayed in the results list</t>
  </si>
  <si>
    <t>Scenario 3: View entitlement details
Given leave entitlement records are displayed
When the results grid loads
Then each entitlement record should display:
Employee Name
Leave Type
Leave Period
Entitlement
Days Used
Balance</t>
  </si>
  <si>
    <t>Scenario 4: Search by employee name
Given employee records exist
When I enter a valid employee name
And click "Search"
Then the system should display leave entitlements for the selected employee only</t>
  </si>
  <si>
    <t>Scenario 5: Employee auto-suggestion functionality
Given I am entering an employee name
When I type part of the employee name
Then matching employee suggestions should appear in the dropdown</t>
  </si>
  <si>
    <t>Scenario 6: Search by leave type
Given leave entitlement records exist
When I select a leave type
And click "Search"
Then only entitlements related to the selected leave type should be displayed</t>
  </si>
  <si>
    <t>Scenario 7: Search by leave period
Given multiple leave periods exist
When I select a leave period
And click "Search"
Then only entitlement records for the selected leave period should be displayed</t>
  </si>
  <si>
    <t>Scenario 8: Combined search filters
Given entitlement records exist
When I enter:
Employee Name
Leave Type
Leave Period
And click "Search"
Then the system should display records matching all selected criteria</t>
  </si>
  <si>
    <t>Scenario 9: Reset search filters
Given search filters are applied
When I click "Reset"
Then all search fields should be cleared
And default search results should be displayed</t>
  </si>
  <si>
    <t>Scenario 10: No records found case
Given no entitlement records match the selected criteria
When I click "Search"
Then the system should display:
"No Records Found"</t>
  </si>
  <si>
    <t>Scenario 11: Pagination functionality
Given the number of entitlement records exceeds the page limit
When I navigate between pages
Then the correct entitlement records should appear for the selected page</t>
  </si>
  <si>
    <t>Scenario 12: View entitlement balance calculation
Given entitlement records exist
When the entitlement list is displayed
Then the balance should be calculated correctly using:
Balance = Entitlement - Days Used</t>
  </si>
  <si>
    <t>Scenario 13: Leave type dropdown functionality
Given leave types are configured in the system
When I open the Leave Type dropdown
Then all configured leave types should be displayed</t>
  </si>
  <si>
    <t>Scenario 14: Leave period dropdown functionality
Given leave periods exist
When I open the Leave Period dropdown
Then all available leave periods should be displayed</t>
  </si>
  <si>
    <t>Scenario 15: Edit entitlement access
Given entitlement records are displayed
When I select an entitlement record
Then I should be able to navigate to edit/update entitlement details if permissions allow</t>
  </si>
  <si>
    <t>Scenario 16: Unauthorized access restriction
Given I am logged in as a non-admin user
When I attempt to access the Leave Entitlements page directly via URL
Then the system should deny access
Or display an unauthorized access message</t>
  </si>
  <si>
    <t>Scenario 17: Data persistence after refresh
Given search results are displayed
When I refresh the page
Then the system should reload correctly without errors
And entitlement data should remain accessible</t>
  </si>
  <si>
    <t>Scenario 18: Numeric values formatting
Given entitlement records contain decimal values
When the records are displayed
Then entitlement, used days, and balance values should display correctly with proper numeric formatting</t>
  </si>
  <si>
    <t>Scenario 19: Performance of entitlement search
Given a large number of entitlement records exist
When I perform a search
Then the results should load within acceptable system response time</t>
  </si>
  <si>
    <t>Scenario 20: Empty mandatory search handling
Given mandatory filters are required by the system
When I click "Search" without entering required information
Then the system should display appropriate validation messages</t>
  </si>
  <si>
    <t>As an Employee,
I want to view my leave entitlements and balances,
So that I can track my available leave days and understand my leave usage.</t>
  </si>
  <si>
    <t>Scenario 1: Open My Leave Entitlements page
Given I am logged into the system
When I navigate to Leave → Entitlements → My Entitlements
Then the My Leave Entitlements page should open successfully
And my leave entitlement records should be displayed in a list/grid view</t>
  </si>
  <si>
    <t>Scenario 2: View entitlement details
Given my entitlement records exist
When the page loads
Then each entitlement record should display:
Leave Type
Entitlement Type
Credited On
Valid From
Valid To
Expired Days
Days Entitled</t>
  </si>
  <si>
    <t>Scenario 3: View leave balances
Given entitlement records are displayed
When I review the entitlement list
Then I should be able to view my current leave balance for each leave type</t>
  </si>
  <si>
    <t>Scenario 4: Search entitlements by leave type
Given multiple leave entitlement records exist
When I select a leave type
And click "Search"
Then only entitlement records related to the selected leave type should be displayed</t>
  </si>
  <si>
    <t>Scenario 5: Search entitlements by leave period
Given multiple leave periods exist
When I select a leave period
And click "Search"
Then the system should display entitlement records for the selected leave period only</t>
  </si>
  <si>
    <t>Scenario 6: Combined search filters
Given entitlement records exist
When I select:
Leave Type
Leave Period
And click "Search"
Then the system should display records matching all selected criteria</t>
  </si>
  <si>
    <t>Scenario 7: Reset search filters
Given search filters are applied
When I click "Reset"
Then all filters should be cleared
And the default entitlement list should be displayed again</t>
  </si>
  <si>
    <t>Scenario 8: No records found case
Given no entitlement records match the selected criteria
When I click "Search"
Then the system should display:
"No Records Found"</t>
  </si>
  <si>
    <t>Scenario 9: Pagination functionality
Given the number of entitlement records exceeds the page limit
When I navigate between pages
Then the correct entitlement records should appear for the selected page</t>
  </si>
  <si>
    <t>Scenario 10: View entitlement validity period
Given entitlement records exist
When the entitlement list is displayed
Then each entitlement should display its:
Valid From date
Valid To date</t>
  </si>
  <si>
    <t>Scenario 11: View expired entitlement information
Given some entitlements contain expired leave days
When the entitlement list is displayed
Then expired leave values should be displayed correctly in the "Expired" column</t>
  </si>
  <si>
    <t>Scenario 12: View different entitlement types
Given multiple entitlement types exist
When entitlement records are displayed
Then the system should show the correct entitlement type such as:
Added Entitlement
Accrued Entitlement
Brought Forward Entitlement</t>
  </si>
  <si>
    <t>Scenario 13: Numeric values formatting
Given entitlement values contain decimal numbers
When the records are displayed
Then entitlement values should display correctly with proper numeric formatting</t>
  </si>
  <si>
    <t>Scenario 14: View entitlement breakdown
Given entitlement details are available
When I open entitlement details
Then the system should display a breakdown of:
Added entitlement
Used leave
Remaining balance</t>
  </si>
  <si>
    <t>Scenario 15: Navigate to leave details from entitlement
Given entitlement balance values are clickable
When I click an entitlement or balance value
Then the system should navigate to the related leave details or leave usage screen</t>
  </si>
  <si>
    <t>Scenario 16: Data persistence after refresh
Given entitlement records are displayed
When I refresh the page
Then the system should reload successfully without errors
And entitlement data should remain accessible</t>
  </si>
  <si>
    <t>Scenario 17: Unauthorized access restriction
Given I am not logged into the system
When I try to access the My Leave Entitlements page directly via URL
Then the system should redirect me to the login page
Or display an unauthorized access message</t>
  </si>
  <si>
    <t>Scenario 18: Performance of entitlement loading
Given many entitlement records exist
When I open or search the My Leave Entitlements page
Then the results should load within acceptable system response time</t>
  </si>
  <si>
    <t xml:space="preserve">As an HR Admin,
I want to generate and view the Leave Entitlements and Usage Report,
So that I can monitor employee leave balances, entitlements, leave taken, and remaining leave accurately.
 </t>
  </si>
  <si>
    <t>Scenario 1: Access Leave Entitlements and Usage Report
Given the user is logged in with appropriate permissions
When the user navigates to Leave &gt; Reports &gt; Leave Entitlements and Usage Report
Then the report page should be displayed successfully</t>
  </si>
  <si>
    <t>Scenario 2: Generate report for a specific employee
Given the report page is open
When the user selects an employee and clicks Generate
Then the report should display leave entitlement details for the selected employee</t>
  </si>
  <si>
    <t>Scenario 3: Generate report for all employees
Given the report page is open
When the user generates the report without selecting a specific employee (if supported)
Then the report should display records for all eligible employees</t>
  </si>
  <si>
    <t>Scenario 4: Filter by leave type
Given report data exists
When the user selects a leave type and generates the report
Then only records matching the selected leave type should be displayed</t>
  </si>
  <si>
    <t>Scenario 5: View leave entitlement values
Given a report is generated
When report results are displayed
Then entitlement, leave taken, scheduled leave, and balance values should be shown correctly</t>
  </si>
  <si>
    <t>Scenario 6: Employee search validation
Given the employee name field is available
When the user enters a partial employee name
Then matching employee suggestions should be displayed</t>
  </si>
  <si>
    <t>Scenario 7: Invalid employee search
Given the employee field is available
When the user enters a non-existing employee name
Then no matching records should be returned</t>
  </si>
  <si>
    <t>Scenario 8: Reset filters
Given report filters have been applied
When the user clicks Reset
Then all filters should return to their default values</t>
  </si>
  <si>
    <t>Scenario 9: No records found
Given no data matches the selected criteria
When the report is generated
Then a "No Records Found" message should be displayed</t>
  </si>
  <si>
    <t>Scenario 10: Permission validation
Given a user without report permissions is logged in
When the user attempts to access the report page
Then access should be restricted according to system permissions</t>
  </si>
  <si>
    <t>Scenario 11: Data accuracy validation
Given leave transactions exist for an employee
When the report is generated
Then the displayed values should match the employee's leave records</t>
  </si>
  <si>
    <t>Scenario 12: Report refresh after filter changes
Given a report has already been generated
When the user modifies the filter criteria and regenerates the report
Then the report should refresh and display updated results</t>
  </si>
  <si>
    <t>Scenario 13: Mandatory field validation
Given required fields exist
When the user attempts to generate the report without completing mandatory inputs
Then appropriate validation messages should be displayed</t>
  </si>
  <si>
    <t>Scenario 14: System performance
Given report data exists
When the user generates the report
Then results should load within an acceptable response time</t>
  </si>
  <si>
    <t>As an Employee,
I want to view my leave entitlements and leave usage report,
So that I can track my available leave balance, leave taken, and remaining entitlement.</t>
  </si>
  <si>
    <t>Scenario 1: Access My Leave Entitlements and Usage Report
Given the employee is logged in
When the employee navigates to Leave &gt; Reports &gt; My Leave Entitlements and Usage Report
Then the report page should be displayed successfully</t>
  </si>
  <si>
    <t>Scenario 2: Generate report for current employee
Given the report page is open
When the employee clicks Generate
Then the report should display leave entitlement information for the logged-in employee only</t>
  </si>
  <si>
    <t>Scenario 3: View leave balances
Given a report has been generated
When the report results are displayed
Then the employee should see leave entitlement, leave taken, scheduled leave, and remaining balance values</t>
  </si>
  <si>
    <t>Scenario 4: Filter by leave type
Given leave records exist
When the employee selects a leave type and generates the report
Then only records matching the selected leave type should be displayed</t>
  </si>
  <si>
    <t>Scenario 5: Filter by leave period
Given leave records exist across different periods
When the employee selects a leave period and generates the report
Then only records within the selected period should be displayed</t>
  </si>
  <si>
    <t>Scenario 6: Reset report filters
Given report filters have been applied
When the employee clicks Reset
Then all filters should return to their default values</t>
  </si>
  <si>
    <t>Scenario 7: No records found
Given no leave records match the selected criteria
When the employee generates the report
Then a "No Records Found" message should be displayed</t>
  </si>
  <si>
    <t>Scenario 8: Data accuracy validation
Given leave transactions exist
When the report is generated
Then all entitlement and balance values should match the employee's leave records</t>
  </si>
  <si>
    <t>Scenario 9: Report refresh after filter changes
Given a report has already been generated
When the employee changes filter criteria and clicks Generate
Then the report should refresh and display updated results</t>
  </si>
  <si>
    <t>Scenario 10: User access restriction
Given the employee is logged in
When the employee accesses My Leave Entitlements and Usage Report
Then only their own leave information should be displayed</t>
  </si>
  <si>
    <t>Scenario 11: Validation of available leave types
Given the leave type dropdown is displayed
When the employee opens the dropdown
Then all eligible leave types should be available for selection</t>
  </si>
  <si>
    <t>Scenario 12: System performance
Given leave data exists
When the employee generates the report
Then the report should load within the expected response time</t>
  </si>
  <si>
    <t>Scenario 13: Navigation consistency
Given the employee is viewing the report
When the employee navigates away and returns to the page
Then the page should load correctly without errors</t>
  </si>
  <si>
    <t>Scenario 14: Empty leave history
Given the employee has no leave records
When the employee generates the report
Then the system should display an appropriate empty-state or "No Records Found" message</t>
  </si>
  <si>
    <t>As an HR Admin,
I want to configure the Leave Period,
So that leave entitlements, accruals, and reports are calculated within the correct leave cycle.</t>
  </si>
  <si>
    <t>Scenario 1: Access Leave Period Configuration
Given the admin is logged in with appropriate permissions
When the admin navigates to Leave &gt; Configure &gt; Leave Period
Then the Leave Period page should be displayed successfully</t>
  </si>
  <si>
    <t>Scenario 2: View Current Leave Period Settings
Given the Leave Period page is open
When the page loads
Then the current leave period configuration should be displayed</t>
  </si>
  <si>
    <t>Scenario 3: Define Leave Period Start Date
Given the Leave Period page is open
When the admin selects a valid start month and day
And saves the configuration
Then the leave period should be updated successfully</t>
  </si>
  <si>
    <t>Scenario 4: Save Leave Period Configuration
Given valid leave period values are selected
When the admin clicks Save
Then the configuration should be saved successfully
And a success message should be displayed</t>
  </si>
  <si>
    <t>Scenario 5: Change Existing Leave Period
Given a leave period is already configured
When the admin modifies the leave period settings and saves
Then the updated configuration should be reflected in the system</t>
  </si>
  <si>
    <t>Scenario 6: Validation of Required Fields
Given the Leave Period page is open
When the admin attempts to save without completing required fields
Then appropriate validation messages should be displayed</t>
  </si>
  <si>
    <t>Scenario 7: Invalid Date Selection Prevention
Given the Leave Period configuration form is displayed
When the admin attempts to select an invalid date combination
Then the system should prevent the invalid selection</t>
  </si>
  <si>
    <t>Scenario 8: Verify Persistence After Refresh
Given the leave period configuration has been saved
When the admin refreshes the page
Then the saved configuration should remain unchanged</t>
  </si>
  <si>
    <t>Scenario 9: Verify Persistence After Logout
Given the leave period configuration has been saved
When the admin logs out and logs back in
Then the saved configuration should still be displayed</t>
  </si>
  <si>
    <t>Scenario 10: Permission Validation
Given a user without Leave configuration permissions is logged in
When the user attempts to access the Leave Period page
Then access should be restricted according to system permissions</t>
  </si>
  <si>
    <t>Scenario 11: Successful Update Notification
Given the admin saves a valid leave period configuration
When the save operation completes
Then a confirmation or success message should be displayed</t>
  </si>
  <si>
    <t>Scenario 12: Data Integrity Validation
Given a leave period has been configured
When the configuration is retrieved later
Then the displayed values should exactly match the saved values</t>
  </si>
  <si>
    <t>Scenario 13: Multiple Consecutive Updates
Given the Leave Period page is available
When the admin updates the leave period multiple times
Then each update should save successfully without errors</t>
  </si>
  <si>
    <t>Scenario 14: Browser Refresh During Editing
Given the admin has modified settings but not saved them
When the page is refreshed
Then unsaved changes should not be applied</t>
  </si>
  <si>
    <t>Scenario 15: Page Load Performance
Given the admin navigates to the Leave Period page
When the page loads
Then all controls and current settings should be displayed within an acceptable response time</t>
  </si>
  <si>
    <t xml:space="preserve">
As an HR Admin,
I want to manage Leave Types,
So that the organization can define, maintain, and use different categories of employee leave.
 </t>
  </si>
  <si>
    <t>Scenario 1: Access Leave Types Page
Given the admin is logged in with appropriate permissions
When the admin navigates to Leave &gt; Configure &gt; Leave Types
Then the Leave Types page should be displayed successfully</t>
  </si>
  <si>
    <t>Scenario 2: View Existing Leave Types
Given leave types exist in the system
When the Leave Types page loads
Then all configured leave types should be displayed in the list</t>
  </si>
  <si>
    <t>Scenario 3: Add a New Leave Type
Given the Leave Types page is open
When the admin clicks Add and enters valid leave type information
And clicks Save
Then the new leave type should be created successfully</t>
  </si>
  <si>
    <t>Scenario 4: Add Leave Type with Mandatory Fields Only
Given the Add Leave Type form is open
When the admin completes only the required fields
And saves the form
Then the leave type should be created successfully</t>
  </si>
  <si>
    <t>Scenario 5: Validation of Required Fields
Given the Add Leave Type form is open
When the admin attempts to save without entering required information
Then appropriate validation messages should be displayed</t>
  </si>
  <si>
    <t>Scenario 6: Duplicate Leave Type Validation
Given a leave type already exists
When the admin attempts to create another leave type with the same name
Then the system should prevent duplication or display an appropriate validation message</t>
  </si>
  <si>
    <t>Scenario 7: Edit Existing Leave Type
Given a leave type exists
When the admin edits the leave type details and saves the changes
Then the updated information should be displayed successfully</t>
  </si>
  <si>
    <t>Scenario 8: Cancel Leave Type Creation
Given the Add Leave Type form is open
When the admin clicks Cancel
Then the form should close without saving any changes</t>
  </si>
  <si>
    <t>Scenario 9: Delete a Leave Type
Given a leave type exists and is eligible for deletion
When the admin selects the leave type and confirms deletion
Then the leave type should be removed successfully</t>
  </si>
  <si>
    <t>Scenario 10: Cancel Leave Type Deletion
Given a delete confirmation dialog is displayed
When the admin cancels the deletion
Then the leave type should remain unchanged</t>
  </si>
  <si>
    <t>Scenario 11: Verify Leave Type Appears in Dropdowns
Given a new leave type has been created
When a user accesses leave-related forms
Then the new leave type should be available for selection where applicable</t>
  </si>
  <si>
    <t>Scenario 12: Search and Filter Leave Types
Given multiple leave types exist
When the admin uses available search or filter options
Then only matching leave types should be displayed</t>
  </si>
  <si>
    <t>Scenario 13: Verify Data Persistence
Given a leave type has been added or updated
When the admin refreshes the page or logs in again
Then the saved leave type information should remain unchanged</t>
  </si>
  <si>
    <t>Scenario 14: Permission Validation
Given a user without Leave Type management permissions is logged in
When the user attempts to access or modify leave types
Then access should be restricted according to system permissions</t>
  </si>
  <si>
    <t>Scenario 15: Active Leave Type Usage Validation
Given a leave type is actively used by employees or leave records
When the admin attempts to delete or modify it
Then the system should handle the action according to business rules and display appropriate feedback</t>
  </si>
  <si>
    <t>Scenario 16: No Records Found State
Given no leave types exist or no records match the filter criteria
When the page loads or search is executed
Then the system should display a "No Records Found" message</t>
  </si>
  <si>
    <t>Scenario 17: Successful Operation Notifications
Given a leave type is added, updated, or deleted successfully
When the operation completes
Then a success confirmation message should be displayed</t>
  </si>
  <si>
    <t>Scenario 18: Page Load Performance
Given the Leave Types page is accessed
When the page loads
Then all leave type records and controls should appear within an acceptable response time</t>
  </si>
  <si>
    <t>As an HR Admin
I want to view, configure, update, and maintain work week settings
So that the system can accurately identify working and non-working days and calculate employee leave according to the organization's work schedule.</t>
  </si>
  <si>
    <t>Scenario 1: Access Work Week Configuration Page
Given the admin is logged in with appropriate permissions
When the admin navigates to Leave &gt; Configure &gt; Work Week
Then the Work Week page should be displayed successfully</t>
  </si>
  <si>
    <t>Scenario 2: View Current Work Week Settings
Given the Work Week page is open
When the page loads
Then the current configuration for all days of the week should be displayed</t>
  </si>
  <si>
    <t>Scenario 3: Configure Standard Work Week
Given the Work Week page is open
When the admin sets Monday through Friday as Working Days
And Saturday and Sunday as Non-Working Days
And saves the configuration
Then the work week should be updated successfully</t>
  </si>
  <si>
    <t>Scenario 4: Configure Custom Work Week
Given the Work Week page is open
When the admin selects a custom combination of working and non-working days
And saves the configuration
Then the selected configuration should be saved successfully</t>
  </si>
  <si>
    <t>Scenario 5: Mark a Working Day as Non-Working Day
Given an existing work week configuration
When the admin changes a working day to Non-Working Day and saves
Then the update should be reflected in the system</t>
  </si>
  <si>
    <t>Scenario 6: Mark a Non-Working Day as Working Day
Given an existing work week configuration
When the admin changes a non-working day to Working Day and saves
Then the update should be reflected in the system</t>
  </si>
  <si>
    <t>Scenario 7: Save Work Week Configuration
Given valid work week settings have been selected
When the admin clicks Save
Then the configuration should be saved successfully
And a success message should be displayed</t>
  </si>
  <si>
    <t>Scenario 8: Verify Persistence After Refresh
Given the work week configuration has been saved
When the page is refreshed
Then the saved configuration should remain unchanged</t>
  </si>
  <si>
    <t>Scenario 9: Verify Persistence After Logout
Given the work week configuration has been saved
When the admin logs out and logs back in
Then the saved configuration should still be displayed</t>
  </si>
  <si>
    <t>Scenario 10: Leave Calculation Impact Validation
Given the work week has been configured
When leave requests include configured non-working days
Then leave calculations should follow the configured work week rules</t>
  </si>
  <si>
    <t>Scenario 11: Permission Validation
Given a user without configuration permissions is logged in
When the user attempts to access the Work Week page
Then access should be restricted according to system permissions</t>
  </si>
  <si>
    <t>Scenario 13: Multiple Consecutive Updates
Given the Work Week page is available
When the admin updates the configuration multiple times
Then each update should save successfully without errors</t>
  </si>
  <si>
    <t>Scenario 14: Unsaved Changes Handling
Given the admin modifies one or more day settings
When the admin leaves the page without saving
Then the unsaved changes should not be applied</t>
  </si>
  <si>
    <t>Scenario 15: Verify All Days Are Configurable
Given the Work Week page is open
When the admin reviews the configuration options
Then each day from Monday through Sunday should be individually configurable</t>
  </si>
  <si>
    <t>Scenario 16: Data Integrity Validation
Given a work week configuration has been saved
When the configuration is retrieved later
Then the displayed values should exactly match the saved settings</t>
  </si>
  <si>
    <t>Scenario 17: Page Load Performance
Given the admin accesses the Work Week page
When the page loads
Then all controls and settings should be displayed within an acceptable response time</t>
  </si>
  <si>
    <t>Scenario 18: Browser Compatibility Validation
Given the Work Week page is accessed from supported browsers
When the page loads and settings are modified
Then all functionality should work consistently across browsers</t>
  </si>
  <si>
    <t>As an HR Admin,
I want to manage organization holidays,
So that public holidays and company holidays are considered correctly in leave calculations and employee scheduling.</t>
  </si>
  <si>
    <t>Scenario 1: Access Holidays Page
Given the admin is logged in with appropriate permissions
When the admin navigates to Leave &gt; Configure &gt; Holidays
Then the Holidays page should be displayed successfully</t>
  </si>
  <si>
    <t>Scenario 2: View Existing Holidays
Given holidays are configured in the system
When the Holidays page loads
Then all configured holidays should be displayed in the holiday list</t>
  </si>
  <si>
    <t>Scenario 3: Add a New Holiday
Given the Holidays page is open
When the admin clicks Add and enters valid holiday details
And clicks Save
Then the holiday should be created successfully</t>
  </si>
  <si>
    <t>Scenario 4: Add Holiday with Mandatory Fields Only
Given the Add Holiday form is open
When the admin completes all required fields
And clicks Save
Then the holiday should be added successfully</t>
  </si>
  <si>
    <t>Scenario 5: Validation of Required Fields
Given the Add Holiday form is open
When the admin attempts to save without completing required fields
Then validation messages should be displayed</t>
  </si>
  <si>
    <t>Scenario 6: Add Holiday for a Single Day
Given the Add Holiday form is open
When the admin selects the same start and end date
And saves the holiday
Then a one-day holiday should be created successfully</t>
  </si>
  <si>
    <t>Scenario 7: Add Multi-Day Holiday
Given the Add Holiday form is open
When the admin selects a valid date range
And saves the holiday
Then the holiday should span all selected dates</t>
  </si>
  <si>
    <t>Scenario 8: Edit Existing Holiday
Given a holiday exists
When the admin updates the holiday information and saves
Then the changes should be reflected successfully</t>
  </si>
  <si>
    <t>Scenario 9: Delete Existing Holiday
Given a holiday exists
When the admin selects the holiday and confirms deletion
Then the holiday should be removed successfully</t>
  </si>
  <si>
    <t>Scenario 10: Cancel Holiday Deletion
Given the delete confirmation dialog is displayed
When the admin cancels the deletion
Then the holiday should remain unchanged</t>
  </si>
  <si>
    <t>Scenario 11: Duplicate Holiday Validation
Given a holiday already exists
When the admin attempts to create an identical holiday for the same date
Then the system should handle the duplicate according to business rules</t>
  </si>
  <si>
    <t>Scenario 12: Invalid Date Range Validation
Given the Add Holiday form is open
When the admin selects an end date earlier than the start date
Then the system should prevent saving and display an appropriate validation message</t>
  </si>
  <si>
    <t>Scenario 13: Holiday Search by Year
Given holidays exist for multiple years
When the admin selects a specific year
Then only holidays for the selected year should be displayed</t>
  </si>
  <si>
    <t>Scenario 14: Verify Holiday Appears in Holiday List
Given a holiday has been added successfully
When the Holidays page is refreshed
Then the holiday should appear in the holiday list</t>
  </si>
  <si>
    <t>Scenario 15: Verify Persistence After Logout
Given a holiday has been added or updated
When the admin logs out and logs in again
Then the holiday information should remain unchanged</t>
  </si>
  <si>
    <t>Scenario 16: Leave Calculation Impact Validation
Given a holiday has been configured
When an employee submits leave covering the holiday date
Then leave calculations should follow the configured holiday rules</t>
  </si>
  <si>
    <t>Scenario 17: Permission Validation
Given a user without holiday management permissions is logged in
When the user attempts to access or modify holidays
Then access should be restricted according to system permissions</t>
  </si>
  <si>
    <t>Scenario 18: No Records Found State
Given no holidays exist for the selected year
When the page loads or the year filter is applied
Then a "No Records Found" message should be displayed</t>
  </si>
  <si>
    <t>Scenario 19: Successful Operation Notifications
Given a holiday is added, updated, or deleted
When the operation completes successfully
Then an appropriate success message should be displayed</t>
  </si>
  <si>
    <t>Scenario 20: Page Load Performance
Given the admin accesses the Holidays page
When the page loads
Then all holiday records and controls should be displayed within an acceptable response time</t>
  </si>
  <si>
    <t xml:space="preserve">
As an HR Admin or Leave Manager,
I want to view, search, and manage employee leave requests,
So that I can monitor leave activities and approve, reject, or review requests efficiently.</t>
  </si>
  <si>
    <t>Scenario 1: Access Leave List Page
Given the user is logged in with appropriate permissions
When the user navigates to Leave &gt; Leave List
Then the Leave List page should be displayed successfully</t>
  </si>
  <si>
    <t>Scenario 2: View All Leave RequestsGiven leave requests exist in the systemWhen the Leave List page loadsThen all leave requests matching the default criteria should be displayed</t>
  </si>
  <si>
    <t>Scenario 3: Search by Employee Name
Given multiple leave requests exist
When the user enters a valid employee name and clicks Search
Then only leave requests for the selected employee should be displayed</t>
  </si>
  <si>
    <t>Scenario 4: Search by Leave Status
Given leave requests with different statuses exist
When the user selects one or more statuses and clicks Search
Then only matching leave requests should be displayed</t>
  </si>
  <si>
    <t>Scenario 5: Search by Leave Type
Given leave requests of different leave types exist
When the user selects a leave type and clicks Search
Then only matching leave requests should be displayed</t>
  </si>
  <si>
    <t>Scenario 6: Search by Date Range
Given leave requests exist across different dates
When the user specifies a valid date range and clicks Search
Then only leave requests within the selected range should be displayed</t>
  </si>
  <si>
    <t>Scenario 7: Search Using Multiple Filters
Given leave requests exist
When the user applies multiple filters simultaneously
Then the results should satisfy all selected criteria</t>
  </si>
  <si>
    <t>Scenario 8: Reset Search Filters
Given search filters have been applied
When the user clicks Reset
Then all filters should return to their default values</t>
  </si>
  <si>
    <t>Scenario 9: No Records Found
Given no leave requests match the search criteria
When the user performs a search
Then a "No Records Found" message should be displayed</t>
  </si>
  <si>
    <t>Scenario 10: View Leave Request Details
Given a leave request exists
When the user selects a leave request
Then the detailed leave information should be displayed</t>
  </si>
  <si>
    <t>Scenario 11: Approve Pending Leave Request
Given a pending leave request exists
When the authorized user approves the request
Then the leave status should be updated to Approved</t>
  </si>
  <si>
    <t>Scenario 12: Reject Pending Leave Request
Given a pending leave request exists
When the authorized user rejects the request
Then the leave status should be updated to Rejected</t>
  </si>
  <si>
    <t>Scenario 13: Cancel Approved Leave Request
Given an approved leave request exists
When the authorized user cancels the request
Then the leave status should be updated accordingly</t>
  </si>
  <si>
    <t>Scenario 14: Bulk Approve Leave Requests
Given multiple pending leave requests are selected
When the user performs a bulk approval action
Then all selected requests should be approved successfully</t>
  </si>
  <si>
    <t>Scenario 15: Bulk Reject Leave Requests
Given multiple pending leave requests are selected
When the user performs a bulk rejection action
Then all selected requests should be rejected successfully</t>
  </si>
  <si>
    <t>Scenario 16: Verify Leave Balance Impact
Given a leave request is approved or cancelled
When the employee leave balance is reviewed
Then the leave balance should be updated correctly</t>
  </si>
  <si>
    <t>Scenario 17: Employee Auto-Complete Validation
Given the employee name field is available
When the user enters partial employee information
Then matching employee suggestions should be displayed</t>
  </si>
  <si>
    <t>Scenario 18: Invalid Date Range Validation
Given the Leave List page is open
When the user enters an end date earlier than the start date
Then the system should display an appropriate validation message</t>
  </si>
  <si>
    <t>Scenario 19: Permission Validation
Given a user without Leave List permissions is logged in
When the user attempts to access the Leave List page
Then access should be restricted according to system permissions</t>
  </si>
  <si>
    <t>Scenario 20: Data Persistence and Refresh
Given leave requests have been updated
When the page is refreshed or reopened
Then the latest leave request information should be displayed</t>
  </si>
  <si>
    <t>Scenario 21: Verify Leave Status Accuracy
Given leave requests exist with different statuses
When the search results are displayed
Then each request should show the correct status</t>
  </si>
  <si>
    <t>Scenario 22: Pagination Validation
Given the number of leave requests exceeds one page
When the user navigates between pages
Then the correct records should be displayed on each page</t>
  </si>
  <si>
    <t>Scenario 23: Successful Action Notification
Given a leave request action is completed successfully
When the operation finishes
Then a success confirmation message should be displayed</t>
  </si>
  <si>
    <t>Scenario 24: Page Load Performance
Given the user accesses the Leave List page
When the page loads
Then leave records and filters should be displayed within an acceptable response time</t>
  </si>
  <si>
    <t>As an HR Admin or Leave Manager,
I want to assign leave to employees,
So that leave requests can be created on behalf of employees when required.</t>
  </si>
  <si>
    <t>Scenario 1: Access Assign Leave Page
Given the user is logged in with appropriate permissions
When the user navigates to Leave &gt; Assign Leave
Then the Assign Leave page should be displayed successfully</t>
  </si>
  <si>
    <t>Scenario 2: Assign Leave Successfully
Given a valid employee exists
When the user selects an employee, leave type, valid date(s), and submits the request
Then the leave should be assigned successfully
And a confirmation message should be displayed</t>
  </si>
  <si>
    <t>Scenario 3: Employee Auto-Complete Validation
Given the employee name field is available
When the user enters a partial employee name
Then matching employee suggestions should be displayed</t>
  </si>
  <si>
    <t>Scenario 4: Invalid Employee Validation
Given the Assign Leave page is open
When the user enters a non-existing employee name
Then the system should display an appropriate validation message</t>
  </si>
  <si>
    <t>Scenario 5: Leave Type Selection
Given multiple leave types exist
When the user opens the leave type dropdown
Then all eligible leave types should be available for selection</t>
  </si>
  <si>
    <t>Scenario 6: Single-Day Leave Assignment
Given the Assign Leave page is open
When the user selects the same start and end date
And submits the request
Then a leave request for one day should be created successfully</t>
  </si>
  <si>
    <t>Scenario 7: Multi-Day Leave Assignment
Given the Assign Leave page is open
When the user selects a valid date range
And submits the request
Then the leave request should be created for all applicable days</t>
  </si>
  <si>
    <t>Scenario 8: Assign Leave with Comment
Given the comment field is available
When the user enters a valid comment and submits the request
Then the leave should be assigned successfully
And the comment should be saved</t>
  </si>
  <si>
    <t>Scenario 9: Mandatory Fields Validation
Given the Assign Leave page is open
When the user submits the form with required fields missing
Then validation messages should be displayed</t>
  </si>
  <si>
    <t>Scenario 10: Insufficient Leave Balance Validation
Given an employee has insufficient leave balance
When the user attempts to assign leave exceeding the available balance
Then the system should display an appropriate warning or validation message</t>
  </si>
  <si>
    <t>Scenario 11: Overlapping Leave Validation
Given an employee already has approved leave for specific dates
When the user attempts to assign leave for overlapping dates
Then the system should handle the conflict according to business rules</t>
  </si>
  <si>
    <t>Scenario 12: Invalid Date Range Validation
Given the Assign Leave page is open
When the user selects an end date earlier than the start date
Then the system should prevent submission and display a validation message</t>
  </si>
  <si>
    <t>Scenario 13: Holiday Handling Validation
Given holidays are configured in the system
When the user assigns leave covering holiday dates
Then leave calculations should follow the configured holiday rules</t>
  </si>
  <si>
    <t>Scenario 14: Non-Working Day Handling Validation
Given work week settings are configured
When the user assigns leave covering non-working days
Then leave calculations should follow the configured work week rules</t>
  </si>
  <si>
    <t>Scenario 15: Partial Day Leave Assignment
Given the selected leave type supports partial-day leave
When the user assigns a half-day or partial-day leave
Then the leave duration should be calculated correct</t>
  </si>
  <si>
    <t>Scenario 16: Verify Leave Balance Update
Given a leave request is assigned successfully
When the employee leave balance is reviewed
Then the balance should be updated correctly</t>
  </si>
  <si>
    <t>Scenario 17: Cancel Leave Assignment
Given the Assign Leave form contains unsaved data
When the user clicks Cancel
Then no leave request should be created</t>
  </si>
  <si>
    <t>Scenario 18: Permission Validation
Given a user without Assign Leave permissions is logged in
When the user attempts to access the Assign Leave page
Then access should be restricted according to system permissions</t>
  </si>
  <si>
    <t>Scenario 19: Duplicate Submission Prevention
Given the Assign Leave form is completed
When the user clicks Assign multiple times rapidly
Then only one leave request should be created</t>
  </si>
  <si>
    <t>Scenario 20: Successful Operation Notification
Given a leave request is assigned successfully
When the operation completes
Then a success confirmation message should be displayed</t>
  </si>
  <si>
    <t>Scenario 21: Data Persistence Validation
Given a leave request has been assigned
When the Leave List page is opened
Then the newly assigned leave request should be displayed correctly</t>
  </si>
  <si>
    <t>Scenario 22: Long Comment Validation
Given the comment field is available
When the user enters a comment exceeding the allowed limit
Then the system should handle the input according to validation rules</t>
  </si>
  <si>
    <t>Scenario 23: No Leave Entitlement Validation
Given an employee has no entitlement for the selected leave type
When the user attempts to assign leave
Then the system should display an appropriate warning or validation message</t>
  </si>
  <si>
    <t>Scenario 24: Page Load Performance
Given the user accesses the Assign Leave page
When the page loads
Then all fields and controls should be displayed within an acceptable response time</t>
  </si>
  <si>
    <t xml:space="preserve">As an Employee, Supervisor, or HR Manager, I want to manage employee timesheets, So that worked hours can be recorded, reviewed, approved, and tracked accurately.,"Scenario 1: View Employee TimesheetAs an Employee, Supervisor, or HR Manager,
I want to manage employee timesheets,
So that worked hours can be recorded, reviewed, approved, and tracked accurately.
</t>
  </si>
  <si>
    <t>Scenario 1: View Employee TimesheetGiven the user has access to the Timesheets module When the user navigates to the Employee Timesheet page Then the system should display the employee timesheet details Including: Employee Name, Timesheet Period, Project Entries, Activities, Daily Hours, Total Hours, Timesheet Status, Available Actions based on user permissions</t>
  </si>
  <si>
    <t>Scenario 2: Create or Update Timesheet EntriesGiven the user is viewing a timesheet When the user adds a new entry or modifies an existing entry And enters valid project, activity, and working hour values And clicks Save Then the system should save the changes successfully And recalculate total hours automatically And display a success confirmation message</t>
  </si>
  <si>
    <t>Scenario 3: Validate Timesheet Entry DataGiven the user is creating or updating a timesheet entry When invalid data is entered Including: Mandatory fields left blank, Non-numeric hour values, Negative hour values, Hours exceeding allowed limits, Invalid project/activity selections Then the system should prevent saving the entry And display appropriate validation messages</t>
  </si>
  <si>
    <t>Scenario 4: Delete Timesheet EntriesGiven one or more timesheet entries exist When the user selects entries for deletion And confirms the deletion action Then the selected entries should be removed successfully And total hours should be recalculated And a success confirmation message should be displayed</t>
  </si>
  <si>
    <t>Scenario 5: Cancel Unsaved ChangesGiven the user has unsaved modifications in the timesheet When the user clicks Cancel or leaves the page Then the system should discard unsaved changes after confirmation And previously saved data should remain unchanged</t>
  </si>
  <si>
    <t>Scenario 6: Search TimesheetsGiven multiple timesheet records exist When the user searches using available criteria Including: Employee Name, Timesheet Period, Date Range Then the system should display matching records only</t>
  </si>
  <si>
    <t>Scenario 7: Handle No Search ResultsGiven the user performs a search When no records match the search criteria Then the system should display "No Records Found" And no timesheet records should be displayed</t>
  </si>
  <si>
    <t>Scenario 8: Submit Timesheet for ApprovalGiven a completed timesheet exists When the user clicks Submit Then the system should change the timesheet status to Submitted And record submission details successfully</t>
  </si>
  <si>
    <t>Scenario 9: Approve or Reject Submitted TimesheetGiven a submitted timesheet exists And the user has approval permission When the user approves or rejects the timesheet Then the system should update the timesheet status accordingly And store approval or rejection information successfully</t>
  </si>
  <si>
    <t>Scenario 10: Restrict Editing Based on Timesheet StatusGiven a timesheet has been submitted or approved When the user attempts to modify the timesheet Then the system should enforce workflow restrictions according to business rules</t>
  </si>
  <si>
    <t>Scenario 11: Pagination and NavigationGiven the number of timesheet records exceeds the configured page size When the user navigates through result pages Then the system should display the corresponding records correctly And maintain applied search filters during navigation</t>
  </si>
  <si>
    <t>Scenario 12: Validate User PermissionsGiven users have different security roles When a user accesses the Timesheets page Then the system should display only the actions permitted for that role And When an unauthorized user attempts direct page access Then the system should deny access And display an authorization message</t>
  </si>
  <si>
    <t>Scenario 13: Handle Empty Timesheet PeriodsGiven no timesheet exists for the selected employee or period When the user opens the page Then the system should display an appropriate empty-state message And allow timesheet creation if the user has permission</t>
  </si>
  <si>
    <t>Scenario 14: Persist Timesheet DataGiven a timesheet has been created, updated, submitted, approved, or rejected When the user refreshes the page or logs in again Then the system should retain all saved timesheet information correctly</t>
  </si>
  <si>
    <t>Scenario 15: Handle System and Network ErrorsGiven the user performs a timesheet operation When a system, server, or network error occurs Then the system should display an appropriate error message And should not save incomplete or corrupted data</t>
  </si>
  <si>
    <t>Scenario 16: Handle Concurrent UpdatesGiven multiple users are accessing the same timesheet When conflicting updates occur simultaneously Then the system should handle the conflict according to business rules And prevent unintended data loss or overwriting</t>
  </si>
  <si>
    <t>Scenario 17: Performance and UsabilityGiven the user accesses the Timesheets module When the page loads or processes timesheet actions Then the system should respond within acceptable performance limits And remain responsive while handling large timesheet datasets</t>
  </si>
  <si>
    <t xml:space="preserve">As an Employee,
I want to manage and review my personal timesheet entries,
So that I can accurately record, submit, and track my worked hours for approval and attendance purposes.
</t>
  </si>
  <si>
    <t>Scenario 1: View My TimesheetGiven the employee is logged into the system When the employee navigates to the My Timesheet page Then the system should display the employee's timesheet information Including: Employee Name, Timesheet Period, Project Entries, Activities, Daily Hours, Total Hours, Timesheet Status, Available Actions</t>
  </si>
  <si>
    <t>Scenario 2: Create or Update My Timesheet EntriesGiven the employee is viewing their timesheet When the employee adds a new timesheet entry or updates an existing entry And enters valid project, activity, and working hour values And clicks Save Then the system should save the timesheet successfully And recalculate total working hours automatically And display a success confirmation message</t>
  </si>
  <si>
    <t>Scenario 3: Validate Timesheet Entry InformationGiven the employee is creating or updating a timesheet entry When invalid information is entered Including: Required fields left empty, Invalid project or activity selection, Non-numeric hours, Negative hours, Hours exceeding allowed limits Then the system should prevent saving the timesheet And display appropriate validation messages</t>
  </si>
  <si>
    <t>Scenario 4: Delete My Timesheet EntriesGiven one or more timesheet entries exist When the employee selects an entry for deletion And confirms the deletion action Then the selected entry should be removed successfully And total hours should be updated automatically And a success confirmation message should be displayed</t>
  </si>
  <si>
    <t>Scenario 5: Cancel Unsaved Timesheet ChangesGiven the employee has unsaved modifications in the timesheet When the employee clicks Cancel or leaves the page before saving Then the system should discard unsaved changes after confirmation And previously saved information should remain unchanged</t>
  </si>
  <si>
    <t>Scenario 6: Navigate Between Timesheet PeriodsGiven multiple timesheet periods exist for the employee When the employee navigates to previous or next timesheet periods Then the system should display the corresponding timesheet data correctly And maintain accurate totals and status information for each period</t>
  </si>
  <si>
    <t>Scenario 7: View Empty Timesheet PeriodGiven no timesheet entries exist for the selected period When the employee opens the timesheet Then the system should display an appropriate empty-state message And allow the employee to add timesheet entries if permitted</t>
  </si>
  <si>
    <t>Scenario 8: Submit My TimesheetGiven the employee has completed the timesheet When the employee clicks Submit Then the system should change the timesheet status to Submitted And record submission details successfully And display a confirmation message</t>
  </si>
  <si>
    <t>Scenario 9: Restrict Editing After SubmissionGiven the timesheet has been submitted or approved When the employee attempts to modify or delete timesheet entries Then the system should enforce workflow restrictions according to business rules And prevent unauthorized modifications</t>
  </si>
  <si>
    <t>Scenario 10: View Timesheet Approval StatusGiven the employee has submitted a timesheet When the timesheet is reviewed by an approver Then the employee should be able to view the latest timesheet status Including: Pending Approval, Approved, Rejected</t>
  </si>
  <si>
    <t>Scenario 11: Search or Select Timesheet PeriodGiven multiple timesheet periods exist When the employee selects or searches for a specific timesheet period Then the system should display the corresponding timesheet information only</t>
  </si>
  <si>
    <t>Scenario 12: Persist My Timesheet InformationGiven the employee creates, updates, or submits a timesheet When the employee refreshes the page or logs in again Then the system should retain all saved timesheet information correctly And display the latest timesheet status</t>
  </si>
  <si>
    <t>Scenario 13: Validate Employee Access to My TimesheetGiven the employee is logged into the system When the employee accesses the My Timesheet page Then the system should display only the employee's own timesheet information And When the employee attempts to access another employee's timesheet without permission Then the system should deny access according to security rules</t>
  </si>
  <si>
    <t>Scenario 14: Handle System and Network ErrorsGiven the employee performs a timesheet action When a system, server, or network error occurs Then the system should display an appropriate error message And should not save incomplete or corrupted timesheet data</t>
  </si>
  <si>
    <t>Scenario 15: Handle Session ExpirationGiven the employee is editing a timesheet When the user session expires before saving changes Then the system should redirect the employee to the login page And prevent unauthorized updates</t>
  </si>
  <si>
    <t>Scenario 16: Performance and UsabilityGiven the employee accesses the My Timesheet page When the page loads or processes timesheet actions Then the system should respond within acceptable performance limits And remain responsive while handling multiple timesheet entries And display all page elements correctly across supported screen sizes</t>
  </si>
  <si>
    <t>As an Employee, Supervisor, or HR Manager, I want to manage employee timesheets, So that worked hours can be recorded, reviewed, approved, and tracked accurately.,"Scenario 7: Handle No Search Results</t>
  </si>
  <si>
    <t>Scenario 1: View My Attendance RecordsGiven the employee is logged into the system When the employee navigates to the My Attendance Records page Then the system should display the employee's attendance records Including: Employee Name, Attendance Date, Check-In Time, Check-Out Time, Worked Hours, Attendance Status, Attendance Notes (if available)</t>
  </si>
  <si>
    <t>Scenario 2: View Attendance Details for a Specific DateGiven attendance records exist for multiple dates When the employee selects a specific attendance date Then the system should display the complete attendance details for that date And all displayed information should match stored attendance records</t>
  </si>
  <si>
    <t>Scenario 3: Search and Filter Attendance RecordsGiven multiple attendance records exist When the employee searches or filters attendance records using available criteria Including: Date, Date Range, Attendance Status Then the system should display matching attendance records only</t>
  </si>
  <si>
    <t>Scenario 4: Handle No Attendance Records FoundGiven the employee performs a search or selects a period with no attendance data When no records match the selected criteria Then the system should display "No Records Found" And no attendance records should be displayed</t>
  </si>
  <si>
    <t>Scenario 5: Navigate Attendance Records Using PaginationGiven the number of attendance records exceeds the configured page size When the employee navigates between pages Then the system should display the corresponding attendance records correctly And maintain applied search or filter criteria during navigation</t>
  </si>
  <si>
    <t>Scenario 6: Validate Attendance Record AccuracyGiven attendance records are displayed When the employee views attendance information Then check-in time, check-out time, worked hours, and attendance status should be calculated and displayed accurately And attendance data should match the system records</t>
  </si>
  <si>
    <t>Scenario 7: View Attendance Status InformationGiven attendance records exist When the employee views attendance history Then the system should display the correct attendance status Including: Present, Absent, Late, Half Day, Other configured attendance statuses</t>
  </si>
  <si>
    <t>Scenario 8: View Attendance Records Across Different PeriodsGiven attendance records exist across multiple dates or periods When the employee navigates between attendance periods Then the system should display the corresponding attendance records correctly And maintain accurate attendance calculations for the selected period</t>
  </si>
  <si>
    <t>Scenario 9: Restrict Access to Personal Attendance RecordsGiven the employee is logged into the system When the employee accesses the My Attendance Records page Then the system should display only the employee's own attendance information And When the employee attempts to access another employee's attendance records without permission Then the system should deny access according to security rules</t>
  </si>
  <si>
    <t>Scenario 10: Persist Attendance InformationGiven attendance records exist in the system When the employee refreshes the page or logs in again Then the system should display the latest attendance information correctly And no attendance data should be lost or altered unexpectedly</t>
  </si>
  <si>
    <t>Scenario 11: Handle Empty Attendance HistoryGiven no attendance records exist for the employee When the employee opens the Attendance Records page Then the system should display an appropriate empty-state message And no attendance records should be displayed</t>
  </si>
  <si>
    <t>Scenario 12: Handle System and Network ErrorsGiven the employee is viewing attendance records When a system, server, or network error occurs Then the system should display an appropriate error message And should not display incomplete or corrupted attendance information</t>
  </si>
  <si>
    <t>Scenario 13: Handle Session ExpirationGiven the employee is accessing attendance records When the user session expires Then the system should redirect the employee to the login page And prevent unauthorized access to attendance information</t>
  </si>
  <si>
    <t>Scenario 14: Validate User Interface and UsabilityGiven the Attendance Records page is displayed When the employee interacts with the page Then attendance records, tables, filters, and controls should be displayed correctly And all page elements should remain responsive across supported screen sizes And attendance information should be easy to read and navigate</t>
  </si>
  <si>
    <t>Scenario 15: Performance and Large Attendance Data HandlingGiven the employee has a large attendance history When the system loads attendance records or applies filters Then the operation should complete within acceptable performance limits And the page should remain responsive without data loss or display issues</t>
  </si>
  <si>
    <t xml:space="preserve">As an Employee,
I want to punch in and punch out my attendance records,
So that my working hours and attendance status are accurately recorded and tracked by the system.
</t>
  </si>
  <si>
    <t>Scenario 1: View Punch In PageGiven the employee is logged into the system When the employee navigates to the Punch In page Then the system should display the Punch In screen successfully Including: Current Date, Current Time, Note Field, Punch In Action Button, Attendance Status Information (if applicable)</t>
  </si>
  <si>
    <t>Scenario 2: Punch In SuccessfullyGiven the employee has not punched in for the current working session When the employee enters valid attendance information And clicks the Punch In button Then the system should record the punch in successfully And capture the punch in date and time according to system configuration And display a success confirmation message</t>
  </si>
  <si>
    <t>Scenario 3: Punch In with NotesGiven the employee is on the Punch In page When the employee enters notes before punching in And clicks the Punch In button Then the system should save the attendance note successfully And associate the note with the attendance record</t>
  </si>
  <si>
    <t>Scenario 4: Validate Punch In InformationGiven the employee is attempting to punch in When invalid attendance information is entered Including: Exceeding configured attendance restrictions, Invalid date or time values (if editable), Missing required information based on system configuration Then the system should prevent the punch in action And display appropriate validation messages</t>
  </si>
  <si>
    <t>Scenario 5: Prevent Duplicate Punch InGiven the employee is already punched in When the employee attempts to punch in again without punching out Then the system should prevent duplicate punch in records And display an appropriate warning or validation message</t>
  </si>
  <si>
    <t>Scenario 6: Display Punch Out Option After Punch InGiven the employee has successfully punched in When the attendance status is updated Then the system should make the Punch Out option available And display the current working session information</t>
  </si>
  <si>
    <t>Scenario 7: Punch Out SuccessfullyGiven the employee is currently punched in When the employee clicks the Punch Out button And confirms the attendance action if required Then the system should record the punch out successfully And calculate worked hours accurately And display a success confirmation message</t>
  </si>
  <si>
    <t>Scenario 8: Restrict Punch Out Without Active Punch InGiven the employee has not punched in When the employee attempts to perform a punch out action Then the system should prevent the action And display an appropriate warning message</t>
  </si>
  <si>
    <t>Scenario 9: Display Attendance Time Information CorrectlyGiven attendance punch records exist When the employee views punch in or punch out information Then the displayed date, time, and worked duration should be accurate And match the stored attendance records</t>
  </si>
  <si>
    <t>Scenario 10: Enforce Attendance Configuration RulesGiven attendance rules are configured by the organization When the employee performs a punch in or punch out action Then the system should enforce configured attendance policies Including: IP restrictions, Date and time edit permissions, Attendance workflow rules, Shift-related attendance restrictions</t>
  </si>
  <si>
    <t>Scenario 11: Restrict Unauthorized Attendance AccessGiven the employee is logged into the system When the employee accesses the Punch In page Then the system should allow access only to authorized attendance functions And When the employee attempts to access or modify another employee's attendance records without permission Then the system should deny access according to security rules</t>
  </si>
  <si>
    <t>Scenario 12: Persist Attendance Punch RecordsGiven the employee successfully punches in or punches out When the employee refreshes the page or logs in again Then the system should retain the attendance record correctly And display the latest attendance status and timestamps</t>
  </si>
  <si>
    <t>Scenario 13: Handle System and Network ErrorsGiven the employee performs a punch in or punch out action When a system, server, or network error occurs Then the system should display an appropriate error message And should not create incomplete or corrupted attendance records</t>
  </si>
  <si>
    <t>Scenario 14: Handle Session Expiration During Attendance ActionsGiven the employee is on the Punch In page When the user session expires before completing the attendance action Then the system should redirect the employee to the login page And prevent unauthorized attendance updates</t>
  </si>
  <si>
    <t>Scenario 15: Performance and UsabilityGiven the employee accesses the Punch In page When the page loads or attendance actions are performed Then the system should respond within acceptable performance limits And display attendance controls correctly across supported devices and screen sizes And remain responsive during attendance operations</t>
  </si>
  <si>
    <t xml:space="preserve">As an HR Manager, Supervisor, or Authorized User,
I want to view and manage employee attendance records,
So that I can monitor attendance activities, validate working hours, correct attendance data when necessary, and ensure compliance with company attendance policies.
</t>
  </si>
  <si>
    <t>Scenario 1: View Employee Attendance RecordsGiven the user has permission to access Employee Attendance Records When the user navigates to the Employee Attendance Records page Then the system should display employee attendance information Including: Employee Name, Attendance Date, Check-In Time, Check-Out Time, Worked Hours, Attendance Status, Attendance Notes, Available Attendance Actions And all displayed attendance information should match stored system records</t>
  </si>
  <si>
    <t>Scenario 2: Search and Filter Employee Attendance RecordsGiven employee attendance records exist When the user searches or filters attendance information using available criteria Including: Employee Name, Date Range, Location, Subunit, Job Title, Employment Status Then the system should display matching attendance records only And the results should update according to the selected filters</t>
  </si>
  <si>
    <t>Scenario 3: Handle No Attendance Records FoundGiven the user performs a search or applies filters When no attendance records match the selected criteria Then the system should display "No Records Found" And no attendance data should be displayed</t>
  </si>
  <si>
    <t>Scenario 4: View Detailed Attendance InformationGiven attendance records are available When the user selects a specific employee attendance record Then the system should display detailed attendance information Including: Actual Punch In Time, Actual Punch Out Time, Rounded Attendance Time (if configured), Worked Hours, Attendance Comments, Attendance Timeline Information</t>
  </si>
  <si>
    <t>Scenario 5: Add or Update Employee Attendance RecordsGiven the user has attendance management permission When the user adds a new attendance record or updates an existing attendance record And enters valid attendance information Then the system should save the attendance record successfully And recalculate attendance hours accurately And display a success confirmation message And When attendance comments are entered Then the system should save and associate the comments with the attendance record</t>
  </si>
  <si>
    <t>Scenario 6: Validate Attendance Record InformationGiven the user is creating or updating attendance records When invalid attendance information is entered Including: Required fields left empty, Invalid date or time values, Check-Out time earlier than Check-In time, Invalid attendance duration, Attendance entries violating business rules Then the system should prevent saving the record And display appropriate validation messages</t>
  </si>
  <si>
    <t>Scenario 7: Delete Employee Attendance RecordsGiven attendance records exist When the user selects an attendance record for deletion And confirms the deletion action Then the system should remove the attendance record successfully And display a success confirmation message And When the user cancels the deletion process Then the attendance record should remain unchanged</t>
  </si>
  <si>
    <t>Scenario 8: View Attendance Status and Attendance ExceptionsGiven attendance records exist When the user views employee attendance information Then the system should display attendance status correctly Including: Present, Absent, Late, Leave, Holiday, Weekend, Other configured attendance statuses And attendance indicators should follow configured attendance rules</t>
  </si>
  <si>
    <t>Scenario 9: View Attendance Records Across Different PeriodsGiven attendance records exist across multiple periods When the user selects a different attendance period or date range Then the system should display the corresponding attendance records correctly And calculate attendance hours accurately for the selected period</t>
  </si>
  <si>
    <t>Scenario 10: Navigate Attendance Records Using PaginationGiven attendance records exceed the configured page size When the user navigates between result pages Then the system should display the corresponding attendance records correctly And maintain applied filters during navigation</t>
  </si>
  <si>
    <t>Scenario 11: Restrict Attendance Access Based on PermissionsGiven users have different security roles When a user accesses Employee Attendance Records Then the system should display only the actions permitted for that role And When an unauthorized user attempts to access attendance records directly through the URL Then the system should deny access And display an authorization message</t>
  </si>
  <si>
    <t>Scenario 12: Persist Attendance Record ChangesGiven attendance records have been added, updated, or deleted When the user refreshes the page or logs in again Then the system should retain all saved attendance information correctly And display the latest attendance data without loss or corruption</t>
  </si>
  <si>
    <t>Scenario 13: Display Attendance Audit and Tracking InformationGiven attendance actions have been performed on employee records When the user views attendance details Then the system should display attendance tracking information according to permissions Including: Attendance Comments, Action History, Record Modification Details, Attendance Location Information (if enabled)</t>
  </si>
  <si>
    <t>Scenario 14: Handle System and Network ErrorsGiven the user performs an attendance operation When a system, server, or network error occurs Then the system should display an appropriate error message And should not save incomplete or corrupted attendance information</t>
  </si>
  <si>
    <t>Scenario 15: Handle Session ExpirationGiven the user is viewing or updating attendance records When the user session expires Then the system should redirect the user to the login page And prevent unauthorized attendance updates or access</t>
  </si>
  <si>
    <t>Scenario 16: Performance and UsabilityGiven the user accesses the Employee Attendance Records page When attendance records are loaded, filtered, or updated Then the system should respond within acceptable performance limits And remain responsive while handling large attendance datasets And display all attendance information correctly across supported screen sizes</t>
  </si>
  <si>
    <t xml:space="preserve">As an Employee, I want to manage and review my personal timesheet entries, So that I can accurately record, submit, and track my worked hours for approval and attendance purposes.,"Scenario 5: Cancel Unsaved Timesheet ChangesAs an HR Administrator,
I want to configure attendance settings and rules,
So that employee attendance tracking, punch-in/out behavior, permissions, and attendance policies are enforced according to organizational requirements.
</t>
  </si>
  <si>
    <t>Scenario 1: View Attendance Configuration SettingsGiven the HR Administrator is logged into the system When the Administrator navigates to the Attendance Configuration page Then the system should display all attendance configuration settings Including: Employee Punch In/Out Permissions, Attendance Edit/Delete Permissions, Supervisor Attendance Permissions, Pay Policy Settings, IP Restriction Settings, Shift End Configuration, End of Day Configuration, Auto Punch-Out Settings</t>
  </si>
  <si>
    <t>Scenario 2: Update Attendance Configuration SettingsGiven the Administrator is viewing attendance configurations When the Administrator modifies one or more attendance settings And clicks Save Then the system should save the updated configuration successfully And display a success confirmation message And apply the updated configuration according to business rules</t>
  </si>
  <si>
    <t>Scenario 3: Configure Employee Attendance PermissionsGiven attendance permissions are configurable When the Administrator enables or disables employee attendance privileges Including: Edit Own Attendance Records, Delete Own Attendance Records, Change Punch In/Out Time Then the system should enforce the configured permissions correctly for employees</t>
  </si>
  <si>
    <t>Scenario 4: Configure Supervisor Attendance PermissionsGiven supervisor attendance permissions are available When the Administrator enables or disables supervisor attendance privileges Then supervisors should only be able to perform attendance actions allowed by the configured settings Including: Add Attendance Records, Edit Attendance Records, Delete Attendance Records</t>
  </si>
  <si>
    <t>Scenario 5: Configure IP-Based Attendance RestrictionsGiven IP-based attendance restriction settings are available When the Administrator enables attendance IP restrictions And configures valid IP ranges Then the system should allow punch-in and punch-out actions only from authorized IP addresses And When attendance actions are attempted from unauthorized IP addresses Then the system should block the action And display an appropriate validation message</t>
  </si>
  <si>
    <t>Scenario 6: Configure Auto Punch-Out RulesGiven Auto Punch-Out functionality is enabled When the Administrator configures automatic punch-out behavior Including: End of Shift, End of Day Then the system should automatically generate punch-out records according to the configured rules And record the generated attendance information correctly</t>
  </si>
  <si>
    <t>Scenario 7: Configure Shift End and End of Day RulesGiven shift-based attendance settings are available When the Administrator configures Shift End or End of Day settings Then attendance calculations should follow the configured attendance rules And overnight shift handling should follow business requirements</t>
  </si>
  <si>
    <t>Scenario 8: Configure Pay Policy SettingsGiven Pay Policies are available in the system When the Administrator enables or disables Pay Policy settings Then the system should apply attendance calculations according to the configured pay policy rules And display attendance-related pay information correctly</t>
  </si>
  <si>
    <t>Scenario 9: Validate Attendance Configuration DataGiven the Administrator is updating attendance configurations When invalid configuration values are entered Including: Invalid IP ranges, Missing required configuration values, Invalid shift timing configurations, Invalid attendance rule combinations Then the system should prevent saving the configuration And display appropriate validation messages</t>
  </si>
  <si>
    <t>Scenario 10: Restrict Unauthorized Access to Attendance ConfigurationGiven users have different security roles When a non-authorized user attempts to access the Attendance Configuration page Then the system should deny access And display an authorization message And When an authorized Administrator accesses the page Then all configuration options should be available according to assigned permissions</t>
  </si>
  <si>
    <t>Scenario 11: Persist Attendance Configuration ChangesGiven attendance configurations have been updated successfully When the Administrator refreshes the page or logs in again Then the system should retain all saved configuration settings correctly And display the latest configuration values</t>
  </si>
  <si>
    <t>Scenario 12: Audit Attendance Configuration ChangesGiven attendance configuration settings are modified When configuration changes are saved Then the system should record audit information according to business rules Including: Modified Setting, Previous Value, Updated Value, Modified By, Modification Date and Time</t>
  </si>
  <si>
    <t>Scenario 13: Handle Configuration Save FailuresGiven the Administrator updates attendance configurations When a system, server, or network error occurs during save Then the system should display an appropriate error message And should not save partial or corrupted configuration data</t>
  </si>
  <si>
    <t>Scenario 14: Handle Session Expiration During Configuration UpdatesGiven the Administrator is editing attendance configurations When the user session expires before saving changes Then the system should redirect the user to the login page And prevent unauthorized configuration updates</t>
  </si>
  <si>
    <t>Scenario 15: Performance and UsabilityGiven the Administrator accesses the Attendance Configuration page When configuration settings are loaded, modified, or saved Then the system should respond within acceptable performance limits And display all configuration controls correctly across supported screen sizes And remain responsive while processing configuration updates</t>
  </si>
  <si>
    <t xml:space="preserve">As a Project Manager, HR Manager, or Authorized User,
I want to generate and review project-based timesheet reports,
So that I can analyze employee work hours, monitor project effort distribution, and track project resource utilization accurately.
</t>
  </si>
  <si>
    <t>Scenario 1: View Project Report Criteria PageGiven the user has permission to access Project Reports When the user navigates to the Project Report page Then the system should display the Project Report criteria screen Including: Project Selection Field, Date Range Selection, Generate/View Report Action, Available Filters, Validation Messages (if applicable)</t>
  </si>
  <si>
    <t>Scenario 2: Generate Project Report SuccessfullyGiven valid project report criteria are available When the user selects a project And enters a valid date range And clicks the Generate or View button Then the system should generate the project report successfully And display report data matching the selected criteria</t>
  </si>
  <si>
    <t>Scenario 3: View Project Report DetailsGiven a project report has been generated When the report results are displayed Then the system should display project-related timesheet information Including: Project Name, Employee Name, Activities, Timesheet Dates, Logged Hours, Total Hours Per Employee, Total Project Hours And all displayed values should match stored timesheet records</t>
  </si>
  <si>
    <t>Scenario 4: Filter Project Report DataGiven project report data exists When the user applies available report filters Including: Project, Employee, Date Range, Activity Then the system should display matching report results only</t>
  </si>
  <si>
    <t>Scenario 5: Handle No Report Results FoundGiven the user generates a report using selected criteria When no records match the criteria Then the system should display "No Records Found" And no report data should be displayed</t>
  </si>
  <si>
    <t>Scenario 6: Validate Project Report CriteriaGiven the user is generating a project report When invalid report criteria are entered Including: Missing required project selection, Invalid date range, End date earlier than start date, Invalid filter combinations Then the system should prevent report generation And display appropriate validation messages</t>
  </si>
  <si>
    <t>Scenario 7: Calculate Project Hours AccuratelyGiven timesheet records exist for the selected project When the report is generated Then the system should calculate employee hours accurately And calculate total project hours correctly And ensure report totals match underlying timesheet data</t>
  </si>
  <si>
    <t>Scenario 8: Search and Navigate Large Report ResultsGiven the generated report contains a large number of records When the user navigates through report pages Then the system should display the corresponding report records correctly And maintain applied report filters during navigation</t>
  </si>
  <si>
    <t>Scenario 9: Restrict Access to Project ReportsGiven users have different security roles When a user accesses the Project Report page Then the system should display only authorized report information And When an unauthorized user attempts to access the page directly through the URL Then the system should deny access And display an authorization message</t>
  </si>
  <si>
    <t>Scenario 10: Persist Generated Report ResultsGiven a project report has been generated successfully When the user refreshes the page or revisits the report Then the system should retain the selected report criteria when supported by business rules And display consistent report results based on stored data</t>
  </si>
  <si>
    <t>Scenario 11: Handle Empty Project DataGiven a selected project has no associated timesheet records When the user generates the report Then the system should display an appropriate empty-state message And no report calculations should be displayed</t>
  </si>
  <si>
    <t>Scenario 12: Export Project ReportGiven a project report has been generated When the user selects an export option Then the system should export the report successfully in the supported format And exported data should match the displayed report information And When export functionality is restricted by permissions Then unauthorized users should not be allowed to export report data</t>
  </si>
  <si>
    <t>Scenario 13: Handle System and Network ErrorsGiven the user generates or accesses a project report When a system, server, or network error occurs Then the system should display an appropriate error message And should not display incomplete or corrupted report data</t>
  </si>
  <si>
    <t>Scenario 14: Handle Session ExpirationGiven the user is generating or viewing a project report When the user session expires Then the system should redirect the user to the login page And prevent unauthorized access to report information</t>
  </si>
  <si>
    <t>Scenario 15: Performance and UsabilityGiven the user accesses the Project Report page When report data is generated, filtered, or exported Then the system should respond within acceptable performance limits And remain responsive while processing large project datasets And display report information correctly across supported screen sizes</t>
  </si>
  <si>
    <t xml:space="preserve">As an HR Manager, Supervisor, or Authorized User,
I want to generate and review employee timesheet reports,
So that I can monitor employee working hours, analyze productivity, and track time spent across projects and activities accurately.
</t>
  </si>
  <si>
    <t>Scenario 1: View Employee Report Criteria PageGiven the user has permission to access Employee Reports When the user navigates to the Employee Report page Then the system should display the Employee Report criteria screen Including: Employee Selection Field, Date Range Selection, Generate/View Report Action, Available Filters, Validation Messages (if applicable)</t>
  </si>
  <si>
    <t>Scenario 2: Generate Employee Report SuccessfullyGiven valid employee report criteria are available When the user selects an employee And enters a valid date range And clicks the Generate or View button Then the system should generate the employee report successfully And display report data matching the selected criteria</t>
  </si>
  <si>
    <t>Scenario 3: View Employee Report DetailsGiven an employee report has been generated When the report results are displayed Then the system should display employee timesheet information Including: Employee Name, Project Name, Activity Name, Timesheet Dates, Logged Hours, Daily Hours, Total Employee Hours, Report Period And all displayed information should match stored timesheet records</t>
  </si>
  <si>
    <t>Scenario 4: Filter Employee Report ResultsGiven employee report data exists When the user applies available report filters Including: Employee, Project, Activity, Date Range Then the system should display matching report results only And update the report according to the selected filters</t>
  </si>
  <si>
    <t>Scenario 5: Handle No Report Results FoundGiven the user generates a report using selected criteria When no records match the selected criteria Then the system should display "No Records Found" And no report data should be displayed</t>
  </si>
  <si>
    <t>Scenario 6: Validate Employee Report CriteriaGiven the user is generating an employee report When invalid report criteria are entered Including: Missing employee selection, Invalid date range, End date earlier than start date, Invalid filter combinations Then the system should prevent report generation And display appropriate validation messages</t>
  </si>
  <si>
    <t>Scenario 7: Calculate Employee Hours AccuratelyGiven timesheet records exist for the selected employee When the report is generated Then the system should calculate worked hours accurately And calculate total employee hours correctly And ensure report totals match underlying timesheet data</t>
  </si>
  <si>
    <t>Scenario 8: View Employee Work Distribution Across ProjectsGiven the employee has logged time against multiple projects or activities When the employee report is generated Then the system should display hours grouped according to project and activity records And accurately reflect time distribution across work assignments</t>
  </si>
  <si>
    <t>Scenario 9: Navigate Large Employee ReportsGiven the generated report contains multiple records When the user navigates between report pages Then the system should display the corresponding report records correctly And maintain applied report filters during navigation</t>
  </si>
  <si>
    <t>Scenario 10: Restrict Access to Employee ReportsGiven users have different security roles When a user accesses the Employee Report page Then the system should display only report information permitted for that role And When an unauthorized user attempts to access the report page directly through the URL Then the system should deny access And display an authorization message</t>
  </si>
  <si>
    <t>Scenario 11: Export Employee ReportGiven an employee report has been generated successfully When the user selects an export option Then the system should export the report successfully in the supported format And exported data should match the displayed report information And When export functionality is restricted by permissions Then unauthorized users should not be allowed to export report data</t>
  </si>
  <si>
    <t>Scenario 12: Persist Employee Report DataGiven an employee report has been generated When the user refreshes the page or revisits the report Then the system should retain report criteria when supported by business rules And display consistent report results based on stored timesheet data</t>
  </si>
  <si>
    <t>Scenario 13: Handle Empty Employee Timesheet DataGiven the selected employee has no timesheet records for the selected period When the user generates the report Then the system should display an appropriate empty-state message And no report calculations should be displayed</t>
  </si>
  <si>
    <t>Scenario 14: Handle System and Network ErrorsGiven the user generates, filters, or exports an employee report When a system, server, or network error occurs Then the system should display an appropriate error message And should not display incomplete or corrupted report data</t>
  </si>
  <si>
    <t>Scenario 15: Handle Session ExpirationGiven the user is generating or viewing an employee report When the user session expires Then the system should redirect the user to the login page And prevent unauthorized access to employee report information</t>
  </si>
  <si>
    <t>Scenario 16: Performance and UsabilityGiven the user accesses the Employee Report page When report data is generated, filtered, or exported Then the system should respond within acceptable performance limits And remain responsive while processing large employee timesheet datasets And display report information correctly across supported screen sizes</t>
  </si>
  <si>
    <t xml:space="preserve">As an HR Manager, Supervisor, or Authorized User,
I want to generate and review Attendance Total Summary Reports,
So that I can analyze employee attendance statistics, monitor workforce attendance trends, and track total worked hours across selected periods accurately.
</t>
  </si>
  <si>
    <t>Scenario 1: View Attendance Total Summary Report Criteria PageGiven the user has permission to access Attendance Summary Reports When the user navigates to the Attendance Total Summary Report page Then the system should display the report criteria screen Including: Employee Name Filter, Job Title Filter, Subunit Filter, Employment Status Filter, Date Range Selection, Generate/View Report Action, Available Validation Messages</t>
  </si>
  <si>
    <t>Scenario 2: Generate Attendance Total Summary ReportGiven valid report criteria are available When the user selects report filters And enters a valid date range And clicks the Generate or View button Then the system should generate the Attendance Total Summary Report successfully And display report results matching the selected criteria</t>
  </si>
  <si>
    <t>Scenario 3: View Attendance Summary Report DetailsGiven the Attendance Summary Report has been generated When report results are displayed Then the system should display attendance summary information Including: Employee Name, Total Worked Hours, Attendance Days, Present Days, Absent Days, Leave Days, Attendance Status Summary, Report Period And all displayed values should match stored attendance records</t>
  </si>
  <si>
    <t>Scenario 4: Filter Attendance Summary Report ResultsGiven attendance summary data exists When the user applies available report filters Including: Employee Name, Date Range, Job Title, Subunit, Employment Status Then the system should display matching report results only And update the report according to the selected criteria</t>
  </si>
  <si>
    <t>Scenario 5: Handle No Report Results FoundGiven the user generates a report using selected criteria When no attendance records match the selected filters Then the system should display "No Records Found" And no report data should be displayed</t>
  </si>
  <si>
    <t>Scenario 6: Validate Attendance Summary Report CriteriaGiven the user is generating an attendance summary report When invalid report criteria are entered Including: Missing mandatory fields, Invalid date range, End date earlier than start date, Invalid filter combinations Then the system should prevent report generation And display appropriate validation messages</t>
  </si>
  <si>
    <t>Scenario 7: Calculate Attendance Totals AccuratelyGiven attendance records exist for the selected criteria When the report is generated Then the system should calculate attendance totals accurately Including: Total Worked Hours, Total Attendance Days, Present Days, Absent Days, Leave Days And report totals should match underlying attendance records</t>
  </si>
  <si>
    <t>Scenario 8: View Attendance Summary Across Multiple EmployeesGiven multiple employees match the selected criteria When the report is generated Then the system should display attendance summary information for each employee separately And calculate totals independently for each employee</t>
  </si>
  <si>
    <t>Scenario 9: Navigate Large Attendance Summary ReportsGiven the generated report contains multiple records When the user navigates between report pages Then the system should display the corresponding report records correctly And maintain applied filters during navigation</t>
  </si>
  <si>
    <t>Scenario 10: Export Attendance Summary ReportGiven an Attendance Summary Report has been generated When the user selects an export option Then the system should export the report successfully in the supported format And exported data should match the displayed report information And When export functionality is restricted by permissions Then unauthorized users should not be allowed to export report data</t>
  </si>
  <si>
    <t>Scenario 11: Restrict Access to Attendance Summary ReportsGiven users have different security roles When a user accesses the Attendance Total Summary Report page Then the system should display only report information permitted for that role And When an unauthorized user attempts to access the page directly through the URL Then the system should deny access And display an authorization message</t>
  </si>
  <si>
    <t>Scenario 12: Persist Attendance Summary Report DataGiven an Attendance Summary Report has been generated When the user refreshes the page or revisits the report Then the system should retain report criteria when supported by business rules And display consistent report results based on stored attendance data</t>
  </si>
  <si>
    <t>Scenario 13: Handle Empty Attendance DataGiven no attendance records exist for the selected report criteria When the user generates the report Then the system should display an appropriate empty-state message And no attendance calculations or summary totals should be displayed</t>
  </si>
  <si>
    <t>Scenario 14: Display Attendance Status Summaries CorrectlyGiven attendance records contain different attendance statuses When the report is generated Then the system should categorize attendance records correctly Including: Present, Absent, Leave, Holiday, Weekend, Other configured attendance statuses And summary totals should accurately reflect attendance distribution</t>
  </si>
  <si>
    <t>Scenario 15: Handle System and Network ErrorsGiven the user generates, filters, or exports an attendance summary report When a system, server, or network error occurs Then the system should display an appropriate error message And should not display incomplete or corrupted report data</t>
  </si>
  <si>
    <t>Scenario 16: Handle Session ExpirationGiven the user is generating or viewing an attendance summary report When the user session expires Then the system should redirect the user to the login page And prevent unauthorized access to attendance report information</t>
  </si>
  <si>
    <t>Scenario 17: Performance and UsabilityGiven the user accesses the Attendance Total Summary Report page When report data is generated, filtered, or exported Then the system should respond within acceptable performance limits And remain responsive while processing large attendance datasets And display report information correctly across supported screen sizes</t>
  </si>
  <si>
    <t>Scenario 1: View Customer ListGiven the user has permission to access the Customers module When the user navigates to the Customers page Then the system should display the list of available customers Including: Customer Name, Customer Description, Available Actions, Search Functionality, Pagination Controls (if applicable)</t>
  </si>
  <si>
    <t>Scenario 2: Add a New CustomerGiven the user is on the Customers page When the user clicks Add Customer And enters valid customer information And clicks Save Then the system should create the customer successfully And display a success confirmation message And the new customer should appear in the customer list</t>
  </si>
  <si>
    <t>Scenario 3: Validate Customer InformationGiven the user is creating or updating a customer When invalid customer information is entered Including: Customer Name left empty, Duplicate Customer Name, Exceeding field character limits, Invalid special characters (if restricted) Then the system should prevent saving the customer record And display appropriate validation messages</t>
  </si>
  <si>
    <t>Scenario 4: Update Existing Customer InformationGiven an existing customer record exists When the user edits customer information And clicks Save Then the system should update the customer successfully And display a success confirmation message And the updated information should appear in the customer list</t>
  </si>
  <si>
    <t>Scenario 5: Delete a Customer RecordGiven a customer record exists When the user selects the customer for deletion And confirms the deletion action Then the system should remove the customer successfully And display a success confirmation message And When the user cancels the deletion process Then the customer record should remain unchanged</t>
  </si>
  <si>
    <t>Scenario 6: Prevent Deletion of Customers Linked to Active RecordsGiven a customer is associated with active projects, timesheets, or dependent records When the user attempts to delete the customer Then the system should enforce business rules for dependent records And display an appropriate warning or validation message if deletion is restricted</t>
  </si>
  <si>
    <t>Scenario 7: Search CustomersGiven multiple customer records exist When the user searches using customer information Including: Customer Name, Partial Customer Name Then the system should display matching customer records only</t>
  </si>
  <si>
    <t>Scenario 8: Handle No Customer Records FoundGiven the user performs a search When no customer records match the search criteria Then the system should display "No Records Found" And no customer records should be displayed</t>
  </si>
  <si>
    <t>Scenario 9: Support Customer List PaginationGiven the number of customer records exceeds the configured page size When the user navigates between pages Then the system should display the corresponding customer records correctly And maintain applied search criteria during navigation</t>
  </si>
  <si>
    <t>Scenario 10: Support Multiple Customer SelectionGiven multiple customer records exist When the user selects multiple customers from the list Then the system should allow bulk selection according to configured business rules And When bulk deletion is supported And the user confirms the action Then the selected customer records should be processed successfully</t>
  </si>
  <si>
    <t>Scenario 11: Restrict Access Based on User PermissionsGiven users have different security roles When a user accesses the Customers page Then the system should display only actions permitted for that role Including: View Customer, Add Customer, Edit Customer, Delete Customer And When an unauthorized user attempts to access the page directly through the URL Then the system should deny access And display an authorization message</t>
  </si>
  <si>
    <t>Scenario 12: Persist Customer InformationGiven customer information has been created, updated, or deleted When the user refreshes the page or logs in again Then the system should retain all saved customer information correctly And display the latest customer data</t>
  </si>
  <si>
    <t>Scenario 13: Maintain Customer Relationships Across ModulesGiven a customer is associated with projects or timesheet records When the customer information is viewed in related modules Then the system should display consistent customer information across all linked records And maintain data integrity between modules</t>
  </si>
  <si>
    <t>Scenario 14: Handle System and Network ErrorsGiven the user performs a customer management action When a system, server, or network error occurs Then the system should display an appropriate error message And should not save incomplete or corrupted customer information</t>
  </si>
  <si>
    <t>Scenario 15: Handle Session ExpirationGiven the user is creating, updating, or deleting customer information When the user session expires before completing the action Then the system should redirect the user to the login page And prevent unauthorized customer record modifications</t>
  </si>
  <si>
    <t>Scenario 16: Validate Customer List UI and UsabilityGiven the Customers page is displayed When the user interacts with customer records Then tables, forms, buttons, search fields, and action controls should display correctly And confirmation dialogs should appear before destructive actions And the page should remain responsive across supported screen sizes</t>
  </si>
  <si>
    <t>Scenario 17: Performance and Large Customer Dataset HandlingGiven a large number of customer records exist When the user loads, searches, updates, or deletes customer records Then the system should complete operations within acceptable performance limits And remain responsive while processing customer data And display customer records without data loss or display issues</t>
  </si>
  <si>
    <t xml:space="preserve">As a Project Manager, HR Administrator, or Authorized User,
I want to manage customer records associated with projects and timesheets,
So that project activities can be linked to the correct customers and reporting data remains accurate and organized.
</t>
  </si>
  <si>
    <t>Scenario 1: View Project ListGiven the user has permission to access the Projects module When the user navigates to the Projects page Then the system should display the list of available projects Including: Project Name, Customer Name, Project Description, Project Status, Available Actions, Search Functionality, Pagination Controls (if applicable)</t>
  </si>
  <si>
    <t>Scenario 2: Add a New ProjectGiven the user is on the Projects page When the user clicks Add Project And enters valid project information And clicks Save Then the system should create the project successfully And display a success confirmation message And the new project should appear in the project list</t>
  </si>
  <si>
    <t>Scenario 3: Validate Project InformationGiven the user is creating or updating a project When invalid project information is entered Including: Project Name left empty, Customer not selected, Duplicate Project Name under the same customer, Exceeding field character limits, Invalid special characters (if restricted) Then the system should prevent saving the project record And display appropriate validation messages</t>
  </si>
  <si>
    <t>Scenario 4: Update Existing Project InformationGiven an existing project record exists When the user edits project information And clicks Save Then the system should update the project successfully And display a success confirmation message And the updated information should appear in the project list</t>
  </si>
  <si>
    <t>Scenario 5: Delete a Project RecordGiven a project record exists When the user selects the project for deletion And confirms the deletion action Then the system should remove the project successfully And display a success confirmation message And When the user cancels the deletion process Then the project record should remain unchanged</t>
  </si>
  <si>
    <t>Scenario 6: Prevent Deletion of Projects Linked to Active RecordsGiven a project is associated with timesheets, activities, reports, or dependent records When the user attempts to delete the project Then the system should enforce business rules for linked records And display an appropriate warning or validation message if deletion is restricted</t>
  </si>
  <si>
    <t>Scenario 7: Assign and Manage Project ActivitiesGiven a project record exists When the user adds, updates, or removes project activities Then the system should save the activity changes successfully And maintain the relationship between the project and its activities Including: Activity Name, Activity Status, Associated Project</t>
  </si>
  <si>
    <t>Scenario 8: Search ProjectsGiven multiple project records exist When the user searches using project information Including: Project Name, Customer Name, Partial Project Name Then the system should display matching project records only</t>
  </si>
  <si>
    <t>Scenario 9: Handle No Project Records FoundGiven the user performs a search When no project records match the search criteria Then the system should display "No Records Found" And no project records should be displayed</t>
  </si>
  <si>
    <t>Scenario 10: Support Project List PaginationGiven the number of project records exceeds the configured page size When the user navigates between pages Then the system should display the corresponding project records correctly And maintain applied search criteria during navigation</t>
  </si>
  <si>
    <t>Scenario 11: Support Multiple Project SelectionGiven multiple project records exist When the user selects multiple projects from the list Then the system should allow bulk selection according to configured business rules And When bulk deletion is supported And the user confirms the action Then the selected project records should be processed successfully</t>
  </si>
  <si>
    <t>Scenario 12: Restrict Access Based on User PermissionsGiven users have different security roles When a user accesses the Projects page Then the system should display only actions permitted for that role Including: View Project, Add Project, Edit Project, Delete Project, Manage Activities And When an unauthorized user attempts to access the page directly through the URL Then the system should deny access And display an authorization message</t>
  </si>
  <si>
    <t>Scenario 13: Persist Project InformationGiven project information has been created, updated, or deleted When the user refreshes the page or logs in again Then the system should retain all saved project information correctly And display the latest project data</t>
  </si>
  <si>
    <t>Scenario 14: Maintain Project Relationships Across ModulesGiven a project is associated with customers, activities, timesheets, or reports When the project information is viewed from related modules Then the system should display consistent project information across all linked records And maintain data integrity between modules</t>
  </si>
  <si>
    <t>Scenario 15: Handle System and Network ErrorsGiven the user performs a project management action When a system, server, or network error occurs Then the system should display an appropriate error message And should not save incomplete or corrupted project information</t>
  </si>
  <si>
    <t>Scenario 16: Handle Session ExpirationGiven the user is creating, updating, or deleting project information When the user session expires before completing the action Then the system should redirect the user to the login page And prevent unauthorized project modifications</t>
  </si>
  <si>
    <t>Scenario 17: Validate Project UI and UsabilityGiven the Projects page is displayed When the user interacts with project records Then tables, forms, buttons, search fields, and action controls should display correctly And confirmation dialogs should appear before destructive actions And the page should remain responsive across supported screen sizes</t>
  </si>
  <si>
    <t>Scenario 18: Performance and Large Project Dataset HandlingGiven a large number of project records exist When the user loads, searches, updates, deletes, or manages project records Then the system should complete operations within acceptable performance limits And remain responsive while processing project data And display project records without data loss or display issues</t>
  </si>
  <si>
    <t xml:space="preserve">As a Recruiter, HR Manager, or Authorized User,
I want to manage candidate records throughout the recruitment process,
So that applicant information, recruitment status, interview progress, and hiring decisions can be tracked and maintained efficiently.
</t>
  </si>
  <si>
    <t xml:space="preserve">Scenario 1: View Candidate List
Given the user has permission to access the Candidates module
When the user navigates to the Candidates page
Then the system should display the list of available candidates
Including:
•	Candidate Name 
•	Vacancy 
•	Email Address 
•	Contact Number 
•	Application Date 
•	Recruitment Status 
•	Available Actions 
•	Search and Filter Controls 
</t>
  </si>
  <si>
    <t xml:space="preserve">Scenario 2: Add a New Candidate
Given the user is on the Candidates page
When the user clicks Add Candidate
And enters valid candidate information
And uploads required attachments if applicable
And clicks Save
Then the system should create the candidate record successfully
And display a success confirmation message
And the new candidate should appear in the candidate list
</t>
  </si>
  <si>
    <t xml:space="preserve">Scenario 3: Validate Candidate Information
Given the user is creating or updating a candidate record
When invalid candidate information is entered
Including:
•	Required fields left empty 
•	Invalid email format 
•	Invalid phone number format 
•	Duplicate candidate application based on configured business rules 
•	Exceeding field character limits 
•	Invalid attachment type or size 
Then the system should prevent saving the candidate record
And display appropriate validation messages
</t>
  </si>
  <si>
    <t xml:space="preserve">Scenario 4: Update Candidate Information
Given an existing candidate record exists
When the user edits candidate information
And clicks Save
Then the system should update the candidate record successfully
And display a success confirmation message
And the updated information should appear correctly in the candidate profile
</t>
  </si>
  <si>
    <t xml:space="preserve">Scenario 5: Delete Candidate Records
Given one or more candidate records exist
When the user selects a candidate for deletion
And confirms the deletion action
Then the system should remove the candidate record successfully
And display a success confirmation message
And
When the user cancels the deletion process
Then the candidate record should remain unchanged
</t>
  </si>
  <si>
    <t xml:space="preserve">Scenario 6: Search and Filter Candidates
Given multiple candidate records exist
When the user searches or filters candidates using available criteria
Including:
•	Candidate Name 
•	Vacancy 
•	Recruitment Status 
•	Hiring Manager 
•	Application Date Range 
•	Keywords 
Then the system should display matching candidate records only
</t>
  </si>
  <si>
    <t xml:space="preserve">Scenario 7: Handle No Candidate Records Found
Given the user performs a search or applies filters
When no candidate records match the selected criteria
Then the system should display "No Records Found"
And no candidate records should be displayed
</t>
  </si>
  <si>
    <t>Scenario 8: View Candidate Profile Details | Given a candidate record exists | When the user opens the candidate profile | Then the system should display complete candidate information | Including: Personal Information, Vacancy Information, Recruitment Status, Resume/Attachments, Application History, Notes and Comments</t>
  </si>
  <si>
    <t>Scenario 9: Manage Candidate Recruitment Status | Given a candidate exists in the recruitment pipeline | When the user updates the recruitment status | Then the system should save the updated status successfully and reflect it throughout the workflow | Including: Application Initiated, Shortlisted, Interview Scheduled, Interview Passed, Interview Failed, Offered, Hired, Rejected</t>
  </si>
  <si>
    <t>Scenario 10: Upload and Manage Candidate Attachments | Given a candidate profile exists | When the user uploads, downloads, or removes attachments | Then the system should process the action successfully and maintain association with the candidate record | Including: Resume/CV, Cover Letter, Supporting Documents</t>
  </si>
  <si>
    <t>Scenario 11: Schedule and Track Candidate Interviews | Given a candidate is eligible for interview processing | When the user schedules or updates interview details | Then the system should save interview information successfully and associate it with the candidate profile | Including: Interview Date, Interview Time, Interviewers, Interview Notes, Interview Outcome</t>
  </si>
  <si>
    <t>Scenario 12: Support Candidate List Pagination | Given the number of candidate records exceeds page size | When the user navigates between pages | Then the system should display correct records and maintain search/filter criteria</t>
  </si>
  <si>
    <t>Scenario 13: Restrict Access Based on User Permissions | Given users have different security roles | When a user accesses the Candidates page | Then the system should display only permitted actions | Including: View, Add, Edit, Delete, Manage Recruitment Status, Manage Interviews | And deny access for unauthorized direct URL access with authorization message</t>
  </si>
  <si>
    <t>Scenario 14: Persist Candidate Information | Given candidate information is created, updated, or deleted | When the user refreshes or logs in again | Then the system should retain and display latest candidate data correctly</t>
  </si>
  <si>
    <t>Scenario 15: Maintain Recruitment Data Integrity | Given candidate records are linked to vacancies, interviews, and activities | When candidate information is updated | Then the system should maintain consistency across modules and prevent orphan records</t>
  </si>
  <si>
    <t>Scenario 16: Handle System and Network Errors | Given a candidate management action is performed | When a system, server, or network error occurs | Then the system should show an appropriate error message and prevent saving incomplete data</t>
  </si>
  <si>
    <t>Scenario 17: Handle Session Expiration | Given user is managing candidate data | When the session expires before completion | Then the system should redirect to login and prevent unauthorized modifications</t>
  </si>
  <si>
    <t>Scenario 18: Validate Candidate UI and Usability | Given the Candidates page is displayed | When the user interacts with records and actions | Then UI elements should display correctly and confirmation dialogs appear for destructive actions | And page remains responsive across screen sizes</t>
  </si>
  <si>
    <t>Scenario 19: Performance and Large Candidate Dataset Handling | Given a large number of candidate records exist | When the user loads, searches, filters, or updates data | Then the system should perform within acceptable limits and remain responsive without data loss</t>
  </si>
  <si>
    <t xml:space="preserve">As a Recruiter, HR Manager, or Authorized User,
I want to manage job vacancies within the recruitment module,
So that open positions can be created, tracked, published, and linked to candidates throughout the hiring process efficiently.
As a Recruiter, HR Manager, or Authorized User,
I want to manage job vacancies within the recruitment module,
So that open positions can be created, tracked, published, and linked to candidates throughout the hiring process efficiently.
</t>
  </si>
  <si>
    <t>Scenario 1: View Vacancy List | Given the user has permission to access the Vacancies module | When the user navigates to the Vacancy List page | Then the system should display all available job vacancies | Including: Vacancy Name, Job Title, Hiring Manager, Vacancy Status, Number of Positions, Available Actions, Search and Filter Controls</t>
  </si>
  <si>
    <t>Scenario 2: Add a New Vacancy | Given the user is on the Vacancy List page | When the user clicks Add Vacancy and enters valid information and clicks Save | Then the system should create the vacancy successfully and display success message and show it in list | Including: Job Title, Vacancy Name, Hiring Manager, Number of Positions, Description, Active Status</t>
  </si>
  <si>
    <t>Scenario 3: Validate Vacancy Information | Given the user is creating or updating a vacancy | When invalid data is entered | Then the system should prevent saving and show validation messages | Including: Empty Vacancy Name, No Job Title, No Hiring Manager, Invalid number of positions, Character limit exceeded, Duplicate vacancy</t>
  </si>
  <si>
    <t>Scenario 4: Update Vacancy Information | Given an existing vacancy record exists | When the user edits vacancy and clicks Save | Then the system should update successfully and show confirmation message and updated data in list</t>
  </si>
  <si>
    <t>Scenario 5: Delete Vacancy Records | Given a vacancy record exists | When user confirms deletion | Then system should delete vacancy and show success message | When user cancels deletion then record remains unchanged</t>
  </si>
  <si>
    <t>Scenario 6: Restrict Deletion of Vacancies with Recruitment Activity | Given vacancy has candidates or interviews | When user tries to delete vacancy | Then system should block deletion and show warning message</t>
  </si>
  <si>
    <t>Scenario 7: Search and Filter Vacancies | Given multiple vacancy records exist | When user applies search or filters | Then system should show matching records only | Including: Vacancy Name, Hiring Manager, Job Title, Sub Unit, Location, Status, Date Range, Include Closed Vacancies</t>
  </si>
  <si>
    <t>Scenario 8: Handle No Vacancy Records Found | Given user applies filters | When no results found | Then system should display "No Records Found"</t>
  </si>
  <si>
    <t>Scenario 9: View Vacancy Details | Given vacancy exists | When user opens details page | Then system should display full vacancy information | Including: Job Title, Vacancy Name, Hiring Manager, Number of Positions, Description, Vacancy Status, Publishing Info, Candidate Statistics</t>
  </si>
  <si>
    <t>Scenario 10: Publish and Manage Vacancy Visibility | Given vacancy exists | When user enables publishing options | Then system should publish vacancy and make it visible for applications | Including: Website Publishing, RSS Feed Publishing, Active Visibility</t>
  </si>
  <si>
    <t>Scenario 11: Track Vacancy Candidate Pipeline | Given candidates applied to vacancy | When user views vacancy stats | Then system should show recruitment statistics | Including: Applied, Shortlisted, Interview Stages, Rejected, Hired</t>
  </si>
  <si>
    <t>Scenario 12: Manage Vacancy Recruitment Workflow | Given vacancy is active | When candidates progress stages | Then system should track workflow correctly | Including: Shortlisting, Interview Scheduling, Evaluation, Offer Stage, Hiring Decision</t>
  </si>
  <si>
    <t>Scenario 13: Support Vacancy List Pagination | Given many vacancy records exist | When user navigates pages | Then system should display correct records and keep filters applied</t>
  </si>
  <si>
    <t>Scenario 14: Restrict Access Based on User Permissions | Given users have roles | When user accesses vacancy module | Then system should allow only permitted actions and block unauthorized access</t>
  </si>
  <si>
    <t>Scenario 15: Persist Vacancy Information | Given vacancy is created or updated | When user refreshes or logs in again | Then system should retain latest saved data</t>
  </si>
  <si>
    <t>Scenario 16: Maintain Recruitment Data Integrity | Given vacancy linked with recruitment data | When vacancy is updated | Then system should maintain consistency and prevent orphan records</t>
  </si>
  <si>
    <t>Scenario 17: Handle System and Network Errors | Given user performs vacancy actions | When system/network error occurs | Then system should show error message and prevent saving corrupted data</t>
  </si>
  <si>
    <t>Scenario 18: Handle Session Expiration | Given user is working on vacancy | When session expires | Then system should redirect to login and block changes</t>
  </si>
  <si>
    <t>Scenario 19: Validate Vacancy UI and Usability | Given vacancy page is open | When user interacts with UI | Then system should render correctly and show confirmations for destructive actions and remain responsive</t>
  </si>
  <si>
    <t>Scenario 20: Performance and Large Vacancy Dataset Handling | Given large vacancy dataset exists | When user performs operations | Then system should stay responsive and complete within performance limits without data loss</t>
  </si>
  <si>
    <t xml:space="preserve">As an Employee,
I want to view and manage my personal profile information,
So that my personal, contact, employment, and related HR records remain accurate, up to date, and available for organizational processes.
</t>
  </si>
  <si>
    <t>Scenario 1: View My Personal Information Profile | Given the employee is logged into the system | When the employee navigates to the My Info page | Then the system should display the employee profile successfully | Including: Profile Picture, Employee Name, Employee ID, Personal Details, Contact Details, Job Information, Emergency Contacts, Dependents, Qualifications, Memberships, Other Available Employee Information Tabs | And all displayed information should match stored records</t>
  </si>
  <si>
    <t>Scenario 2: Update Personal Details | Given the employee is viewing personal details | When the employee edits permitted fields and clicks Save | Then the system should update successfully and show confirmation | Including: First Name, Middle Name, Last Name, Nickname, Nationality, Marital Status, Gender, License Information</t>
  </si>
  <si>
    <t>Scenario 3: Validate Personal Information Fields | Given employee is updating profile data | When invalid data is entered | Then system should prevent saving and show validation messages | Including: Empty required fields, Invalid formats, Invalid dates, Character limit exceeded, Unsupported special characters</t>
  </si>
  <si>
    <t>Scenario 4: Restrict Editing of Protected Employee Information | Given protected employee data exists | When employee tries to edit restricted fields | Then system should block changes and show fields as read-only | Including: Employee ID, Date of Birth, Government ID, HR-controlled fields</t>
  </si>
  <si>
    <t>Scenario 5: Upload or Update Profile Picture | Given employee is viewing profile section | When valid image is uploaded | Then system should update profile picture successfully | When invalid file is uploaded system should reject it with message</t>
  </si>
  <si>
    <t>Scenario 6: Manage Contact Information | Given employee has contact details access | When employee updates contact info | Then system should save successfully | Including: Address, City, State, Country, Postal Code, Mobile, Work Phone, Email, Alternative Email</t>
  </si>
  <si>
    <t>Scenario 7: Manage Emergency Contacts and Dependents | Given emergency or dependent records exist | When employee adds/updates/removes records | Then system should save changes and maintain relationships correctly</t>
  </si>
  <si>
    <t>Scenario 8: Manage Qualifications and Membership Information | Given qualification sections exist | When employee updates skills, education, licenses, memberships | Then system should save and display updated records correctly</t>
  </si>
  <si>
    <t>Scenario 9: Upload and Manage Employee Attachments | Given attachment feature exists | When employee uploads/downloads/removes attachments | Then system should process actions successfully based on permissions</t>
  </si>
  <si>
    <t>Scenario 10: Search and Navigate Employee Information Tabs | Given multiple profile tabs exist | When employee switches tabs | Then system should display correct data and preserve changes | Including: Personal, Contact, Job, Salary, Emergency, Qualifications, Memberships</t>
  </si>
  <si>
    <t>Scenario 11: Handle Empty Employee Information Sections | Given no data exists in a section | When employee opens it | Then system should show empty-state message and allow creation if permitted</t>
  </si>
  <si>
    <t>Scenario 12: Restrict Access Based on Employee Permissions | Given user roles exist | When employee accesses My Info page or another profile via URL | Then system should show only permitted data and block unauthorized access</t>
  </si>
  <si>
    <t>Scenario 13: Persist Employee Information Changes | Given employee data is updated | When page is refreshed or user logs in again | Then system should retain latest saved data correctly</t>
  </si>
  <si>
    <t>Scenario 14: Maintain Employee Data Integrity Across Modules | Given employee data is linked to HR modules | When data is updated | Then system should sync changes across Leave, Attendance, Recruitment, Performance, Time Management</t>
  </si>
  <si>
    <t>Scenario 15: Handle System and Network Errors | Given employee performs profile actions | When system/network error occurs | Then system should show error and prevent corrupted saves</t>
  </si>
  <si>
    <t>Scenario 16: Handle Session Expiration | Given employee is updating profile | When session expires | Then system should redirect to login and block changes</t>
  </si>
  <si>
    <t>Scenario 17: Validate UI Behavior and Form Controls | Given My Info page is open | When employee interacts with UI elements | Then system should render correctly and show validation/confirmation messages properly</t>
  </si>
  <si>
    <t>Scenario 18: Performance and Large Employee Data Handling | Given large profile data exists | When employee loads or navigates profile | Then system should remain responsive and show all data without loss</t>
  </si>
  <si>
    <t xml:space="preserve">As an HR Manager, Supervisor, or Authorized User,
I want to manage employee performance reviews,
So that employee performance evaluations can be created, monitored, updated, and assessed throughout the review cycle.
</t>
  </si>
  <si>
    <t>Scenario 1: View Performance Reviews | Given the user has permission to access Manage Reviews | When the user navigates to Manage Reviews page | Then system should display performance reviews | Including: Employee Name, Review Period, Reviewer, Review Status, Evaluation Dates, Available Actions</t>
  </si>
  <si>
    <t>Scenario 2: Search and Filter Performance Reviews | Given multiple reviews exist | When user applies search or filters | Then system should show matching records only | Including: Employee Name, Reviewer Name, Review Status, Review Period, Date Range</t>
  </si>
  <si>
    <t>Scenario 3: Handle No Review Records Found | Given user applies filters | When no results found | Then system should display "No Records Found"</t>
  </si>
  <si>
    <t>Scenario 4: Create a Performance Review | Given user has permission to create reviews | When user adds valid review data and saves | Then system should create review successfully and show confirmation | Including: Employee, Review Period, Reviewer, Due Date</t>
  </si>
  <si>
    <t>Scenario 5: Validate Performance Review Information | Given user is creating or updating review | When invalid data is entered | Then system should block saving and show validation messages | Including: Required fields empty, Invalid review period, Duplicate review, Invalid date range</t>
  </si>
  <si>
    <t>Scenario 6: Update Performance Reviews | Given review exists | When user edits review and saves | Then system should update successfully and show confirmation</t>
  </si>
  <si>
    <t>Scenario 7: Delete Performance Reviews | Given reviews exist | When user confirms deletion | Then system should delete selected reviews and show success message | When canceled then no data is deleted</t>
  </si>
  <si>
    <t>Scenario 8: Manage Review Status Workflow | Given review exists | When review progresses | Then system should update status correctly | Including: Activated, In Progress, Completed, Finalized</t>
  </si>
  <si>
    <t>Scenario 9: View Review Details | Given review exists | When user opens review | Then system should display full details | Including: Employee Details, Reviewer Details, Review Period, Ratings, Comments, Status</t>
  </si>
  <si>
    <t>Scenario 10: Restrict Access Based on Permissions | Given user roles exist | When user accesses Manage Reviews | Then system should allow only permitted actions and block unauthorized URL access | Including: View, Create, Edit, Delete, Evaluate</t>
  </si>
  <si>
    <t>Scenario 11: Support Pagination and Large Result Sets | Given many reviews exist | When user navigates pages | Then system should display correct records and maintain filters</t>
  </si>
  <si>
    <t>Scenario 12: Persist Review Data | Given review data is created or updated | When page refreshes or user logs in again | Then system should retain latest saved data</t>
  </si>
  <si>
    <t>Scenario 13: Handle System Errors and Session Expiration | Given user performs review actions | When system error or session timeout occurs | Then system should show message and prevent unauthorized or incomplete changes</t>
  </si>
  <si>
    <t>Scenario 14: Validate UI Behavior and Performance | Given Manage Reviews page is open | When user interacts with UI | Then system should render correctly, show confirmations, and remain responsive within performance limits</t>
  </si>
  <si>
    <t xml:space="preserve">As an HR Manager or Authorized Administrator,
I want to manage Key Performance Indicators (KPIs),
So that employee performance evaluations can be measured consistently against predefined performance metrics.
</t>
  </si>
  <si>
    <t>Scenario 1: View KPI List | Given the user has permission to access KPI module | When user navigates to KPIs page | Then system should display all KPIs | Including: KPI Name, Job Title, KPI Description, Active Status, Available Actions</t>
  </si>
  <si>
    <t>Scenario 2: Search and Filter KPIs | Given multiple KPIs exist | When user applies search or filters | Then system should show matching records only | When no records found system should display "No Records Found" | Including: Job Title, KPI Name, Active Status</t>
  </si>
  <si>
    <t>Scenario 3: Create a KPI | Given user has permission to create KPIs | When user adds valid KPI data and saves | Then system should create KPI successfully and show confirmation | Including: KPI Name, Job Title, KPI Description, Minimum Rating, Maximum Rating, Active Status</t>
  </si>
  <si>
    <t>Scenario 4: Validate KPI Information | Given user is creating or updating KPI | When invalid data is entered | Then system should prevent saving and show validation messages | Including: Required fields empty, Duplicate KPI for same job title, Invalid rating range, Min &gt; Max rating, Character limit exceeded</t>
  </si>
  <si>
    <t>Scenario 5: Update KPI Information | Given KPI exists | When user edits KPI and saves changes | Then system should update KPI successfully and show confirmation</t>
  </si>
  <si>
    <t>Scenario 6: Delete KPI Records | Given KPI records exist | When user confirms deletion | Then system should delete selected KPIs and show success message | When canceled no data should be deleted</t>
  </si>
  <si>
    <t>Scenario 7: Manage KPI Activation Status | Given KPI exists | When user activates or deactivates KPI | Then system should update status and reflect it in performance evaluations</t>
  </si>
  <si>
    <t>Scenario 8: Restrict Modification of KPIs in Use | Given KPI is linked to performance reviews | When user tries to modify or delete critical KPI data | Then system should block action and show warning message</t>
  </si>
  <si>
    <t>Scenario 9: Support Pagination and Large KPI Datasets | Given many KPI records exist | When user navigates pages | Then system should display correct records and keep filters applied</t>
  </si>
  <si>
    <t>Scenario 10: Restrict Access Based on Permissions | Given user roles exist | When user accesses KPI module | Then system should allow only permitted actions and deny unauthorized URL access | Including: View, Create, Edit, Delete, Activate/Deactivate</t>
  </si>
  <si>
    <t>Scenario 11: Persist KPI Data | Given KPI data is created or updated | When page refreshes or user logs in again | Then system should retain latest KPI data correctly</t>
  </si>
  <si>
    <t>Scenario 12: Maintain KPI Relationships Across Performance Modules | Given KPIs linked to performance reviews | When KPI is updated | Then system should maintain consistency across performance modules and prevent invalid records</t>
  </si>
  <si>
    <t>Scenario 13: Handle System Errors and Session Expiration | Given user performs KPI actions | When system error or session timeout occurs | Then system should show message and prevent unauthorized or incomplete changes</t>
  </si>
  <si>
    <t>Scenario 14: Validate UI Behavior and Performance | Given KPIs page is open | When user interacts with UI | Then system should render correctly, show confirmations, and remain responsive within performance limits</t>
  </si>
  <si>
    <t>As an HR Manager, Supervisor, or Authorized User,
I want to manage Performance Trackers,
So that employee performance goals, progress, and reviewer feedback can be monitored and evaluated throughout the performance cycle.I want to manage Performance Trackers,
So that employee performance goals, progress, and reviewer feedback can be monitored and evaluated throughout the performance cycle.</t>
  </si>
  <si>
    <t>Scenario 1: View Performance Tracker List | Given user has permission to access Performance Trackers module | When user navigates to Trackers page | Then system should display all trackers | Including: Employee Name, Tracker Name, Reviewers, Status, Available Actions, Search and Filter Controls</t>
  </si>
  <si>
    <t xml:space="preserve">
</t>
  </si>
  <si>
    <t>Scenario 2: Search and Filter Performance Trackers | Given multiple trackers exist | When user applies search or filters | Then system should show matching records only | When no results found system should display "No Records Found" | Including: Employee Name, Tracker Name, Reviewer, Status</t>
  </si>
  <si>
    <t>Scenario 3: Create a Performance Tracker | Given user has permission to create trackers | When user adds valid tracker data and saves | Then system should create tracker successfully and show confirmation | Including: Tracker Name, Employee, Reviewers, Performance Goals, Status</t>
  </si>
  <si>
    <t>Scenario 4: Validate Performance Tracker Information | Given user is creating/updating tracker | When invalid data is entered | Then system should block saving and show validation messages | Including: Required fields empty, Employee not selected, Invalid reviewer assignment, Duplicate tracker name, Character limit exceeded</t>
  </si>
  <si>
    <t>Scenario 5: Update Performance Tracker Information | Given tracker exists | When user edits tracker and saves | Then system should update successfully and show confirmation</t>
  </si>
  <si>
    <t>Scenario 6: Delete Performance Trackers | Given tracker records exist | When user confirms deletion | Then system should delete selected trackers and show success message | When canceled no data should be deleted</t>
  </si>
  <si>
    <t>Scenario 7: Manage Tracker Reviewers and Goals | Given tracker exists | When user adds/updates/removes reviewers or goals | Then system should save changes and maintain relationships correctly</t>
  </si>
  <si>
    <t>Scenario 8: Track Performance Progress | Given tracker exists | When reviewers update progress | Then system should record progress and show updated status | Including: Goal Progress, Reviewer Feedback, Achievement Status, Progress Notes</t>
  </si>
  <si>
    <t>Scenario 9: Restrict Access Based on Permissions | Given user roles exist | When user accesses Trackers module | Then system should allow only permitted actions and block unauthorized URL access | Including: View, Create, Edit, Delete, Update Progress, Manage Reviewers</t>
  </si>
  <si>
    <t>Scenario 10: Support Pagination and Large Tracker Datasets | Given many tracker records exist | When user navigates pages | Then system should display correct data and keep filters applied</t>
  </si>
  <si>
    <t>Scenario 11: Persist Tracker Data | Given tracker data is created or updated | When page refreshes or user logs in again | Then system should retain latest saved data correctly</t>
  </si>
  <si>
    <t>Scenario 12: Maintain Performance Tracking Data Integrity | Given trackers linked with employees, reviewers, goals | When tracker is updated | Then system should maintain consistency and prevent orphan records</t>
  </si>
  <si>
    <t>Scenario 13: Handle System Errors and Session Expiration | Given user performs tracker actions | When system error or session timeout occurs | Then system should show message and prevent incomplete or unauthorized changes</t>
  </si>
  <si>
    <t>Scenario 14: Validate UI Behavior and Performance | Given Trackers page is open | When user interacts with UI | Then system should render correctly, show confirmations, and remain responsive within performance limits</t>
  </si>
  <si>
    <t xml:space="preserve">As an Employee,
I want to view and complete my assigned performance reviews,
So that I can evaluate my performance, provide self-assessments, and participate in the performance appraisal process. </t>
  </si>
  <si>
    <t>Scenario 1: View My Performance Reviews | Given employee is logged in | When employee navigates to Performance → Manage Reviews → My Reviews | Then system should display assigned reviews | Including: Review Period, Review Status, Due Date, Reviewer Information, Available Actions</t>
  </si>
  <si>
    <t>Scenario 2: Search and Filter My Reviews | Given multiple reviews exist | When employee applies search or filters | Then system should show matching records only | When no results system shows "No Records Found" | Including: Review Status, Review Period, Date Range</t>
  </si>
  <si>
    <t>Scenario 3: View Performance Review Details | Given review is assigned to employee | When employee opens review | Then system should display full review details | Including: Review Summary, Self Evaluation, Supervisor Evaluation (if applicable), Finalization Info, KPI Ratings, Comments</t>
  </si>
  <si>
    <t>Scenario 4: Complete Self-Evaluation | Given review allows self-evaluation | When employee submits ratings and comments | Then system should save self-evaluation and update review status with confirmation</t>
  </si>
  <si>
    <t>Scenario 5: Validate Self-Evaluation Information | Given employee is filling evaluation | When invalid data is entered | Then system should block submission and show validation messages | Including: Missing ratings, Invalid rating range, Empty mandatory comments, Invalid format</t>
  </si>
  <si>
    <t>Scenario 6: Review Status Management | Given review exists | When review progresses | Then system should update and display correct status | Including: Activated, In Progress, Completed</t>
  </si>
  <si>
    <t>Scenario 7: Restrict Review Editing Based on Status | Given review is completed or finalized | When employee tries to edit | Then system should make review read-only and block updates</t>
  </si>
  <si>
    <t>Scenario 8: Restrict Access to Assigned Reviews Only | Given multiple employee reviews exist | When employee accesses My Reviews | Then system should show only assigned reviews and block unauthorized URL access</t>
  </si>
  <si>
    <t>Scenario 9: Support Pagination and Large Review Datasets | Given many review records exist | When employee navigates pages | Then system should display correct records and keep filters applied</t>
  </si>
  <si>
    <t>Scenario 10: Persist Review Data | Given self-evaluation is saved | When employee refreshes or logs in again | Then system should retain latest saved data correctly</t>
  </si>
  <si>
    <t>Scenario 11: Handle System Errors and Session Expiration | Given employee performs review actions | When system error or session timeout occurs | Then system should show message and prevent incomplete or unauthorized changes</t>
  </si>
  <si>
    <t>Scenario 12: Validate UI Behavior and Performance | Given My Reviews page is open | When employee interacts with reviews and forms | Then system should render correctly, load all sections properly, and remain responsive within performance limits</t>
  </si>
  <si>
    <t>Scenario 1: View My Performance Reviews | Given employee is logged in | When navigating to My Reviews page | Then system shows assigned reviews | Including: Review Period, Review Status, Due Date, Reviewer Information, Available Actions</t>
  </si>
  <si>
    <t>Scenario 2: Search and Filter My Reviews | Given multiple reviews exist | When employee applies filters | Then system shows matching records only | When no match system shows "No Records Found" | Including: Review Status, Review Period, Date Range</t>
  </si>
  <si>
    <t>Scenario 3: View Performance Review Details | Given review assigned | When employee opens review | Then system shows full details | Including: Review Summary, Self Evaluation, Supervisor Evaluation (if available), Finalization Info, KPI Ratings, Comments</t>
  </si>
  <si>
    <t>Scenario 4: Complete Self-Evaluation | Given self-evaluation is allowed | When employee submits ratings and comments | Then system saves evaluation and updates review status with confirmation</t>
  </si>
  <si>
    <t>Scenario 5: Validate Self-Evaluation Information | Given employee is evaluating | When invalid data entered | Then system blocks submission and shows validation messages | Including: Missing ratings, Invalid rating range, Empty comments, Invalid format</t>
  </si>
  <si>
    <t>Scenario 6: Review Status Management | Given review exists | When review progresses | Then system displays correct status | Including: Activated, In Progress, Completed</t>
  </si>
  <si>
    <t>Scenario 7: Restrict Review Editing Based on Status | Given review is completed/finalized | When employee tries to edit | Then system makes review read-only and blocks updates</t>
  </si>
  <si>
    <t>Scenario 8: Restrict Access to Assigned Reviews Only | Given multiple employee reviews exist | When employee accesses My Reviews | Then system shows only assigned reviews and blocks unauthorized URL access</t>
  </si>
  <si>
    <t>Scenario 9: Support Pagination and Large Review Datasets | Given many reviews exist | When navigating pages | Then system displays correct records and keeps filters applied</t>
  </si>
  <si>
    <t>Scenario 10: Persist Review Data | Given self-evaluation saved | When page refresh or re-login | Then system retains latest saved data correctly</t>
  </si>
  <si>
    <t>Scenario 11: Handle System Errors and Session Expiration | Given employee performs review actions | When system error or session timeout occurs | Then system shows message and prevents incomplete or unauthorized changes</t>
  </si>
  <si>
    <t>Scenario 12: Validate UI Behavior and Performance | Given My Reviews page open | When employee interacts with UI | Then system renders correctly, loads sections properly, and remains responsive within performance limits</t>
  </si>
  <si>
    <t xml:space="preserve">As a Supervisor, Reviewer, HR Manager, or Authorized User,
I want to view and evaluate employee performance reviews assigned to me,
So that I can assess employee performance, provide ratings and feedback, and complete the appraisal process effectively. </t>
  </si>
  <si>
    <t>Scenario 1: View Employee Reviews List | Given user has permission to access Employee Reviews | When navigating to Performance → Manage Reviews → Employee Reviews | Then system displays assigned reviews for evaluation | Including: Employee Name, Job Title, Review Period, Due Date, Review Status, Available Actions</t>
  </si>
  <si>
    <t>Scenario 2: Search and Filter Employee Reviews | Given multiple reviews exist | When user applies search or filters | Then system shows matching records only | When no match system shows "No Records Found" | Including: Employee Name, Review Status, Review Period, Reviewer, Date Range</t>
  </si>
  <si>
    <t>Scenario 3: View and Evaluate Employee Reviews | Given review assigned to user | When user opens review | Then system displays full review details and allows evaluation | Including: Review Summary, Self Evaluation, Supervisor Evaluation, Finalization, KPI Ratings, Employee Comments, Review Status</t>
  </si>
  <si>
    <t>Scenario 4: Validate Review Evaluation Information | Given user is evaluating review | When invalid data is entered | Then system blocks submission and shows validation messages | Including: Missing ratings, Invalid rating range, Empty comments, Invalid format</t>
  </si>
  <si>
    <t>Scenario 5: Manage Review Status Workflow | Given review exists | When review progresses | Then system updates and displays correct status | Including: Activated, In Progress, Completed</t>
  </si>
  <si>
    <t>Scenario 6: Restrict Review Modifications Based on Status | Given review is completed/finalized | When user tries to modify | Then system makes review read-only and blocks updates</t>
  </si>
  <si>
    <t>Scenario 7: Restrict Access Based on Permissions | Given user roles exist | When user accesses Employee Reviews | Then system shows only permitted reviews and blocks unauthorized URL access | Including: View Reviews, Evaluate Reviews, Finalize Reviews</t>
  </si>
  <si>
    <t>Scenario 8: Support Pagination and Large Review Datasets | Given many reviews exist | When user navigates pages | Then system displays correct data and keeps filters applied</t>
  </si>
  <si>
    <t>Scenario 9: Persist Employee Review Data | Given evaluation data saved | When page refresh or re-login | Then system retains latest review data correctly</t>
  </si>
  <si>
    <t>Scenario 10: Handle System Errors, Session Expiration, and Performance | Given user performs review actions | When system error or session timeout occurs | Then system shows message and prevents incomplete changes | And system remains responsive with correct UI rendering and performance</t>
  </si>
  <si>
    <t>As an Employee,
I want to view and manage my assigned performance trackers,
So that I can monitor my performance goals, track progress, review feedback, and stay aligned with performance expectations.</t>
  </si>
  <si>
    <t>Scenario 1: View My Performance Trackers | Given employee is logged in | When navigating to Performance → My Trackers | Then system shows assigned trackers | Including: Tracker Name, Employee Name, Assigned Reviewers, Tracker Status, Available Actions</t>
  </si>
  <si>
    <t>Scenario 2: Search and Filter My Performance Trackers | Given multiple trackers exist | When employee applies search or filters | Then system shows matching records only | When no match system shows "No Records Found" | Including: Tracker Name, Status, Reviewer Name</t>
  </si>
  <si>
    <t>Scenario 3: View Tracker Details and Progress | Given tracker is assigned | When employee opens tracker | Then system shows full tracker details | Including: Performance Goals, Progress Updates, Reviewer Feedback, Achievement Status, Comments, Tracker Status</t>
  </si>
  <si>
    <t>Scenario 4: Update Tracker Progress | Given tracker allows updates | When employee updates progress and saves | Then system saves changes successfully and shows confirmation | Including: Progress Notes, Goal Updates, Achievement Comments</t>
  </si>
  <si>
    <t>Scenario 5: Validate Tracker Information | Given employee is updating tracker | When invalid data entered | Then system blocks saving and shows validation messages | Including: Empty required fields, Character limit exceeded, Invalid format</t>
  </si>
  <si>
    <t>Scenario 6: Restrict Modifications Based on Tracker Status | Given tracker is closed/locked/completed | When employee tries to modify | Then system makes tracker read-only according to business rules</t>
  </si>
  <si>
    <t>Scenario 7: Restrict Access to Assigned Trackers Only | Given multiple employee trackers exist | When employee accesses My Trackers | Then system shows only assigned trackers and blocks unauthorized URL access</t>
  </si>
  <si>
    <t>Scenario 8: Support Pagination and Large Tracker Datasets | Given many trackers exist | When navigating pages | Then system shows correct data and keeps filters applied</t>
  </si>
  <si>
    <t>Scenario 9: Persist Tracker Data | Given tracker updated successfully | When page refresh or re-login | Then system retains latest tracker data correctly</t>
  </si>
  <si>
    <t>Scenario 10: Handle System Errors, Session Expiration, and Performance | Given employee performs tracker actions | When system error or session timeout occurs | Then system shows message and prevents incomplete changes | And UI remains responsive and performance within acceptable limits</t>
  </si>
  <si>
    <t>As a Supervisor, HR Manager, or Authorized User,
I want to view and manage employee performance trackers,
So that I can monitor employee goals, review progress updates, provide feedback, and evaluate performance effectively.</t>
  </si>
  <si>
    <t>Scenario 1: View Employee Performance Trackers | Given user has permission to access Employee Trackers | When navigating to Performance → Employee Trackers | Then system displays all available trackers | Including: Employee Name, Tracker Name, Assigned Reviewers, Tracker Status, Last Modified Date, Available Actions</t>
  </si>
  <si>
    <t>Scenario 2: Search and Filter Employee Trackers | Given multiple trackers exist | When user applies search or filters | Then system shows matching records only | When no match system shows "No Records Found" | Including: Employee Name, Tracker Name, Reviewer Name, Status</t>
  </si>
  <si>
    <t>Scenario 3: View and Manage Tracker Details | Given tracker exists | When user opens tracker | Then system displays full tracker details and allows updates based on permissions | Including: Employee Information, Performance Goals, Progress Updates, Reviewer Feedback, Achievement Status, Comments, Tracker Status</t>
  </si>
  <si>
    <t>Scenario 4: Add Progress Reviews and Feedback | Given tracker assigned for review | When user adds feedback or progress updates | Then system saves changes successfully and shows confirmation</t>
  </si>
  <si>
    <t>Scenario 5: Validate Tracker Information | Given user updates tracker | When invalid data is entered | Then system blocks saving and shows validation messages | Including: Required fields empty, Invalid progress values, Character limit exceeded, Invalid format</t>
  </si>
  <si>
    <t>Scenario 6: Manage Tracker Status and Workflow | Given tracker exists | When progress updates occur | Then system updates status correctly | Including: Active, In Progress, Completed, Closed</t>
  </si>
  <si>
    <t>Scenario 7: Restrict Access Based on Permissions | Given user roles exist | When user accesses Employee Trackers | Then system allows only permitted access and blocks unauthorized URL access | Including: View, Update, Add Feedback, Review Progress</t>
  </si>
  <si>
    <t>Scenario 8: Support Pagination and Large Tracker Datasets | Given many tracker records exist | When navigating pages | Then system displays correct records and keeps filters applied</t>
  </si>
  <si>
    <t>Scenario 10: Handle System Errors, Session Expiration, and Performance | Given user performs tracker actions | When system error or session timeout occurs | Then system shows message and prevents incomplete changes | And UI remains responsive and performs within acceptable limits</t>
  </si>
  <si>
    <t>As an HR Manager,
I want to access a centralized, interactive Dashboard populated with real-time operational widgets, quick-launch shortcuts, and workforce metrics,
So that I can efficiently monitor daily HR activities, execute rapid tasks, and view organizational distribution data at a glance.</t>
  </si>
  <si>
    <t>Scenario 1.1: Initial navigation and loading | Given user is authenticated | When user opens Dashboard page | Then system shows Dashboard title and loading skeleton and renders within 2 seconds</t>
  </si>
  <si>
    <t xml:space="preserve">*As an* HR Manager,
*I want to* access a centralized, interactive Dashboard populated with real-time operational widgets, quick-launch shortcuts, and workforce metrics,
*So that* I can efficiently monitor daily HR activities, execute rapid tasks, and view organizational distribution data at a glance.
</t>
  </si>
  <si>
    <t>Scenario 2.1: Display dashboard widgets layout | Given dashboard is loaded | When user views main area | Then system displays all widgets correctly in responsive grid | Including: Time at Work, My Actions, Quick Launch, Buzz Latest Posts, Employees on Leave Today, Employee Distribution by Sub Unit, Employee Distribution by Location</t>
  </si>
  <si>
    <t>Scenario 3.1: Quick Launch navigation actions | Given user is on Quick Launch widget | When user clicks Assign Leave or Apply Leave | Then system redirects to Leave module forms with preserved context</t>
  </si>
  <si>
    <t>Scenario 4.1: Punch In/Out widget interaction | Given user is on Time at Work widget | When user clicks punch toggle while punched out | Then system opens Punch In modal and updates status to Punched In</t>
  </si>
  <si>
    <t>Scenario 5.1: Single record deletion in Buzz feed | Given user owns a post | When user selects Delete action | Then system shows confirmation modal</t>
  </si>
  <si>
    <t>Scenario 5.2: Confirm or cancel deletion | Given delete modal is open | When user cancels | Then no changes occur | When user confirms | Then record is deleted and UI updates with success message</t>
  </si>
  <si>
    <t>Scenario 5.3: Multi-select deletion | Given list supports multi-select | When user selects multiple records and clicks Delete Selected | Then system validates dependencies and shows aggregated confirmation before deletion</t>
  </si>
  <si>
    <t>Scenario 6.1: Sidebar search filtering | Given sidebar search exists | When user types keyword | Then system filters menu items in real time</t>
  </si>
  <si>
    <t>Scenario 7.1: Input validation in Buzz posts | Given user is posting content | When invalid input or unsupported file is submitted | Then system blocks submission and shows validation message</t>
  </si>
  <si>
    <t>Scenario 8.1: Empty state handling | Given no data exists | When widget loads | Then system shows proper empty state message instead of blank UI</t>
  </si>
  <si>
    <t>Scenario 9.1: Infinite scrolling in feed | Given many posts exist | When user scrolls to bottom | Then system loads next page dynamically without refresh</t>
  </si>
  <si>
    <t>Scenario 10.1: Success toast notification | Given action succeeds | When server confirms update | Then system shows success toast message</t>
  </si>
  <si>
    <t>Scenario 10.2: Error handling notification | Given server error occurs | When request fails | Then system shows error toast or retry option</t>
  </si>
  <si>
    <t>Scenario 11.1: RBAC security enforcement | Given unauthorized user or guest | When accessing dashboard URL | Then system blocks access and redirects with 403 or login page</t>
  </si>
  <si>
    <t>Scenario 12.1: Timezone synchronization | Given user in different timezone | When viewing Time at Work widget | Then system displays correct localized time based on UTC conversion</t>
  </si>
  <si>
    <t>Scenario 13.1: Responsive UI behavior | Given screen size changes | When viewport is resized | Then system reflows layout and collapses sidebar appropriately</t>
  </si>
  <si>
    <t>Scenario 14.1: Data persistence on reload | Given user makes changes | When page refresh occurs | Then system reloads latest data from server correctly</t>
  </si>
  <si>
    <t>Scenario 15.1: Accessibility keyboard navigation | Given user uses keyboard navigation | When pressing Tab | Then system focuses elements in logical order with visible focus indicator</t>
  </si>
  <si>
    <t xml:space="preserve">As a System User (Employee, HR, or Manager),
I want to view and search the employee directory,
So that I can quickly find employee information, contact details, and organizational data across the company.
</t>
  </si>
  <si>
    <t>Scenario 1: View Employee Directory | Given user is logged in | When navigating to Directory page | Then system displays employee directory successfully | Including: Employee Name, Job Title, Location, Department/Sub Unit, Employee Card/Profile Summary</t>
  </si>
  <si>
    <t>Scenario 2: Search Employees in Directory | Given multiple employees exist | When user searches or applies filters | Then system shows matching records only | When no results system shows "No Records Found"</t>
  </si>
  <si>
    <t>Scenario 3: Filter Employee Directory | Given employee records exist | When user applies filters | Then system returns correctly filtered results | Including: Job Title, Location, Department/Sub Unit</t>
  </si>
  <si>
    <t>Scenario 4: View Employee Profile from Directory | Given employee appears in directory | When user clicks employee card | Then system opens employee profile page with correct permissions</t>
  </si>
  <si>
    <t>Scenario 5: Handle Empty Directory Data | Given no matching employees exist | When user opens or searches directory | Then system shows "No Records Found" and no data is displayed</t>
  </si>
  <si>
    <t>Scenario 6: Restrict Access Based on Permissions | Given user roles exist | When accessing Directory page | Then system shows only permitted employees and blocks unauthorized URL access</t>
  </si>
  <si>
    <t>Scenario 7: Validate Directory UI Behavior | Given Directory page is loaded | When user interacts with search, filters, or cards | Then UI renders correctly and elements are aligned and responsive</t>
  </si>
  <si>
    <t>Scenario 8: Handle System Errors and Session Expiration | Given user is using Directory | When system error or session timeout occurs | Then system shows error message and redirects to login on session expiry</t>
  </si>
  <si>
    <t>Scenario 9: Performance and Data Loading | Given large employee dataset exists | When loading or filtering Directory | Then system loads within acceptable time and remains responsive</t>
  </si>
  <si>
    <t>As an Admin,
I want to purge employee records from the system through the Maintenance module,
So that outdated or terminated employee data can be permanently removed in compliance with data retention and GDPR policies.</t>
  </si>
  <si>
    <t>Scenario 1: Access Purge Employee Page | Given user has Admin permissions | When navigating to Maintenance → Purge Employee Records | Then system displays purge page and requires admin password verification</t>
  </si>
  <si>
    <t>Scenario 2: Admin Password Verification | Given user is on purge page | When valid admin password is entered | Then system authenticates and grants access | When invalid password entered system denies access and shows error</t>
  </si>
  <si>
    <t>Scenario 3: Search for Past Employees | Given admin is on purge screen | When selecting Past Employee and searching | Then system displays matching records | Including: Employee Name, Employee ID, Employment Status, Termination Details</t>
  </si>
  <si>
    <t>Scenario 4: Purge Selected Employee Record | Given search results displayed | When admin confirms purge action | Then system permanently deletes employee and related data</t>
  </si>
  <si>
    <t>Scenario 5: Confirm Deletion Before Purge | Given employee selected for purge | When confirmation prompt appears | Then confirm deletes record | Cancel keeps data unchanged</t>
  </si>
  <si>
    <t>Scenario 6: Prevent Unauthorized Access | Given non-admin user | When accessing purge URL directly | Then system denies access and shows authorization error</t>
  </si>
  <si>
    <t>Scenario 7: Prevent Accidental Data Loss | Given purge action initiated | When system shows warning | Then system requires explicit confirmation before deletion</t>
  </si>
  <si>
    <t>Scenario 8: Handle No Employee Found Case | Given no matching records exist | When admin searches | Then system shows "No Records Found" and disables purge action</t>
  </si>
  <si>
    <t>Scenario 9: Data Integrity and Cascade Deletion | Given employee is purged | When deletion executed | Then system removes all related records including attendance, time, performance, audit logs</t>
  </si>
  <si>
    <t>Scenario 10: Session Timeout Handling | Given admin is on purge page | When session expires | Then system redirects to login and blocks partial deletion</t>
  </si>
  <si>
    <t>Scenario 11: System Error Handling | Given purge operation running | When system/network error occurs | Then system stops safely and prevents partial deletion</t>
  </si>
  <si>
    <t>Scenario 12: Audit and Compliance Logging | Given purge is completed | When operation finishes | Then system logs admin, timestamp, employee details, and action type</t>
  </si>
  <si>
    <t>Scenario 13: Performance and Safety Controls | Given large dataset exists | When search or purge is executed | Then system processes within limits and prevents bulk accidental deletions</t>
  </si>
  <si>
    <t>As an Admin,
I want to permanently purge terminated employee records from the system,
So that outdated employee data is securely removed in compliance with GDPR and data retention policies.</t>
  </si>
  <si>
    <t>Scenario 1: Access Purge Records Page | Given user is logged in as Admin | When navigating to Maintenance → Purge Records → Employee Records | Then system displays purge page and requires admin authentication before access</t>
  </si>
  <si>
    <t>Scenario 2: Admin Authentication Verification | Given user accesses purge module | When valid credentials entered | Then system grants access | When invalid credentials entered system denies access and shows error</t>
  </si>
  <si>
    <t>Scenario 3: Search for Past Employees | Given user is on purge page | When selecting Past Employee and searching | Then system displays terminated employee records | Including: Employee Name, Employee ID, Termination Date, Employment Status</t>
  </si>
  <si>
    <t>Scenario 4: View Employee Before Purge | Given search results displayed | When admin selects employee | Then system shows employee details for confirmation</t>
  </si>
  <si>
    <t>Scenario 5: Purge Employee Record Permanently | Given employee selected | When admin confirms purge | Then system permanently deletes record and removes all related data</t>
  </si>
  <si>
    <t>Scenario 6: Confirm Before Permanent Deletion | Given employee selected for purge | When confirmation prompt shown | Then confirm deletes record | Cancel keeps data unchanged</t>
  </si>
  <si>
    <t>Scenario 7: Prevent Unauthorized Access | Given non-admin user | When accessing Maintenance via URL | Then system blocks access and shows authorization error</t>
  </si>
  <si>
    <t>Scenario 8: Prevent Accidental Data Loss | Given purge is irreversible | When admin initiates purge | Then system shows permanent deletion warning</t>
  </si>
  <si>
    <t>Scenario 9: Handle No Records Found | Given no employees exist | When admin searches | Then system shows "No Records Found"</t>
  </si>
  <si>
    <t>Scenario 10: Data Integrity and Cascade Deletion | Given employee is purged | When deletion executed | Then system removes attendance, timesheets, performance, claims, and related HR data</t>
  </si>
  <si>
    <t>Scenario 11: Session Expiration Handling | Given admin performing purge | When session expires | Then system redirects to login and blocks deletion</t>
  </si>
  <si>
    <t>Scenario 12: System Error Handling | Given purge in progress | When system/network failure occurs | Then system stops safely and prevents partial deletion</t>
  </si>
  <si>
    <t>Scenario 13: Audit Logging | Given employee purged | When operation completes | Then system logs admin, timestamp, employee details, and action type</t>
  </si>
  <si>
    <t>Scenario 14: Performance and Security Controls | Given large datasets exist | When searching or purging | Then system responds within limits and prevents bulk accidental deletions</t>
  </si>
  <si>
    <t>Scenario 15: Compliance and Data Retention Rule Enforcement | Given legal retention rules apply | When purge executed | Then system ensures permanent deletion complies with GDPR/retention policies</t>
  </si>
  <si>
    <t xml:space="preserve">As an Admin,
I want to permanently purge candidate records from the system through the Maintenance module,
So that outdated or rejected applicant data can be securely removed in compliance with GDPR and data retention policies.
</t>
  </si>
  <si>
    <t>Scenario 1: Access Purge Candidate Records Page | Given user is logged in as Admin | When navigating to Maintenance → Purge Records → Candidate Records | Then system displays purge candidate page and requires admin authentication before access</t>
  </si>
  <si>
    <t>Scenario 2: Admin Authentication Verification | Given user accesses purge candidate module | When valid admin credentials entered | Then system grants access | When invalid credentials entered system denies access and shows authentication error</t>
  </si>
  <si>
    <t>Scenario 3: Search Candidate Records | Given admin is on purge screen | When selecting vacancy or filters and clicking Search | Then system displays candidate records including: Candidate Name, Vacancy Applied, Application Status, Application Date</t>
  </si>
  <si>
    <t>Scenario 4: View Candidate Data Before Purge | Given search results displayed | When admin selects candidate | Then system shows candidate details: Personal Information, Application History, Vacancy Details, Status Information</t>
  </si>
  <si>
    <t>Scenario 5: Purge Single Candidate Record | Given candidate selected | When admin clicks Yes, Purge | Then system permanently deletes candidate and removes from all recruitment lists and search</t>
  </si>
  <si>
    <t>Scenario 6: Bulk Purge Candidate Records | Given multiple candidates exist | When admin selects Purge All | Then system deletes all selected candidates in bulk and shows success message</t>
  </si>
  <si>
    <t>Scenario 7: Confirmation Before Permanent Deletion | Given candidates selected for purge | When confirmation prompt shown | Then confirm deletes records | Cancel keeps data unchanged</t>
  </si>
  <si>
    <t>Scenario 8: Prevent Unauthorized Access | Given non-admin user | When accessing purge candidate URL directly | Then system denies access and shows authorization error</t>
  </si>
  <si>
    <t>Scenario 9: Prevent Accidental Data Loss | Given purge is irreversible | When admin initiates purge | Then system shows strong warning including permanent deletion and no recovery notice</t>
  </si>
  <si>
    <t>Scenario 10: Handle No Candidate Records Found | Given no matching records exist | When admin searches | Then system displays "No Records Found"</t>
  </si>
  <si>
    <t>Scenario 11: Data Integrity and Cascade Removal | Given candidate is purged | When deletion executed | Then system removes interview history, application history, vacancy association, evaluation records</t>
  </si>
  <si>
    <t>Scenario 12: Session Expiration Handling | Given admin performing purge | When session expires | Then system redirects to login and blocks deletion</t>
  </si>
  <si>
    <t>Scenario 13: System Error Handling | Given purge operation in progress | When system/network error occurs | Then system safely stops operation and prevents partial deletion</t>
  </si>
  <si>
    <t>Scenario 14: Audit Logging | Given candidates purged successfully | When operation completes | Then system logs admin user, timestamp, number of candidates deleted, action type</t>
  </si>
  <si>
    <t>Scenario 15: Performance and Compliance Controls | Given large datasets exist | When search or purge executed | Then system responds within performance limits and enforces GDPR compliance</t>
  </si>
  <si>
    <t xml:space="preserve">As an Admin,
I want to access and review employee access records through the Maintenance module,
So that I can track who accessed employee data for security, audit, and compliance purposes.
</t>
  </si>
  <si>
    <t>Scenario 1: Open Access Records Page | Given user is logged in as Admin | When navigating to Maintenance → Access Records → Employee Data Access | Then system displays Access Records page and requires admin authentication before showing sensitive logs</t>
  </si>
  <si>
    <t>Scenario 2: Admin Authentication Verification | Given user attempts to access employee data records | When valid admin credentials entered | Then system grants access | When invalid credentials entered system denies access and shows authentication failure message</t>
  </si>
  <si>
    <t>Scenario 3: View Employee Data Access Logs | Given admin authenticated | When access records load | Then system displays logs including Employee Name, Accessed By, Access Date &amp; Time, Action Type, Module Accessed</t>
  </si>
  <si>
    <t>Scenario 4: Search Access Records | Given multiple logs exist | When admin applies filters and searches | Then system displays matching records only | When no match system shows "No Records Found"</t>
  </si>
  <si>
    <t>Scenario 5: Filter Access Records | Given logs available | When admin applies filters | Then system filters by employee history, user activity, and time range accurately</t>
  </si>
  <si>
    <t>Scenario 6: View Detailed Access Record | Given access log exists | When admin opens record | Then system shows full details including employee, user, timestamp, module, and action performed</t>
  </si>
  <si>
    <t>Scenario 7: Handle Empty Access Records | Given no logs exist | When admin opens page | Then system displays "No Records Found"</t>
  </si>
  <si>
    <t>Scenario 8: Restrict Unauthorized Access | Given non-admin user | When accessing via URL | Then system denies access and shows authorization error</t>
  </si>
  <si>
    <t>Scenario 9: Audit Trail Integrity | Given employee data is accessed | When any view/edit occurs | Then system logs user, timestamp, data accessed, and action type automatically</t>
  </si>
  <si>
    <t>Scenario 10: Data Security and Compliance | Given sensitive logs exist | When admin views/exports logs | Then system ensures integrity, confidentiality, and prevents log modification</t>
  </si>
  <si>
    <t>Scenario 11: Session Expiry Handling | Given admin viewing logs | When session expires | Then system redirects to login and blocks access</t>
  </si>
  <si>
    <t>Scenario 12: System Error Handling | Given module in use | When system/network error occurs | Then system shows error message and prevents corrupted display</t>
  </si>
  <si>
    <t>Scenario 13: Performance and Large Data Handling | Given large log volume exists | When admin loads/filters records | Then system responds within performance limits and supports pagination</t>
  </si>
  <si>
    <t xml:space="preserve">As an Employee, Supervisor, or Admin,
I want to create, view, and manage employee expense claims,
So that I can submit work-related expenses, track claim status, and ensure proper reimbursement through an approval workflow.
</t>
  </si>
  <si>
    <t>Scenario 1: View Employee Claims List | Given user has claim access permission | When navigating to Claim → Employee Claims | Then system displays claims relevant to user role including Claim ID, Employee Name, Claim Type, Status, Submitted Date, Amount, Actions</t>
  </si>
  <si>
    <t>Scenario 2: Create a New Claim | Given user is on Employee Claims page | When clicking Add Claim and entering valid details | Then system creates claim successfully and allows save as Draft or Submit for approval including employee, claim basis, expenses, attachments, currency</t>
  </si>
  <si>
    <t>Scenario 3: Validate Claim Data | Given claim is being created or updated | When invalid or incomplete data entered | Then system prevents submission and shows validation messages while keeping claim in Draft</t>
  </si>
  <si>
    <t>Scenario 4: Submit Claim for Approval Workflow | Given claim is in Draft | When user submits claim | Then system sends it to approval workflow and updates status (e.g., Pending Supervisor Approval)</t>
  </si>
  <si>
    <t>Scenario 5: Assign Claim to Employee | Given admin/supervisor privileges | When assigning claim | Then system assigns claim to employee and optionally bypasses approval based on config</t>
  </si>
  <si>
    <t>Scenario 6: Search and Filter Claims | Given multiple claims exist | When applying filters or search | Then system displays matching records only based on employee, status, date range, claim type</t>
  </si>
  <si>
    <t>Scenario 7: Handle No Claims Found | Given filters applied | When no matching records exist | Then system displays "No Records Found"</t>
  </si>
  <si>
    <t>Scenario 8: Manage Claim Attachments | Given expense details added | When uploading attachments | Then system uploads, allows view, and remove (if permitted)</t>
  </si>
  <si>
    <t>Scenario 9: Claim Approval Workflow | Given claim submitted | When reviewed by supervisor/admin | Then system allows approve, reject, or mark as paid and updates status accordingly</t>
  </si>
  <si>
    <t>Scenario 10: Prevent Unauthorized Access | Given role-based system | When user accesses restricted claims | Then system blocks unauthorized view or edit</t>
  </si>
  <si>
    <t>Scenario 11: Handle Empty Claim State | Given no claims exist | When opening Employee Claims page | Then system shows "No Records Found" and option to create new claim</t>
  </si>
  <si>
    <t>Scenario 12: System Error Handling and Session Expiry | Given user working on claims | When error or session timeout occurs | Then system shows error and prevents partial submission</t>
  </si>
  <si>
    <t>Scenario 13: Performance and Usability | Given multiple claim records exist | When loading or filtering page | Then system responds within acceptable time and remains responsive</t>
  </si>
  <si>
    <t xml:space="preserve">As an HR Admin or Authorized User,
I want to configure and manage claim events,
So that expense claims can be categorized correctly and used in the claim submission workflow.
</t>
  </si>
  <si>
    <t>Scenario 1: View Claim Events List | Given user has permission to access Claim Configuration | When navigating to Claim → Configuration → Events | Then system displays all claim events including Event Name, Event Type, Status, Available Actions</t>
  </si>
  <si>
    <t>Scenario 2: Create a New Claim Event | Given user is on Claim Events page | When clicking Add Event and entering valid details | Then system creates event successfully, shows success message, and adds it to list</t>
  </si>
  <si>
    <t>Scenario 3: Validate Claim Event Data | Given user is creating/editing event | When invalid or incomplete data entered | Then system prevents saving and shows validation messages (empty name, duplicate, missing fields, limits)</t>
  </si>
  <si>
    <t>Scenario 4: Update Existing Claim Event | Given claim event exists | When user edits and saves changes | Then system updates event and reflects changes in list</t>
  </si>
  <si>
    <t>Scenario 5: Delete Claim Event | Given claim event exists | When user confirms deletion | Then system deletes event; when cancelled, no changes applied</t>
  </si>
  <si>
    <t>Scenario 6: Prevent Deletion of Used Claim Events | Given event linked to existing claims | When user attempts deletion | Then system blocks action and shows usage warning</t>
  </si>
  <si>
    <t>Scenario 7: Search and Filter Claim Events | Given multiple events exist | When filtering by name or status | Then system shows matching results only; if none show "No Records Found"</t>
  </si>
  <si>
    <t>Scenario 8: Handle Empty Claim Events List | Given no events exist | When opening Events page | Then system displays "No Records Found" and option to add new event</t>
  </si>
  <si>
    <t>Scenario 9: Restrict Access Based on Permissions | Given role-based access | When unauthorized user accesses page | Then system denies access and shows authorization message</t>
  </si>
  <si>
    <t>Scenario 10: Ensure Data Persistence and System Integrity | Given event data created/updated | When page refresh or re-login occurs | Then data persists and remains consistent across system</t>
  </si>
  <si>
    <t>Scenario 11: Handle System Errors and Session Expiry | Given user managing events | When system error or session timeout occurs | Then system shows error message and prevents partial updates</t>
  </si>
  <si>
    <t>Scenario 12: Validate UI Behavior and Performance | Given Claim Events page loaded | When user interacts with actions, search, or forms | Then UI works correctly and responds within acceptable performance limits</t>
  </si>
  <si>
    <t xml:space="preserve">As an Employee or Supervisor,
I want to submit an expense claim with all required details and supporting information,
So that I can request reimbursement for work-related expenses through a structured approval workflow.
</t>
  </si>
  <si>
    <t>Scenario 1: Open Submit Claim Page | Given user has claim permissions | When navigating to Claim → Submit Claim | Then system displays claim form including claim basis, employee selection, currency, expenses, attachments, submit/save options</t>
  </si>
  <si>
    <t>Scenario 2: Create a New Claim Draft | Given user is on Submit Claim page | When entering valid details and clicking Save | Then system saves claim as Draft and shows success message</t>
  </si>
  <si>
    <t>Scenario 3: Submit Claim for Approval | Given valid claim exists | When user clicks Submit | Then system submits to workflow, sets status Pending Approval, generates claim reference ID, and notifies approvers</t>
  </si>
  <si>
    <t>Scenario 4: Validate Required Claim Fields | Given claim is being created/submitted | When required fields are missing or invalid | Then system blocks submission and shows validation errors (expense, amount, employee, currency, mandatory fields)</t>
  </si>
  <si>
    <t>Scenario 5: Add Expense Details to Claim | Given user is creating claim | When adding expense items | Then system allows multiple entries including type, amount, description, date, supporting details and updates summary correctly</t>
  </si>
  <si>
    <t>Scenario 6: Upload and Manage Attachments | Given claim in progress | When uploading documents | Then system attaches files, validates format/size, allows view/remove before submission</t>
  </si>
  <si>
    <t>Scenario 7: Prevent Invalid Claim Submission | Given claim has invalid data | When user submits | Then system blocks submission, keeps Draft state, and highlights errors</t>
  </si>
  <si>
    <t>Scenario 8: Save and Continue Later | Given claim form in progress | When user clicks Save | Then system stores Draft safely for later editing without data loss</t>
  </si>
  <si>
    <t>Scenario 9: Handle Claim Basis Rules | Given claim basis selected | When General/Project/Travel is chosen | Then system shows dynamic fields and enforces rules (project selection, travel link, general expenses)</t>
  </si>
  <si>
    <t>Scenario 10: Restrict Access Based on Role | Given role-based system | When accessing Submit Claim page | Then system allows employees to submit own claims and supervisors/admins to submit on behalf of employees</t>
  </si>
  <si>
    <t>Scenario 11: Handle No Data / Empty State | Given no expense items added | When user submits claim | Then system blocks submission and requires at least one expense item</t>
  </si>
  <si>
    <t>Scenario 12: System Error and Session Handling | Given claim submission in progress | When system error or session timeout occurs | Then system shows error message and prevents partial submission</t>
  </si>
  <si>
    <t>Scenario 13: Performance and Usability | Given form with multiple inputs | When user interacts with page | Then system responds smoothly with real-time validation, calculations, and UI updates</t>
  </si>
  <si>
    <t xml:space="preserve">As an Employee, Supervisor, or Authorized User,
I want to view and manage my submitted claims,
So that I can track claim status, review claim history, and ensure my expense reimbursements are processed correctly.
</t>
  </si>
  <si>
    <t>Scenario 1: View My Claims List | Given user has claim access | When navigating to Claim → My Claims | Then system displays user claims including Reference ID, Event/Basis, Submission Date, Status, Total Amount, Actions</t>
  </si>
  <si>
    <t>Scenario 2: Search and Filter My Claims | Given multiple claims exist | When applying filters or search | Then system displays matching claims only; when none show "No Records Found"</t>
  </si>
  <si>
    <t>Scenario 3: View Claim Details | Given claim exists | When user opens claim | Then system shows full details including header, expense items, breakdown, attachments, workflow history, comments</t>
  </si>
  <si>
    <t>Scenario 4: Edit Draft Claim | Given claim is Draft | When user edits and saves | Then system updates claim and keeps Draft status until submission</t>
  </si>
  <si>
    <t>Scenario 5: Submit Claim for Approval | Given claim is Draft | When user submits claim | Then system sends to workflow, sets Pending Approval, makes read-only per rules</t>
  </si>
  <si>
    <t>Scenario 6: Delete Draft Claim | Given claim is Draft | When user deletes claim | Then system removes claim; cancel keeps it unchanged</t>
  </si>
  <si>
    <t>Scenario 7: Restrict Actions Based on Claim Status | Given claim exists | When status is not Draft | Then system allows view only and restricts edit/delete</t>
  </si>
  <si>
    <t>Scenario 8: Handle Empty My Claims List | Given no claims exist | When opening My Claims | Then system shows "No Records Found" and option to create claim</t>
  </si>
  <si>
    <t>Scenario 9: Claim Status Tracking | Given claim submitted | When workflow progresses | Then system updates status (Draft, Submitted/Pending Approval, Approved, Rejected, Paid)</t>
  </si>
  <si>
    <t>Scenario 10: Ensure Data Persistence | Given claims exist | When refresh or re-login occurs | Then system retains latest saved data and status</t>
  </si>
  <si>
    <t>Scenario 11: Restrict Access Based on Permissions | Given role-based access | When accessing My Claims | Then system shows only user-owned claims and blocks unauthorized access</t>
  </si>
  <si>
    <t>Scenario 12: Handle System Errors and Session Expiry | Given user managing claims | When error or session timeout occurs | Then system shows error and prevents partial/corrupt operations</t>
  </si>
  <si>
    <t>Scenario 13: Performance and Usability | Given multiple claims exist | When loading/searching/filtering | Then system responds within acceptable time and remains responsive</t>
  </si>
  <si>
    <t xml:space="preserve">As an Admin or Supervisor,
I want to assign expense claims to employees and manage their processing,
So that claims can be properly initiated, tracked, and processed within the approval workflow or directly assigned without approval when required.
</t>
  </si>
  <si>
    <t>Scenario 1: Open Assign Claim Page | Given user has Admin/Supervisor permissions | When navigating to Claim → Assign Claim | Then system displays Assign Claim form including employee selection, claim basis, currency, expenses, attachments, assign/save actions</t>
  </si>
  <si>
    <t>Scenario 2: Assign Claim to Employee | Given user on Assign Claim page | When selecting employee, basis, and valid expenses then clicking Assign | Then system assigns claim, generates reference ID, shows success message, and makes it visible under My Claims</t>
  </si>
  <si>
    <t>Scenario 3: Create Claim Based on Different Basis Types | Given user is assigning claim | When selecting claim basis | Then system adjusts form dynamically (General, Project, Travel Request) with required conditional fields</t>
  </si>
  <si>
    <t>Scenario 4: Add Expense Details to Claim | Given claim assignment in progress | When adding expenses | Then system allows multiple entries (type, amount, date, description, notes) and updates summary correctly</t>
  </si>
  <si>
    <t>Scenario 5: Validate Assign Claim Input Data | Given user is assigning claim | When invalid or incomplete data entered | Then system blocks submission and shows validation errors (employee, amount, currency, mandatory fields, invalid values)</t>
  </si>
  <si>
    <t>Scenario 6: Upload and Manage Attachments | Given claim assignment in progress | When uploading files | Then system attaches files, allows view/remove before final assignment, and validates file type/size</t>
  </si>
  <si>
    <t>Scenario 7: Assign Claim Without Approval Workflow | Given admin/supervisor assigns claim | When assignment completed | Then system may bypass workflow based on config, updates status, and makes claim available in employee claims</t>
  </si>
  <si>
    <t>Scenario 8: Prevent Duplicate Claim Assignment | Given claim already exists for employee and basis | When attempting duplicate assignment | Then system blocks action and shows warning</t>
  </si>
  <si>
    <t>Scenario 9: Search and Filter Assigned Claims | Given multiple assigned claims exist | When searching/filtering by employee, status, or date | Then system shows matching results only</t>
  </si>
  <si>
    <t>Scenario 10: Handle Empty State | Given no assigned claims exist | When opening Assign Claim page | Then system shows empty state message "No Records Found"</t>
  </si>
  <si>
    <t>Scenario 11: Restrict Access Based on Role | Given role-based access control | When unauthorized user accesses page | Then system blocks access and shows authorization message</t>
  </si>
  <si>
    <t>Scenario 12: System Error and Session Handling | Given claim assignment in progress | When system error or session timeout occurs | Then system shows error and prevents partial/corrupt assignment</t>
  </si>
  <si>
    <t>Scenario 13: Performance and UI Behavior | Given complex form page | When user interacts with fields | Then system responds smoothly with real-time validation and responsive UI</t>
  </si>
  <si>
    <t>As a System User (Employee, Supervisor, or Admin),
I want to view and interact with the Buzz social feed,
So that I can share updates, engage with colleagues, and stay informed about company activities and employee recognition.</t>
  </si>
  <si>
    <t>Given the user is logged into the system
When the user navigates to Buzz → View Buzz
Then the system should display the Buzz timeline successfully
Including:
• Employee Posts
• Text Updates
• Images and Videos
• Likes and Comments Count
• Trending or Highlighted Sections (if available)
• Upcoming Work Anniversaries Widget</t>
  </si>
  <si>
    <t>Scenario 2: Create a New Post
Given the user is on the Buzz page
When the user creates a post with text, images, or videos
And clicks Post
Then the system should publish the post successfully
And display it in the Buzz feed immediately</t>
  </si>
  <si>
    <t>Scenario 3: Upload Media in Post
Given the user is creating a Buzz post
When the user uploads images or videos
Then the system should:
• Allow uploading supported media types
• Enforce maximum upload limit (e.g., 5 files)
• Attach media correctly to the post</t>
  </si>
  <si>
    <t>Scenario 4: Like and Unlike Posts
Given Buzz posts exist in the feed
When the user clicks Like on a post
Then the system should register the like
And
When the user clicks Like again
Then the system should remove the like</t>
  </si>
  <si>
    <t>Scenario 5: Comment on Posts
Given a Buzz post exists
When the user adds a comment and submits it
Then the system should save the comment successfully
And display it under the post with:
• Username
• Timestamp
• Comment content</t>
  </si>
  <si>
    <t>Scenario 6: Delete Post (Admin Only)
Given the user has Admin privileges
When the user selects a post and clicks Delete
Then the system should remove the post from the feed
And
When a non-admin user attempts deletion
Then the system should deny the action
And display an authorization message</t>
  </si>
  <si>
    <t>Scenario 7: View Employee Profile from Buzz
Given posts are displayed in the feed
When the user clicks on an employee name or profile picture
Then the system should navigate to the employee profile page</t>
  </si>
  <si>
    <t>Scenario 8: View Post Details and Engagement
Given a Buzz post exists
When the user opens or expands the post
Then the system should display full post details
Including:
• Full content
• All comments
• Like count
• Engagement history</t>
  </si>
  <si>
    <t>Scenario 9: Search or Browse Posts
Given multiple posts exist in the system
When the user searches or filters posts
Then the system should display matching posts only
And
When no results are found
Then the system should display "No Posts Found"</t>
  </si>
  <si>
    <t>Scenario 10: Handle Empty Feed
Given no posts exist in the system
When the user opens Buzz
Then the system should display an empty state message
And prompt the user to create the first post</t>
  </si>
  <si>
    <t>Scenario 11: Permission-Based Access Control
Given users have different roles
When a user accesses Buzz
Then the system should enforce role-based permissions
Including:
• Employees can create, like, and comment posts
• Admins can delete posts
• Unauthorized actions should be blocked</t>
  </si>
  <si>
    <t>Scenario 12: Session Handling and Error Management
Given the user is interacting with Buzz
When a system error or session timeout occurs
Then the system should display an appropriate error message
And prevent loss of unsaved post data where applicable</t>
  </si>
  <si>
    <t>Scenario 13: Performance and UI Responsiveness
Given the Buzz feed contains multiple posts and media
When the page loads or the user scrolls
Then the system should load content efficiently
And:
• Posts should render without layout issues
• Media should load progressively
• UI should remain responsive during interactions</t>
  </si>
  <si>
    <t>Holiday</t>
  </si>
  <si>
    <t>Weekend</t>
  </si>
  <si>
    <t>Other configured attendance statuses</t>
  </si>
  <si>
    <t>And summary totals should accurately reflect attendance distribution"</t>
  </si>
  <si>
    <t>As an HR Manager, Supervisor, or Authorized User, I want to generate and review Attendance Total Summary Reports, So that I can analyze employee attendance statistics, monitor workforce attendance trends, and track total worked hours across selected periods accurately.,"Scenario 15: Handle System and Network Errors</t>
  </si>
  <si>
    <t>Given the user generates, filters, or exports an attendance summary report When a system, server, or network error occurs Then the system should display an appropriate error message And should not display incomplete or corrupted report data"</t>
  </si>
  <si>
    <t>As an HR Manager, Supervisor, or Authorized User, I want to generate and review Attendance Total Summary Reports, So that I can analyze employee attendance statistics, monitor workforce attendance trends, and track total worked hours across selected periods accurately.,"Scenario 16: Handle Session Expiration</t>
  </si>
  <si>
    <t>Given the user is generating or viewing an attendance summary report When the user session expires Then the system should redirect the user to the login page And prevent unauthorized access to attendance report information"</t>
  </si>
  <si>
    <t>As an HR Manager, Supervisor, or Authorized User, I want to generate and review Attendance Total Summary Reports, So that I can analyze employee attendance statistics, monitor workforce attendance trends, and track total worked hours across selected periods accurately.,"Scenario 17: Performance and Usability</t>
  </si>
  <si>
    <t>Given the user accesses the Attendance Total Summary Report page When report data is generated, filtered, or exported Then the system should respond within acceptable performance limits And remain responsive while processing large attendance datasets And display report information correctly across supported screen sizes"</t>
  </si>
  <si>
    <t>As a Project Manager, HR Administrator, or Authorized User, I want to manage customer records associated with projects and timesheets, So that project activities can be linked to the correct customers and reporting data remains accurate and organized.,"Scenario 1: View Customer List</t>
  </si>
  <si>
    <t>Given the user has permission to access the Customers module When the user navigates to the Customers page Then the system should display the list of available customers</t>
  </si>
  <si>
    <t>Including:</t>
  </si>
  <si>
    <t>Customer Name</t>
  </si>
  <si>
    <t>Customer Description</t>
  </si>
  <si>
    <t>Available Actions</t>
  </si>
  <si>
    <t>Search Functionality</t>
  </si>
  <si>
    <t>Pagination Controls (if applicable)"</t>
  </si>
  <si>
    <t>As a Project Manager, HR Administrator, or Authorized User, I want to manage customer records associated with projects and timesheets, So that project activities can be linked to the correct customers and reporting data remains accurate and organized.,"Scenario 2: Add a New Customer</t>
  </si>
  <si>
    <t>Given the user is on the Customers page When the user clicks Add Customer And enters valid customer information And clicks Save Then the system should create the customer successfully And display a success confirmation message And the new customer should appear in the customer list"</t>
  </si>
  <si>
    <t>As a Project Manager, HR Administrator, or Authorized User, I want to manage customer records associated with projects and timesheets, So that project activities can be linked to the correct customers and reporting data remains accurate and organized.,"Scenario 3: Validate Customer Information</t>
  </si>
  <si>
    <t>Given the user is creating or updating a customer When invalid customer information is entered</t>
  </si>
  <si>
    <t>Customer Name left empty</t>
  </si>
  <si>
    <t>Duplicate Customer Name</t>
  </si>
  <si>
    <t>Exceeding field character limits</t>
  </si>
  <si>
    <t>Invalid special characters (if restricted)</t>
  </si>
  <si>
    <t>Then the system should prevent saving the customer record And display appropriate validation messages"</t>
  </si>
  <si>
    <t>As a Project Manager, HR Administrator, or Authorized User, I want to manage customer records associated with projects and timesheets, So that project activities can be linked to the correct customers and reporting data remains accurate and organized.,"Scenario 4: Update Existing Customer Information</t>
  </si>
  <si>
    <t>Given an existing customer record exists When the user edits customer information And clicks Save Then the system should update the customer successfully And display a success confirmation message And the updated information should appear in the customer list"</t>
  </si>
  <si>
    <t>As a Project Manager, HR Administrator, or Authorized User, I want to manage customer records associated with projects and timesheets, So that project activities can be linked to the correct customers and reporting data remains accurate and organized.,"Scenario 5: Delete a Customer Record</t>
  </si>
  <si>
    <t>Given a customer record exists When the user selects the customer for deletion And confirms the deletion action Then the system should remove the customer successfully And display a success confirmation message And When the user cancels the deletion process Then the customer record should remain unchanged"</t>
  </si>
  <si>
    <t>As a Project Manager, HR Administrator, or Authorized User, I want to manage customer records associated with projects and timesheets, So that project activities can be linked to the correct customers and reporting data remains accurate and organized.,"Scenario 6: Prevent Deletion of Customers Linked to Active Records</t>
  </si>
  <si>
    <t>Given a customer is associated with active projects, timesheets, or dependent records When the user attempts to delete the customer Then the system should enforce business rules for dependent records And display an appropriate warning or validation message if deletion is restricted"</t>
  </si>
  <si>
    <t>As a Project Manager, HR Administrator, or Authorized User, I want to manage customer records associated with projects and timesheets, So that project activities can be linked to the correct customers and reporting data remains accurate and organized.,"Scenario 7: Search Customers</t>
  </si>
  <si>
    <t>Given multiple customer records exist When the user searches using customer information</t>
  </si>
  <si>
    <t>Partial Customer Name</t>
  </si>
  <si>
    <t>Then the system should display matching customer records only"</t>
  </si>
  <si>
    <t>As a Project Manager, HR Administrator, or Authorized User, I want to manage customer records associated with projects and timesheets, So that project activities can be linked to the correct customers and reporting data remains accurate and organized.,"Scenario 8: Handle No Customer Records Found</t>
  </si>
  <si>
    <t>Given the user performs a search When no customer records match the search criteria Then the system should display ""No Records Found"" And no customer records should be displayed"</t>
  </si>
  <si>
    <t>As a Project Manager, HR Administrator, or Authorized User, I want to manage customer records associated with projects and timesheets, So that project activities can be linked to the correct customers and reporting data remains accurate and organized.,"Scenario 9: Support Customer List Pagination</t>
  </si>
  <si>
    <t>Given the number of customer records exceeds the configured page size When the user navigates between pages Then the system should display the corresponding customer records correctly And maintain applied search criteria during navigation"</t>
  </si>
  <si>
    <t>As a Project Manager, HR Administrator, or Authorized User, I want to manage customer records associated with projects and timesheets, So that project activities can be linked to the correct customers and reporting data remains accurate and organized.,"Scenario 10: Support Multiple Customer Selection</t>
  </si>
  <si>
    <t>Given multiple customer records exist When the user selects multiple customers from the list Then the system should allow bulk selection according to configured business rules And When bulk deletion is supported And the user confirms the action Then the selected customer records should be processed successfully"</t>
  </si>
  <si>
    <t>As a Project Manager, HR Administrator, or Authorized User, I want to manage customer records associated with projects and timesheets, So that project activities can be linked to the correct customers and reporting data remains accurate and organized.,"Scenario 11: Restrict Access Based on User Permissions</t>
  </si>
  <si>
    <t>Given users have different security roles When a user accesses the Customers page Then the system should display only actions permitted for that role</t>
  </si>
  <si>
    <t>View Customer</t>
  </si>
  <si>
    <t>Add Customer</t>
  </si>
  <si>
    <t>Edit Customer</t>
  </si>
  <si>
    <t>Delete Customer</t>
  </si>
  <si>
    <t>And When an unauthorized user attempts to access the page directly through the URL Then the system should deny access And display an authorization message"</t>
  </si>
  <si>
    <t>As a Project Manager, HR Administrator, or Authorized User, I want to manage customer records associated with projects and timesheets, So that project activities can be linked to the correct customers and reporting data remains accurate and organized.,"Scenario 12: Persist Customer Information</t>
  </si>
  <si>
    <t>Given customer information has been created, updated, or deleted When the user refreshes the page or logs in again Then the system should retain all saved customer information correctly And display the latest customer data"</t>
  </si>
  <si>
    <t>As a Project Manager, HR Administrator, or Authorized User, I want to manage customer records associated with projects and timesheets, So that project activities can be linked to the correct customers and reporting data remains accurate and organized.,"Scenario 13: Maintain Customer Relationships Across Modules</t>
  </si>
  <si>
    <t>Given a customer is associated with projects or timesheet records When the customer information is viewed in related modules Then the system should display consistent customer information across all linked records And maintain data integrity between modules"</t>
  </si>
  <si>
    <t>As a Project Manager, HR Administrator, or Authorized User, I want to manage customer records associated with projects and timesheets, So that project activities can be linked to the correct customers and reporting data remains accurate and organized.,"Scenario 14: Handle System and Network Errors</t>
  </si>
  <si>
    <t>Given the user performs a customer management action When a system, server, or network error occurs Then the system should display an appropriate error message And should not save incomplete or corrupted customer information"</t>
  </si>
  <si>
    <t>As a Project Manager, HR Administrator, or Authorized User, I want to manage customer records associated with projects and timesheets, So that project activities can be linked to the correct customers and reporting data remains accurate and organized.,"Scenario 15: Handle Session Expiration</t>
  </si>
  <si>
    <t>Given the user is creating, updating, or deleting customer information When the user session expires before completing the action Then the system should redirect the user to the login page And prevent unauthorized customer record modifications"</t>
  </si>
  <si>
    <t>As a Project Manager, HR Administrator, or Authorized User, I want to manage customer records associated with projects and timesheets, So that project activities can be linked to the correct customers and reporting data remains accurate and organized.,"Scenario 16: Validate Customer List UI and Usability</t>
  </si>
  <si>
    <t>Given the Customers page is displayed When the user interacts with customer records Then tables, forms, buttons, search fields, and action controls should display correctly And confirmation dialogs should appear before destructive actions And the page should remain responsive across supported screen sizes"</t>
  </si>
  <si>
    <t>As a Project Manager, HR Administrator, or Authorized User, I want to manage customer records associated with projects and timesheets, So that project activities can be linked to the correct customers and reporting data remains accurate and organized.,"Scenario 17: Performance and Large Customer Dataset Handling</t>
  </si>
  <si>
    <t>Given a large number of customer records exist When the user loads, searches, updates, or deletes customer records Then the system should complete operations within acceptable performance limits And remain responsive while processing customer data And display customer records without data loss or display issues"</t>
  </si>
  <si>
    <t>As a Project Manager, HR Administrator, or Authorized User, I want to manage project records, So that employee timesheets, activities, customers, and project-related work can be organized, tracked, and reported accurately.,"Scenario 1: View Project List</t>
  </si>
  <si>
    <t>Given the user has permission to access the Projects module When the user navigates to the Projects page Then the system should display the list of available projects</t>
  </si>
  <si>
    <t>Project Name</t>
  </si>
  <si>
    <t>Project Description</t>
  </si>
  <si>
    <t>Project Status</t>
  </si>
  <si>
    <t>As a Project Manager, HR Administrator, or Authorized User, I want to manage project records, So that employee timesheets, activities, customers, and project-related work can be organized, tracked, and reported accurately.,"Scenario 2: Add a New Project</t>
  </si>
  <si>
    <t>Given the user is on the Projects page When the user clicks Add Project And enters valid project information And clicks Save Then the system should create the project successfully And display a success confirmation message And the new project should appear in the project list"</t>
  </si>
  <si>
    <t>As a Project Manager, HR Administrator, or Authorized User, I want to manage project records, So that employee timesheets, activities, customers, and project-related work can be organized, tracked, and reported accurately.,"Scenario 3: Validate Project Information</t>
  </si>
  <si>
    <t>Given the user is creating or updating a project When invalid project information is entered</t>
  </si>
  <si>
    <t>Project Name left empty</t>
  </si>
  <si>
    <t>Customer not selected</t>
  </si>
  <si>
    <t>Duplicate Project Name under the same customer</t>
  </si>
  <si>
    <t>Then the system should prevent saving the project record And display appropriate validation messages"</t>
  </si>
  <si>
    <t>As a Project Manager, HR Administrator, or Authorized User, I want to manage project records, So that employee timesheets, activities, customers, and project-related work can be organized, tracked, and reported accurately.,"Scenario 4: Update Existing Project Information</t>
  </si>
  <si>
    <t>Given an existing project record exists When the user edits project information And clicks Save Then the system should update the project successfully And display a success confirmation message And the updated information should appear in the project list"</t>
  </si>
  <si>
    <t>As a Project Manager, HR Administrator, or Authorized User, I want to manage project records, So that employee timesheets, activities, customers, and project-related work can be organized, tracked, and reported accurately.,"Scenario 5: Delete a Project Record</t>
  </si>
  <si>
    <t>Given a project record exists When the user selects the project for deletion And confirms the deletion action Then the system should remove the project successfully And display a success confirmation message And When the user cancels the deletion process Then the project record should remain unchanged"</t>
  </si>
  <si>
    <t>As a Project Manager, HR Administrator, or Authorized User, I want to manage project records, So that employee timesheets, activities, customers, and project-related work can be organized, tracked, and reported accurately.,"Scenario 6: Prevent Deletion of Projects Linked to Active Records</t>
  </si>
  <si>
    <t>Given a project is associated with timesheets, activities, reports, or dependent records When the user attempts to delete the project Then the system should enforce business rules for linked records And display an appropriate warning or validation message if deletion is restricted"</t>
  </si>
  <si>
    <t>As a Project Manager, HR Administrator, or Authorized User, I want to manage project records, So that employee timesheets, activities, customers, and project-related work can be organized, tracked, and reported accurately.,"Scenario 7: Assign and Manage Project Activities</t>
  </si>
  <si>
    <t>Given a project record exists When the user adds, updates, or removes project activities Then the system should save the activity changes successfully And maintain the relationship between the project and its activities</t>
  </si>
  <si>
    <t>Activity Name</t>
  </si>
  <si>
    <t>Activity Status</t>
  </si>
  <si>
    <t>Associated Project"</t>
  </si>
  <si>
    <t>As a Project Manager, HR Administrator, or Authorized User, I want to manage project records, So that employee timesheets, activities, customers, and project-related work can be organized, tracked, and reported accurately.,"Scenario 8: Search Projects</t>
  </si>
  <si>
    <t>Given multiple project records exist When the user searches using project information</t>
  </si>
  <si>
    <t>Partial Project Name</t>
  </si>
  <si>
    <t>Then the system should display matching project records only"</t>
  </si>
  <si>
    <t>As a Project Manager, HR Administrator, or Authorized User, I want to manage project records, So that employee timesheets, activities, customers, and project-related work can be organized, tracked, and report accurately.,"Scenario 9: Handle No Project Records Found</t>
  </si>
  <si>
    <t>Given the user performs a search When no project records match the search criteria Then the system should display ""No Records Found"" And no project records should be displayed"</t>
  </si>
  <si>
    <t>As a Project Manager, HR Administrator, or Authorized User, I want to manage project records, So that employee timesheets, activities, customers, and project-related work can be organized, tracked, and reported accurately.,"Scenario 10: Support Project List Pagination</t>
  </si>
  <si>
    <t>Given the number of project records exceeds the configured page size When the user navigates between pages Then the system should display the corresponding project records correctly And maintain applied search criteria during navigation"</t>
  </si>
  <si>
    <t>As a Project Manager, HR Administrator, or Authorized User, I want to manage project records, So that employee timesheets, activities, customers, and project-related work can be organized, tracked, and reported accurately.,"Scenario 11: Support Multiple Project Selection</t>
  </si>
  <si>
    <t>Given multiple project records exist When the user selects multiple projects from the list Then the system should allow bulk selection according to configured business rules And When bulk deletion is supported And the user confirms the action Then the selected project records should be processed successfully"</t>
  </si>
  <si>
    <t>As a Project Manager, HR Administrator, or Authorized User, I want to manage project records, So that employee timesheets, activities, customers, and project-related work can be organized, tracked, and reported accurately.,"Scenario 12: Restrict Access Based on User Permissions</t>
  </si>
  <si>
    <t>Given users have different security roles When a user accesses the Projects page Then the system should display only actions permitted for that role</t>
  </si>
  <si>
    <t>View Project</t>
  </si>
  <si>
    <t>Add Project</t>
  </si>
  <si>
    <t>Edit Project</t>
  </si>
  <si>
    <t>Delete Project</t>
  </si>
  <si>
    <t>Manage Activities</t>
  </si>
  <si>
    <t>As a Project Manager, HR Administrator, or Authorized User, I want to manage project records, So that employee timesheets, activities, customers, and project-related work can be organized, tracked, and reported accurately.,"Scenario 13: Persist Project Information</t>
  </si>
  <si>
    <t>Given project information has been created, updated, or deleted When the user refreshes the page or logs in again Then the system should retain all saved project information correctly And display the latest project data"</t>
  </si>
  <si>
    <t>As a Project Manager, HR Administrator, or Authorized User, I want to manage project records, So that employee timesheets, activities, customers, and project-related work can be organized, tracked, and reported accurately.,"Scenario 14: Maintain Project Relationships Across Modules</t>
  </si>
  <si>
    <t>Given a project is associated with customers, activities, timesheets, or reports When the project information is viewed from related modules Then the system should display consistent project information across all linked records And maintain data integrity between modules"</t>
  </si>
  <si>
    <t>As a Project Manager, HR Administrator, or Authorized User, I want to manage project records, So that employee timesheets, activities, customers, and project-related work can be organized, tracked, and reported accurately.,"Scenario 15: Handle System and Network Errors</t>
  </si>
  <si>
    <t>Given the user performs a project management action When a system, server, or network error occurs Then the system should display an appropriate error message And should not save incomplete or corrupted project information"</t>
  </si>
  <si>
    <t>As a Project Manager, HR Administrator, or Authorized User, I want to manage project records, So that employee timesheets, activities, customers, and project-related work can be organized, tracked, and reported accurately.,"Scenario 16: Handle Session Expiration</t>
  </si>
  <si>
    <t>Given the user is creating, updating, or deleting project information When the user session expires before completing the action Then the system should redirect the user to the login page And prevent unauthorized project modifications"</t>
  </si>
  <si>
    <t>As a Project Manager, HR Administrator, or Authorized User, I want to manage project records, So that employee timesheets, activities, customers, and project-related work can be organized, tracked, and reported accurately.,"Scenario 17: Validate Project UI and Usability</t>
  </si>
  <si>
    <t>Given the Projects page is displayed When the user interacts with project records Then tables, forms, buttons, search fields, and action controls should display correctly And confirmation dialogs should appear before destructive actions And the page should remain responsive across supported screen sizes"</t>
  </si>
  <si>
    <t>As a Project Manager, HR Administrator, or Authorized User, I want to manage project records, So that employee timesheets, activities, customers, and project-related work can be organized, tracked, and reported accurately.,"Scenario 18: Performance and Large Project Dataset Handling</t>
  </si>
  <si>
    <t>Given a large number of project records exist When the user loads, searches, updates, deletes, or manages project records Then the system should complete operations within acceptable performance limits And remain responsive while processing project data And display project records without data loss or display issues"</t>
  </si>
  <si>
    <t>TC_ID</t>
  </si>
  <si>
    <t>Scenario</t>
  </si>
  <si>
    <t>AC ID</t>
  </si>
  <si>
    <t>Preconditions</t>
  </si>
  <si>
    <t>Test Steps</t>
  </si>
  <si>
    <t>Test Data</t>
  </si>
  <si>
    <t>Expected Result</t>
  </si>
  <si>
    <t>Postconditions</t>
  </si>
  <si>
    <t>Actual Result</t>
  </si>
  <si>
    <t>Author</t>
  </si>
  <si>
    <t>Automated</t>
  </si>
  <si>
    <t>Execution Cycle</t>
  </si>
  <si>
    <t>Priorty</t>
  </si>
  <si>
    <t>Reviewed by</t>
  </si>
  <si>
    <t>Notes</t>
  </si>
  <si>
    <t>TC_LOGIN_001</t>
  </si>
  <si>
    <t>Login</t>
  </si>
  <si>
    <t>AC_001</t>
  </si>
  <si>
    <t>Verify successful login with valid Username and password</t>
  </si>
  <si>
    <t>Ensure that the user can log in successfully using valid registered email and password</t>
  </si>
  <si>
    <t>User is on login page</t>
  </si>
  <si>
    <t>1. Enter valid username
2. Enter valid password
3. Click "Login"</t>
  </si>
  <si>
    <t>username: Admin
Password: admin123</t>
  </si>
  <si>
    <t>User logs in successfully and is 
redirected to the dashboard/home page</t>
  </si>
  <si>
    <t>User session is created and 
user is logged in</t>
  </si>
  <si>
    <t>User logged in successfully and 
redirected to dashboard</t>
  </si>
  <si>
    <t>Passed</t>
  </si>
  <si>
    <t>Afram</t>
  </si>
  <si>
    <t>Yes</t>
  </si>
  <si>
    <t>v1.0</t>
  </si>
  <si>
    <t>Medium</t>
  </si>
  <si>
    <t>TC_LOGIN_002</t>
  </si>
  <si>
    <t>AC_002</t>
  </si>
  <si>
    <t>Verify system shows warning message after user inactivity (10 minutes)</t>
  </si>
  <si>
    <t>Ensure that the system detects user inactivity and displays a warning message after a 
defined idle time (e.g., 10 minutes)</t>
  </si>
  <si>
    <t>User is logged in</t>
  </si>
  <si>
    <t>1. Login with valid email and password
2. Do not perform any action 
(no clicks / typing / scrolling)
3. Wait for 10 minutes</t>
  </si>
  <si>
    <t>System displays warning message like 
"You have been inactive for a while"</t>
  </si>
  <si>
    <t>Session is still active
 until user takes action</t>
  </si>
  <si>
    <t>No warning message displayed
 after 10 minutes</t>
  </si>
  <si>
    <t>Failed</t>
  </si>
  <si>
    <t>Team member</t>
  </si>
  <si>
    <t>Test cases</t>
  </si>
  <si>
    <t>TC_LOGIN_003</t>
  </si>
  <si>
    <t>AC_003</t>
  </si>
  <si>
    <t>Verify user is automatically logged out after inactivity warning</t>
  </si>
  <si>
    <t>Ensure system logs out user automatically if no action is taken after warning</t>
  </si>
  <si>
    <t>Warning message already displayed</t>
  </si>
  <si>
    <t>1. Wait for warning message
2. Do not click anything
3. Wait additional 1–2 minutes</t>
  </si>
  <si>
    <t>User is automatically logged out and redirected to login page</t>
  </si>
  <si>
    <t>Session terminated</t>
  </si>
  <si>
    <t>User remains logged in</t>
  </si>
  <si>
    <t>Critical</t>
  </si>
  <si>
    <t>TC_LOGIN_004</t>
  </si>
  <si>
    <t>AC_004</t>
  </si>
  <si>
    <t>Verify system handles expired CSRF token gracefully during login</t>
  </si>
  <si>
    <t>Ensure that when the CSRF token expires, the system provides a clear message 
or allows user to recover instead of blocking login abruptly</t>
  </si>
  <si>
    <t>Page has been idle for a period (token expiration)</t>
  </si>
  <si>
    <t>1. Navigate to login page
2. Wait for a period of time (e.g., 5–10 minutes)
3. Enter valid username and password
4. Click "Login"</t>
  </si>
  <si>
    <t>Username: Admin
Password: admin123</t>
  </si>
  <si>
    <t>System should either:
Allow login successfully, OR
Display a user-friendly message like:
"Session expired, please refresh the page"</t>
  </si>
  <si>
    <t>User can recover and proceed with login</t>
  </si>
  <si>
    <t>System displays "CSRF token validation failed" and blocks login</t>
  </si>
  <si>
    <t>AY</t>
  </si>
  <si>
    <t>TC_LOGIN_005</t>
  </si>
  <si>
    <t>AC_005</t>
  </si>
  <si>
    <t>Verify system requests identity verification after incorrect password 
attempts using username</t>
  </si>
  <si>
    <t>Ensure that if the user enters an incorrect password, the system allows the user to verify identity using their username to confirm account ownership</t>
  </si>
  <si>
    <t>User is registered with a valid username</t>
  </si>
  <si>
    <t xml:space="preserve">1. Enter valid username
2. Enter incorrect password
3. Click "Login"
4. System prompts for identity verification
5. Confirm username / proceed with verification step
6. Submit
</t>
  </si>
  <si>
    <t>Username: Admin
Password: wrong123</t>
  </si>
  <si>
    <t>System verifies user identity and allows password reset or secure login flow</t>
  </si>
  <si>
    <t>User proceeds to secure verification or password reset process</t>
  </si>
  <si>
    <t>System prompted for verification and allowed user to continue</t>
  </si>
  <si>
    <t>Omar</t>
  </si>
  <si>
    <t>TC_LOGIN_006</t>
  </si>
  <si>
    <t>AC_006</t>
  </si>
  <si>
    <t>Verify account lockout after 5 failed login attempts</t>
  </si>
  <si>
    <t>Ensure account is locked after multiple failed attempts</t>
  </si>
  <si>
    <t>User is registered</t>
  </si>
  <si>
    <t>1. Enter valid username
2. Enter wrong password
3. Repeat 5 times
4. Try login again</t>
  </si>
  <si>
    <t>Account locked for 20 minutes + proper message</t>
  </si>
  <si>
    <t>User cannot login temporarily</t>
  </si>
  <si>
    <t>Account not locked</t>
  </si>
  <si>
    <t>Aly</t>
  </si>
  <si>
    <t>TC_LOGIN_007</t>
  </si>
  <si>
    <t>AC_007</t>
  </si>
  <si>
    <t>Verify "Forgot Password" link redirects correctly</t>
  </si>
  <si>
    <t>Ensure user can navigate to password reset page</t>
  </si>
  <si>
    <t>1. Click "Forgot your password?</t>
  </si>
  <si>
    <t>User redirected to password reset page</t>
  </si>
  <si>
    <t>User is redirected to the password reset page</t>
  </si>
  <si>
    <t>Password reset page 
is displayed and user can initiate reset process</t>
  </si>
  <si>
    <t>User is successfully redirected to the password reset page</t>
  </si>
  <si>
    <t>Total</t>
  </si>
  <si>
    <t>TC_LOGIN_008</t>
  </si>
  <si>
    <t>AC_008</t>
  </si>
  <si>
    <t>Verify unauthorized users cannot access dashboard</t>
  </si>
  <si>
    <t>Ensure restricted pages are not accessible without authentication</t>
  </si>
  <si>
    <t>User is not logged in</t>
  </si>
  <si>
    <t>1. Navigate directly to dashboard URL</t>
  </si>
  <si>
    <t>N/A</t>
  </si>
  <si>
    <t>User is redirected to login page</t>
  </si>
  <si>
    <t>Access is denied</t>
  </si>
  <si>
    <t>User successfully redirected to login page</t>
  </si>
  <si>
    <t>TC_LOGIN_009</t>
  </si>
  <si>
    <t>AC_009</t>
  </si>
  <si>
    <t>Verify user cannot access dashboard after logout using browser back button</t>
  </si>
  <si>
    <t>Ensure that after logging out, the user cannot navigate back to the dashboard using
 the browser back button and must be redirected to the login page</t>
  </si>
  <si>
    <t>1. Enter valid username and password
2. Click "Login"
3. Verify user is redirected to Dashboard
4. Click "Logout"
5. Click browser Back button</t>
  </si>
  <si>
    <t>User should be redirected to the
 login page and not allowed to access the dashboard</t>
  </si>
  <si>
    <t>Session is terminated 
and protected pages are inaccessible</t>
  </si>
  <si>
    <t>User is able to access the
 dashboard after clicking back</t>
  </si>
  <si>
    <t>EXECUTION OVERVIEW</t>
  </si>
  <si>
    <t>TC_LOGIN_010</t>
  </si>
  <si>
    <t>AC_010</t>
  </si>
  <si>
    <t>Verify user cannot access dashboard using Back and Refresh after logout</t>
  </si>
  <si>
    <t>Ensure that after logout, using browser Back followed by Refresh does not allow
 access to the dashboard and always redirects to login page</t>
  </si>
  <si>
    <t>1. Enter valid username and password
2. Click "Login"
3. Verify user is redirected to Dashboard
4. Click browser Back button without "Logout"
5. Click browser Refresh (F5)</t>
  </si>
  <si>
    <t>User should be redirected to
 login page and should not access dashboard</t>
  </si>
  <si>
    <t>Session is terminated
 and dashboard is inaccessible</t>
  </si>
  <si>
    <t>User is able to access
 dashboard after Back and Refresh without logging in</t>
  </si>
  <si>
    <t>Test Cases Passed:</t>
  </si>
  <si>
    <t>TC_LOGIN_011</t>
  </si>
  <si>
    <t>AC_011</t>
  </si>
  <si>
    <t>Verify system prevents SQL injection</t>
  </si>
  <si>
    <t>Ensure inputs are sanitized against SQL injection</t>
  </si>
  <si>
    <t>1. Enter SQL injection payload in username
2. Enter any password
3. Click Login</t>
  </si>
  <si>
    <t>Username: ' OR 1=1 --
Password: any</t>
  </si>
  <si>
    <t>Login fails and input is sanitized</t>
  </si>
  <si>
    <t>System remains secure</t>
  </si>
  <si>
    <t>user has not logged in</t>
  </si>
  <si>
    <t>Test Cases Failed:</t>
  </si>
  <si>
    <t>TC_LOGIN_012</t>
  </si>
  <si>
    <t>AC_012</t>
  </si>
  <si>
    <t>Verify copy and paste behavior in password field</t>
  </si>
  <si>
    <t>Ensure system handles paste actions correctly in password field</t>
  </si>
  <si>
    <t>1. Copy password
2. Paste into password field
3. Click "Login"</t>
  </si>
  <si>
    <t>The Password field should not accept the paste action</t>
  </si>
  <si>
    <t>procedure of copying and 
pasting was successful</t>
  </si>
  <si>
    <t>Low</t>
  </si>
  <si>
    <t>Total Test Cases Executed:</t>
  </si>
  <si>
    <t>TC_LOGIN_013</t>
  </si>
  <si>
    <t>AC_013</t>
  </si>
  <si>
    <t>Verify password field is masked</t>
  </si>
  <si>
    <t>Ensure password is hidden While writing</t>
  </si>
  <si>
    <t xml:space="preserve">
1. Enter password
</t>
  </si>
  <si>
    <t>Password: 123456</t>
  </si>
  <si>
    <t>Password should be hidden (••••••)</t>
  </si>
  <si>
    <t>Password not visible</t>
  </si>
  <si>
    <t>Password masked by Eye icon toggle is successfully</t>
  </si>
  <si>
    <t>Automation</t>
  </si>
  <si>
    <t>TC_LOGIN_014</t>
  </si>
  <si>
    <t>AC_014</t>
  </si>
  <si>
    <t>Verify session persists after page refresh</t>
  </si>
  <si>
    <t>Ensure user remains logged in after refreshing the page</t>
  </si>
  <si>
    <t>1. Log in successfully
2. Refresh the page</t>
  </si>
  <si>
    <t>Session remains active</t>
  </si>
  <si>
    <t>User is logged after refresh</t>
  </si>
  <si>
    <t>TC_LOGIN_015</t>
  </si>
  <si>
    <t>AC_015</t>
  </si>
  <si>
    <t>Verify login page responsiveness across devices</t>
  </si>
  <si>
    <t>Ensure login page works on mobile/tablet</t>
  </si>
  <si>
    <t>Open site on different screen sizes</t>
  </si>
  <si>
    <t>1. Open on desktop
2. Open on tablet
3. Open on mobile</t>
  </si>
  <si>
    <t>Layout adapts correctly on all devices</t>
  </si>
  <si>
    <t>Usable UI</t>
  </si>
  <si>
    <t>Layout successfully</t>
  </si>
  <si>
    <t>TC_LOGIN_016</t>
  </si>
  <si>
    <t>AC_016</t>
  </si>
  <si>
    <t>Verify login page UI elements are displayed correctly</t>
  </si>
  <si>
    <t>Ensure all required UI components are visible</t>
  </si>
  <si>
    <t>1. Check presence of username field
2. Check password field
3. Check login button
4. Check logo</t>
  </si>
  <si>
    <t>All UI elements displayed correctly</t>
  </si>
  <si>
    <t>UI ready for interaction</t>
  </si>
  <si>
    <t>elements displayed correctly</t>
  </si>
  <si>
    <t>Test Case priorties</t>
  </si>
  <si>
    <t>TC_LOGIN_017</t>
  </si>
  <si>
    <t>AC_017</t>
  </si>
  <si>
    <t>Verify whether username field is case-sensitive</t>
  </si>
  <si>
    <t>Ensure system behavior when entering username in different letter cases</t>
  </si>
  <si>
    <t>1. Enter username: admin
2. Enter valid password
3. Click "Login"</t>
  </si>
  <si>
    <t>Username: admin (actual: Admin)
Password: admin123</t>
  </si>
  <si>
    <t>Login fails (case-sensitive
 username)</t>
  </si>
  <si>
    <t>User logged in or access
 denied based on system behavior</t>
  </si>
  <si>
    <t>User logged in successfully</t>
  </si>
  <si>
    <t>TC_LOGIN_018</t>
  </si>
  <si>
    <t>AC_018</t>
  </si>
  <si>
    <t>Verify password is case-sensitive</t>
  </si>
  <si>
    <t>Ensure that login fails when password case is incorrect</t>
  </si>
  <si>
    <t>1. Enter valid username
2. Enter correct password but with different case
3. Click "Login"</t>
  </si>
  <si>
    <t>Username: Admin
Password: Admin123 (actual: admin123)</t>
  </si>
  <si>
    <t>Login should fail with "Invalid credentials"</t>
  </si>
  <si>
    <t>User not logged in</t>
  </si>
  <si>
    <t>TC_LOGIN_019</t>
  </si>
  <si>
    <t>AC_019</t>
  </si>
  <si>
    <t>Verify system trims leading and trailing spaces in input fields</t>
  </si>
  <si>
    <t>Ensure spaces before and after input values are ignored</t>
  </si>
  <si>
    <t>1. Enter username with leading and trailing spaces
2. Enter valid password
3. Click "Login"</t>
  </si>
  <si>
    <t>Username: " Admin "
Password: admin123</t>
  </si>
  <si>
    <t>Login failed due to spaces</t>
  </si>
  <si>
    <t>Login CSRF token validation failed</t>
  </si>
  <si>
    <t>Delete</t>
  </si>
  <si>
    <t>TC_LOGIN_020</t>
  </si>
  <si>
    <t>AC_020</t>
  </si>
  <si>
    <t>Verify login fails with invalid username</t>
  </si>
  <si>
    <t>Ensure that the system does not allow login with an unregistered or invalid username</t>
  </si>
  <si>
    <t>1. Enter Invalid email
2. Enter valid password
3. Click "Login"</t>
  </si>
  <si>
    <t>username: wrong
Password: admin123</t>
  </si>
  <si>
    <t>Error message "Invalid username or password" is displayed</t>
  </si>
  <si>
    <t>TC_LOGIN_021</t>
  </si>
  <si>
    <t>AC_021</t>
  </si>
  <si>
    <t>Verify login fails with incorrect password</t>
  </si>
  <si>
    <t>Ensure that the system rejects login when password is incorrect</t>
  </si>
  <si>
    <t>1. Enter valid email
2. Enter Wrong password
3. Click "Login"</t>
  </si>
  <si>
    <t>username: Admin
Password: wrong123</t>
  </si>
  <si>
    <t>TC_LOGIN_022</t>
  </si>
  <si>
    <t>AC_022</t>
  </si>
  <si>
    <t>Verify validation when username field is empty</t>
  </si>
  <si>
    <t>Ensure system shows validation when username is empty</t>
  </si>
  <si>
    <t>1. Leave email empty
2. Enter password
3. Click "Login"</t>
  </si>
  <si>
    <t>username: 
Password: admin123</t>
  </si>
  <si>
    <t>"username is required" message displayed</t>
  </si>
  <si>
    <t>Login blocked</t>
  </si>
  <si>
    <t>validation message shown</t>
  </si>
  <si>
    <t>TC_LOGIN_023</t>
  </si>
  <si>
    <t>AC_023</t>
  </si>
  <si>
    <t>Verify validation when password field is empty</t>
  </si>
  <si>
    <t>Ensure system shows validation when password is empty</t>
  </si>
  <si>
    <t>1. Enter email
2. Leave password empty
3. Click "Login"</t>
  </si>
  <si>
    <t xml:space="preserve">username: Admin
Password: </t>
  </si>
  <si>
    <t>"Password is required" message displayed</t>
  </si>
  <si>
    <t>TC_LOGIN_024</t>
  </si>
  <si>
    <t>AC_024</t>
  </si>
  <si>
    <t>Verify login with Enter key</t>
  </si>
  <si>
    <t>Ensure user can submit login by pressing Enter</t>
  </si>
  <si>
    <t>1. Enter valid username
2. Enter valid password
3. Press Enter key</t>
  </si>
  <si>
    <t>User logs in successfully</t>
  </si>
  <si>
    <t>User session created</t>
  </si>
  <si>
    <t>TC_LOGIN_025</t>
  </si>
  <si>
    <t>AC_025</t>
  </si>
  <si>
    <t>Verify login with both fields empty</t>
  </si>
  <si>
    <t>Ensure validation for both empty fields</t>
  </si>
  <si>
    <t>1. Leave username empty
2. Leave password empty
3. Click Login</t>
  </si>
  <si>
    <t xml:space="preserve">Username:
Password: </t>
  </si>
  <si>
    <t>"Required" shown under both fields</t>
  </si>
  <si>
    <t>Required messages shown</t>
  </si>
  <si>
    <t>TC_LOGIN_026</t>
  </si>
  <si>
    <t>AC_026</t>
  </si>
  <si>
    <t>Verify login button is disabled during processing</t>
  </si>
  <si>
    <t>Ensure double-click prevention during login</t>
  </si>
  <si>
    <t>1. Enter valid credentials
2. Click Login rapidly twice</t>
  </si>
  <si>
    <t>Only one login request processed</t>
  </si>
  <si>
    <t>Single session created</t>
  </si>
  <si>
    <t>Button allows multiple clicks</t>
  </si>
  <si>
    <t>TC_LOGIN_027</t>
  </si>
  <si>
    <t>AC_027</t>
  </si>
  <si>
    <t>Verify password field toggle visibility</t>
  </si>
  <si>
    <t>Ensure eye icon toggles password visibility</t>
  </si>
  <si>
    <t>1. Enter password
2. Click eye icon to show
3. Click again to hide</t>
  </si>
  <si>
    <t>Password: admin123</t>
  </si>
  <si>
    <t>Password toggles between masked and visible</t>
  </si>
  <si>
    <t>Password display changes</t>
  </si>
  <si>
    <t>Toggle works correctly</t>
  </si>
  <si>
    <t>TC_LOGIN_028</t>
  </si>
  <si>
    <t>AC_028</t>
  </si>
  <si>
    <t>Verify footer links and social media icons</t>
  </si>
  <si>
    <t>Ensure all footer elements are functional</t>
  </si>
  <si>
    <t>1. Check copyright text
2. Click OrangeHRM link
3. Click each social media icon</t>
  </si>
  <si>
    <t>All links open correct pages in new tabs</t>
  </si>
  <si>
    <t>Footer elements verified</t>
  </si>
  <si>
    <t>All links work correctly</t>
  </si>
  <si>
    <t>TC_LOGIN_029</t>
  </si>
  <si>
    <t>AC_031</t>
  </si>
  <si>
    <t>Verify login with both fields invalid</t>
  </si>
  <si>
    <t>Ensure that the user cann't log in successfully using invalid email and password</t>
  </si>
  <si>
    <t>1. Enter invalid email
2. Enter invalid password
3. Click "Login"</t>
  </si>
  <si>
    <t>Email: notadmin
Password: wrong123</t>
  </si>
  <si>
    <t>login failed</t>
  </si>
  <si>
    <t>User failed to log in successfully and 
redirect to dashboard</t>
  </si>
  <si>
    <t>TC_LOGIN_030</t>
  </si>
  <si>
    <t>AC_032</t>
  </si>
  <si>
    <t>Verfiy double-click login bypass with invalid password</t>
  </si>
  <si>
    <t>When a user enters a valid username and an incorrect password, clicking the Login button twice in quick succession bypasses authentication and grants access to the dashboard</t>
  </si>
  <si>
    <t>1. Browser is open and navigated to the OrangeHRM login page. 
2. No user is currently logged in. 
3. Login page is fully loaded.</t>
  </si>
  <si>
    <t>1. Navigate to https://opensource-demo.orangehrmlive.com/ 
2. Enter a valid username in the Username field. 
3. Enter an incorrect password in the Password field.
4. Rapidly click the "Login" button two times in quick succession.
5. Observe the application behavior and the page navigated to.</t>
  </si>
  <si>
    <t>Username: Admin 
Password: WrongPassword123!</t>
  </si>
  <si>
    <t>The system should display an "Invalid credentials" error message and remain on the login page. The user should NOT be authenticated or redirected to the Dashboard.</t>
  </si>
  <si>
    <t>User remains on the login page. No session or authentication token is created.</t>
  </si>
  <si>
    <t>The system authenticates the user and redirects to the Dashboard page despite the incorrect password being entered. Login is successful after the second click.</t>
  </si>
  <si>
    <t>TC_LOGIN_031</t>
  </si>
  <si>
    <t>AC_033</t>
  </si>
  <si>
    <t>Login credentials persist in fields after logout</t>
  </si>
  <si>
    <t>After a user logs out of the application, the login page fields (Username and Password) still retain the previously entered credentials instead of being cleared. This is a security vulnerability as it exposes credentials to the next user of the same browser session.</t>
  </si>
  <si>
    <t>1. User is currently logged into the OrangeHRM application with valid credentials. 
2. The dashboard or any internal page is displayed.</t>
  </si>
  <si>
    <t>1. Login to the application using valid credentials (Username and Password). 
2. Verify successful login (Dashboard is displayed). 
3. Click on the user profile dropdown in the top-right corner. 
4. Click the "Logout" option. 
5. Observe the login page after being redirected. 
6. Check the Username and Password fields for any pre-filled values.</t>
  </si>
  <si>
    <t>Username: Admin 
Password: admin123</t>
  </si>
  <si>
    <t>After logout, the login page should be displayed with both the Username and Password fields completely empty/cleared. No previously entered credentials should be visible or pre-filled.</t>
  </si>
  <si>
    <t>User is redirected to a clean login page with empty Username and Password fields. No session data or cached credentials remain.</t>
  </si>
  <si>
    <t>After logout, the login page is displayed but the Username and Password fields still contain the previously entered credentials (Admin / admin123). The fields are not cleared upon logout.</t>
  </si>
  <si>
    <t>TC_LOGIN_032</t>
  </si>
  <si>
    <t>Verify login page title is correct in browser tab</t>
  </si>
  <si>
    <t>Ensure the browser tab displays the correct page title for the login page</t>
  </si>
  <si>
    <t>User navigates to login page URL</t>
  </si>
  <si>
    <t>1. Open https://opensource-demo.orangehrmlive.com/web/index.php/auth/login
2. Check the browser tab title</t>
  </si>
  <si>
    <t>Browser tab title should display 'OrangeHRM'</t>
  </si>
  <si>
    <t>Login page is loaded</t>
  </si>
  <si>
    <t> Displayed Successfully</t>
  </si>
  <si>
    <t> </t>
  </si>
  <si>
    <t>TC_LOGIN_033</t>
  </si>
  <si>
    <t>Verify login page displays OrangeHRM logo and tagline</t>
  </si>
  <si>
    <t>Ensure the OrangeHRM logo and tagline 'Wow Factor' are visible on the login page</t>
  </si>
  <si>
    <t>1. Navigate to login page
2. Visually inspect logo area
3. Check for tagline text</t>
  </si>
  <si>
    <t>OrangeHRM logo and tagline 'Wow Factor' are displayed correctly</t>
  </si>
  <si>
    <t>Login page loaded</t>
  </si>
  <si>
    <t>OrangeHRM logo (ohrm_logo.png) and branding image (ohrm_branding.png) are both visible on the login page.</t>
  </si>
  <si>
    <t>TC_LOGIN_034</t>
  </si>
  <si>
    <t>Verify Tab key navigates between Username and Password fields</t>
  </si>
  <si>
    <t>Ensure keyboard Tab key moves focus from Username to Password to Login button</t>
  </si>
  <si>
    <t>1. Click on Username field
2. Press Tab key
3. Observe focus moves to Password
4. Press Tab again
5. Observe focus moves to Login button</t>
  </si>
  <si>
    <t>Focus moves: Username → Password → Login button in correct order</t>
  </si>
  <si>
    <t>Tab key from Username field correctly moves focus to the Password field (placeholder='Password' confirmed as focused element).</t>
  </si>
  <si>
    <t>TC_LOGIN_035</t>
  </si>
  <si>
    <t>Verify login with username containing only spaces</t>
  </si>
  <si>
    <t>Ensure login fails when username contains only whitespace characters</t>
  </si>
  <si>
    <t>1. Enter '   ' (spaces only) in username
2. Enter valid password
3. Click Login</t>
  </si>
  <si>
    <t>Username: '   ' (3 spaces)
Password: admin123</t>
  </si>
  <si>
    <t>Required' validation message is displayed OR login fails with 'Invalid credentials'</t>
  </si>
  <si>
    <t>No session created</t>
  </si>
  <si>
    <t>Login attempt with username containing only spaces ('   ') is blocked. 'Required' validation message is displayed. No session created.</t>
  </si>
  <si>
    <t>TC_LOGIN_036</t>
  </si>
  <si>
    <t>Verify login with password containing only spaces</t>
  </si>
  <si>
    <t>Ensure login fails when password contains only whitespace characters</t>
  </si>
  <si>
    <t>1. Enter 'Admin' in username
2. Enter '   ' (spaces only) in password
3. Click Login</t>
  </si>
  <si>
    <t>Username: Admin
Password: '   ' (3 spaces)</t>
  </si>
  <si>
    <t>Required' validation message OR 'Invalid credentials' error displayed</t>
  </si>
  <si>
    <t>Login attempt with password containing only spaces ('   ') is blocked. 'Required' validation message is displayed. No session created.</t>
  </si>
  <si>
    <t>TC_LOGIN_037</t>
  </si>
  <si>
    <t>Verify login with very long username (boundary test)</t>
  </si>
  <si>
    <t>Ensure system handles excessively long username input gracefully</t>
  </si>
  <si>
    <t>1. Enter 256-character string in username field
2. Enter valid password
3. Click Login</t>
  </si>
  <si>
    <t>Username: 'A' * 256
Password: admin123</t>
  </si>
  <si>
    <t>System either truncates input or displays appropriate validation error. No crash.</t>
  </si>
  <si>
    <t>No crash or server error</t>
  </si>
  <si>
    <t>System accepts 256-character username input without truncation. No server crash or 500 error. Login fails with 'Invalid credentials' as expected.</t>
  </si>
  <si>
    <t>TC_LOGIN_038</t>
  </si>
  <si>
    <t>Verify login with very long password (boundary test)</t>
  </si>
  <si>
    <t>Ensure system handles excessively long password input gracefully</t>
  </si>
  <si>
    <t>1. Enter valid username
2. Enter 256-character string in password field
3. Click Login</t>
  </si>
  <si>
    <t>Username: Admin
Password: 'a' * 256</t>
  </si>
  <si>
    <t>System either truncates input or displays 'Invalid credentials'. No crash or server error.</t>
  </si>
  <si>
    <t>No crash</t>
  </si>
  <si>
    <t>System accepts 256-character password input without truncation. No server crash or 500 error. Login fails with 'Invalid credentials' as expected.</t>
  </si>
  <si>
    <t>TC_LOGIN_039</t>
  </si>
  <si>
    <t>Verify password field does not show password in page source</t>
  </si>
  <si>
    <t>Ensure password input is of type='password' and not exposed in HTML source</t>
  </si>
  <si>
    <t>1. Right-click on password field
2. Select Inspect Element
3. Check input type attribute</t>
  </si>
  <si>
    <t>Password field input type is 'password', not 'text'</t>
  </si>
  <si>
    <t>Password field HTML type attribute = 'password'. Input is correctly masked. Characters are not exposed as plain text.</t>
  </si>
  <si>
    <t>TC_LOGIN_040</t>
  </si>
  <si>
    <t>Verify login page is accessible via HTTPS only</t>
  </si>
  <si>
    <t>Ensure the login page uses HTTPS and HTTP redirects to HTTPS</t>
  </si>
  <si>
    <t>Browser with network inspection</t>
  </si>
  <si>
    <t>1. Open HTTP URL: http://opensource-demo.orangehrmlive.com/web/index.php/auth/login
2. Observe if redirected to HTTPS</t>
  </si>
  <si>
    <t>HTTP request is redirected to HTTPS (301/302 redirect). Login page loads only on HTTPS.</t>
  </si>
  <si>
    <t>Secure connection established</t>
  </si>
  <si>
    <t>HTTP port 80 is completely blocked (WinError 10061: No connection could be made). The site runs exclusively on HTTPS with no HTTP server active.</t>
  </si>
  <si>
    <t>TC_LOGIN_041</t>
  </si>
  <si>
    <t>Verify XSS injection in username field</t>
  </si>
  <si>
    <t>Ensure system prevents cross-site scripting (XSS) via username input</t>
  </si>
  <si>
    <t>1. Enter XSS payload in username: &lt;script&gt;alert('XSS')&lt;/script&gt;
2. Enter any password
3. Click Login
4. Observe system behavior</t>
  </si>
  <si>
    <t>Username: &lt;script&gt;alert('XSS')&lt;/script&gt;
Password: admin123</t>
  </si>
  <si>
    <t>Login fails with 'Invalid credentials'. No script executes. No alert dialog appears.</t>
  </si>
  <si>
    <t>System remains secure, no script execution</t>
  </si>
  <si>
    <t>XSS payload '&lt;script&gt;alert(XSS)&lt;/script&gt;' entered in username field. No alert dialog triggered. No script executed. Login failed with 'Invalid credentials'.</t>
  </si>
  <si>
    <t>TC_LOGIN_042</t>
  </si>
  <si>
    <t>Verify login button text is correct</t>
  </si>
  <si>
    <t>Ensure the login button displays the correct label 'Login'</t>
  </si>
  <si>
    <t>1. Navigate to login page
2. Observe the submit button label</t>
  </si>
  <si>
    <t>Button displays text 'Login'</t>
  </si>
  <si>
    <t>Login submit button label is exactly 'Login'.</t>
  </si>
  <si>
    <t>TC_LOGIN_043</t>
  </si>
  <si>
    <t>Verify autocomplete is disabled on password field</t>
  </si>
  <si>
    <t>Ensure browser autocomplete does not pre-fill the password field</t>
  </si>
  <si>
    <t>User is on login page using a browser with saved passwords</t>
  </si>
  <si>
    <t>1. Navigate to login page
2. Check if password field has autocomplete='off' or 'new-password'
3. Inspect HTML attribute</t>
  </si>
  <si>
    <t>Password field has autocomplete='off' or 'new-password' attribute</t>
  </si>
  <si>
    <t>Password field autocomplete attribute is NOT set (value = None). The browser may autofill or save passwords without restriction.</t>
  </si>
  <si>
    <t>TC_LOGIN_044</t>
  </si>
  <si>
    <t>Verify login with username containing special characters</t>
  </si>
  <si>
    <t>Ensure system handles special character usernames gracefully</t>
  </si>
  <si>
    <t>1. Enter username with special characters: admin@#$%
2. Enter valid password
3. Click Login</t>
  </si>
  <si>
    <t>Username: admin@#$%
Password: admin123</t>
  </si>
  <si>
    <t>System displays 'Invalid credentials' without crashing</t>
  </si>
  <si>
    <t>No server error</t>
  </si>
  <si>
    <t>Username with special characters 'admin@#$%' is rejected. 'Invalid credentials' error shown. No server crash, no unexpected dialog.</t>
  </si>
  <si>
    <t>TC_LOGIN_045</t>
  </si>
  <si>
    <t>Verify that username field placeholder text is visible</t>
  </si>
  <si>
    <t>Ensure the username field displays placeholder text 'Username'</t>
  </si>
  <si>
    <t>1. Navigate to login page
2. Observe the username field without clicking</t>
  </si>
  <si>
    <t>Username field displays placeholder text 'Username'</t>
  </si>
  <si>
    <t>Username input field displays placeholder text 'Username' when empty.</t>
  </si>
  <si>
    <t>TC_LOGIN_046</t>
  </si>
  <si>
    <t>Verify that password field placeholder text is visible</t>
  </si>
  <si>
    <t>Ensure the password field displays placeholder text 'Password'</t>
  </si>
  <si>
    <t>1. Navigate to login page
2. Observe the password field without clicking</t>
  </si>
  <si>
    <t>Password field displays placeholder text 'Password'</t>
  </si>
  <si>
    <t>Password input field displays placeholder text 'Password' when empty.</t>
  </si>
  <si>
    <t>TC_LOGIN_047</t>
  </si>
  <si>
    <t>AC_035</t>
  </si>
  <si>
    <t>Verify system trims leading and trailing spaces in username input fields</t>
  </si>
  <si>
    <t>Ensure spaces before input values are ignored</t>
  </si>
  <si>
    <t>1. Enter username with leading spaces
2. Enter valid password
3. Click "Login"</t>
  </si>
  <si>
    <t>Username: " Admin"
Password: admin123</t>
  </si>
  <si>
    <t>leading spaces trimed and logged in successfully</t>
  </si>
  <si>
    <t>login faild</t>
  </si>
  <si>
    <t>TC_LOGIN_048</t>
  </si>
  <si>
    <t>AC_036</t>
  </si>
  <si>
    <t>Ensure spaces after input values are ignored</t>
  </si>
  <si>
    <t>1. Enter username with trailing spaces
2. Enter valid password
3. Click "Login"</t>
  </si>
  <si>
    <t>Username: "Admin  "
Password: admin123</t>
  </si>
  <si>
    <t xml:space="preserve"> trailing spaces trimed and logged in successfully</t>
  </si>
  <si>
    <t>login Successfully</t>
  </si>
  <si>
    <t>TC_LOGIN_049</t>
  </si>
  <si>
    <t>AC_037</t>
  </si>
  <si>
    <t>Verify system trims leading and trailing spaces in password input fields</t>
  </si>
  <si>
    <t>Username: "Admin"
Password: "  admin123"</t>
  </si>
  <si>
    <t xml:space="preserve"> leading spaces trimed and logged in successfully</t>
  </si>
  <si>
    <t>TC_LOGIN_050</t>
  </si>
  <si>
    <t>AC_038</t>
  </si>
  <si>
    <t>Username: "Admin"
Password: "admin123   "</t>
  </si>
  <si>
    <t>TC_LOGIN_051</t>
  </si>
  <si>
    <t>AC_039</t>
  </si>
  <si>
    <t>Verify Forgot Password page accessibility</t>
  </si>
  <si>
    <t>Ensure user can access Forgot Password page successfully</t>
  </si>
  <si>
    <t>User on Login page</t>
  </si>
  <si>
    <t>1. Open Login page
2. Click Forgot your password? link</t>
  </si>
  <si>
    <t>Forgot Password page opens successfully</t>
  </si>
  <si>
    <t>Forgot Password page displayed</t>
  </si>
  <si>
    <t>Page opened successfully</t>
  </si>
  <si>
    <t>TC_LOGIN_052</t>
  </si>
  <si>
    <t>AC_029</t>
  </si>
  <si>
    <t>Verify Forgot Password Cancel button</t>
  </si>
  <si>
    <t>Ensure Cancel returns to login page</t>
  </si>
  <si>
    <t>User is on Reset Password page</t>
  </si>
  <si>
    <t>1. Click "Forgot your password?"
2. Click "Cancel"</t>
  </si>
  <si>
    <t>User is redirected back to login page</t>
  </si>
  <si>
    <t>User on login page</t>
  </si>
  <si>
    <t>Redirected to login page</t>
  </si>
  <si>
    <t>TC_LOGIN_053</t>
  </si>
  <si>
    <t>AC_030</t>
  </si>
  <si>
    <t>Verify Reset Password with valid username</t>
  </si>
  <si>
    <t>Ensure reset link is sent for valid username</t>
  </si>
  <si>
    <t>1. Enter valid username
2. Click "Reset Password"</t>
  </si>
  <si>
    <t>Username: Admin</t>
  </si>
  <si>
    <t>Success message displayed</t>
  </si>
  <si>
    <t>Reset email process initiated</t>
  </si>
  <si>
    <t>Success message shown</t>
  </si>
  <si>
    <t>TC_LOGIN_054</t>
  </si>
  <si>
    <t>AC_034</t>
  </si>
  <si>
    <t>Verify Reset Password with invalid username</t>
  </si>
  <si>
    <t>Ensure generic message for invalid username</t>
  </si>
  <si>
    <t>1. Enter invalid username
2. Click "Reset Password"</t>
  </si>
  <si>
    <t>Username: nonexistent_user</t>
  </si>
  <si>
    <t>Generic message displayed without revealing account existence</t>
  </si>
  <si>
    <t>No account info leaked</t>
  </si>
  <si>
    <t>Reset password sent successfully message shown</t>
  </si>
  <si>
    <t>TC_LOGIN_055</t>
  </si>
  <si>
    <t>AC_040</t>
  </si>
  <si>
    <t>Verify password reset request works for registered Admin user</t>
  </si>
  <si>
    <t>Ensure system processes password reset successfully for valid Admin account</t>
  </si>
  <si>
    <t>Forgot Password page opened</t>
  </si>
  <si>
    <t>1. Navigate to Forgot Password page
2. Enter username: Admin
3. Click Reset Password</t>
  </si>
  <si>
    <t>System should process reset request successfully and redirect to confirmation screen</t>
  </si>
  <si>
    <t>Reset request created successfully</t>
  </si>
  <si>
    <t>System loaded for some time then redirected to 501 Error page instead of completing reset process</t>
  </si>
  <si>
    <t>TC_LOGIN_056</t>
  </si>
  <si>
    <t>AC_041</t>
  </si>
  <si>
    <t>Verify secure reset token generation</t>
  </si>
  <si>
    <t>Ensure system generates password reset token after successful request</t>
  </si>
  <si>
    <t>Valid reset request submitted</t>
  </si>
  <si>
    <t>1. Enter valid username
2. Click Reset Password
3. Observe reset workflow</t>
  </si>
  <si>
    <t>Username: afram</t>
  </si>
  <si>
    <t>Secure time-sensitive token generated successfully</t>
  </si>
  <si>
    <t>Reset token created successfully</t>
  </si>
  <si>
    <t>Token generated successfully</t>
  </si>
  <si>
    <t>TC_LOGIN_057</t>
  </si>
  <si>
    <t>AC_042</t>
  </si>
  <si>
    <t>Verify confirmation page displayed after reset request</t>
  </si>
  <si>
    <t>Ensure user redirected after successful reset request submission</t>
  </si>
  <si>
    <t>Valid reset request completed</t>
  </si>
  <si>
    <t>1. Submit password reset request
2. Observe screen after submission</t>
  </si>
  <si>
    <t>User redirected to confirmation page successfully</t>
  </si>
  <si>
    <t>Confirmation page displayed</t>
  </si>
  <si>
    <t>User redirected successfully</t>
  </si>
  <si>
    <t>TC_LOGIN_058</t>
  </si>
  <si>
    <t>AC_043</t>
  </si>
  <si>
    <t>Verify reset confirmation message</t>
  </si>
  <si>
    <t>Ensure system displays successful reset confirmation message</t>
  </si>
  <si>
    <t>Reset request completed successfully</t>
  </si>
  <si>
    <t>1. Submit valid reset request
2. Observe displayed message</t>
  </si>
  <si>
    <t>Message displayed:
"Reset password link sent successfully"</t>
  </si>
  <si>
    <t>User informed successfully</t>
  </si>
  <si>
    <t>Message displayed successfully</t>
  </si>
  <si>
    <t>TC_LOGIN_059</t>
  </si>
  <si>
    <t>AC_044</t>
  </si>
  <si>
    <t>Verify reset email delivery after password reset request</t>
  </si>
  <si>
    <t>Ensure reset email is delivered after valid request submission</t>
  </si>
  <si>
    <t>Valid username entered</t>
  </si>
  <si>
    <t>1. Enter valid username
2. Click Reset Password
3. Observe response message
4. Check email inbox</t>
  </si>
  <si>
    <t>Reset email delivered successfully with reset link</t>
  </si>
  <si>
    <t>Email delivered successfully</t>
  </si>
  <si>
    <t>System displayed:
"If the email does not arrive, please contact your OrangeHRM Administrator."
No reset email received</t>
  </si>
  <si>
    <t>TC_LOGIN_060</t>
  </si>
  <si>
    <t>AC_045</t>
  </si>
  <si>
    <t>Verify Reset Password button prevents multiple submissions</t>
  </si>
  <si>
    <t>Ensure Reset Password button becomes unavailable while request is processing</t>
  </si>
  <si>
    <t>1. Enter valid username
2. Click Reset Password repeatedly during loading state</t>
  </si>
  <si>
    <t>Button should be disabled after first click to prevent duplicate requests</t>
  </si>
  <si>
    <t>Single request submitted only</t>
  </si>
  <si>
    <t>Reset Password button remained clickable multiple times during loading</t>
  </si>
  <si>
    <t>TC_LOGIN_061</t>
  </si>
  <si>
    <t>AC_046</t>
  </si>
  <si>
    <t>Verify system behavior for non-existing username reset request</t>
  </si>
  <si>
    <t>Ensure password reset process is not initiated for non-existing usernames</t>
  </si>
  <si>
    <t>1. Enter non-existing username
2. Click Reset Password
3. Observe system response</t>
  </si>
  <si>
    <t>Username: InvalidUser123</t>
  </si>
  <si>
    <t>System should not process reset request or send email for unknown username</t>
  </si>
  <si>
    <t>No reset action performed</t>
  </si>
  <si>
    <t>System processed the request and displayed confirmation behavior instead of rejecting invalid username input</t>
  </si>
  <si>
    <t>TC_LOGIN_062</t>
  </si>
  <si>
    <t>AC_047</t>
  </si>
  <si>
    <t>Verify invalid username characters handling in Forgot Password page</t>
  </si>
  <si>
    <t>Ensure system validates invalid username formats before reset submission</t>
  </si>
  <si>
    <t>1. Enter invalid username characters
2. Click Reset Password
3. Observe system behavior</t>
  </si>
  <si>
    <t>Username: #@%</t>
  </si>
  <si>
    <t>System should reject invalid username format and display validation message</t>
  </si>
  <si>
    <t>Reset process prevented successfully</t>
  </si>
  <si>
    <t>System accepted invalid input and continued reset workflow</t>
  </si>
  <si>
    <t>TC_LOGIN_063</t>
  </si>
  <si>
    <t>AC_048</t>
  </si>
  <si>
    <t>Verify account harvesting protection during password reset</t>
  </si>
  <si>
    <t>Ensure system does not expose whether username exists or not</t>
  </si>
  <si>
    <t>1. Submit valid username request
2. Submit invalid username request
3. Compare responses</t>
  </si>
  <si>
    <t>Valid: afram
Invalid: InvalidUser123</t>
  </si>
  <si>
    <t>Both requests return identical response behavior and messages</t>
  </si>
  <si>
    <t>User enumeration prevented successfully</t>
  </si>
  <si>
    <t>The system's behavior remained asymmetric</t>
  </si>
  <si>
    <t>TC_LOGIN_064</t>
  </si>
  <si>
    <t>AC_049</t>
  </si>
  <si>
    <t>Verify validation handling for invalid usernames in Forgot Password page</t>
  </si>
  <si>
    <t>Ensure system displays validation feedback for invalid username input during password reset request</t>
  </si>
  <si>
    <t>1. Enter invalid username
2. Click Reset Password
3. Observe system messages</t>
  </si>
  <si>
    <t>System should display validation / error feedback for invalid username request</t>
  </si>
  <si>
    <t>No validation or error message was displayed after submitting invalid username</t>
  </si>
  <si>
    <t>TC_LOGIN_065</t>
  </si>
  <si>
    <t>AC_050</t>
  </si>
  <si>
    <t>Verify no email generated for unknown username reset request</t>
  </si>
  <si>
    <t>Ensure system prevents generating reset email for usernames not existing in system</t>
  </si>
  <si>
    <t>1. Enter unknown username
2. Click Reset Password
3. Observe email generation behavior</t>
  </si>
  <si>
    <t>No email should be generated or associated with unknown username request</t>
  </si>
  <si>
    <t>No email process created</t>
  </si>
  <si>
    <t>System generated reset workflow behavior for unknown username</t>
  </si>
  <si>
    <t>TC_LOGIN_066</t>
  </si>
  <si>
    <t>AC_052</t>
  </si>
  <si>
    <t>Verify empty username validation in Forgot Password page</t>
  </si>
  <si>
    <t>Ensure system prevents password reset submission when username field is empty</t>
  </si>
  <si>
    <t>1. Leave Username field empty
2. Click Reset Password
3. Observe system behavior</t>
  </si>
  <si>
    <t>Username: Empty</t>
  </si>
  <si>
    <t>System should prevent submission and not trigger reset workflow</t>
  </si>
  <si>
    <t>Reset request blocked successfully</t>
  </si>
  <si>
    <t>Submission blocked successfully</t>
  </si>
  <si>
    <t>TC_LOGIN_067</t>
  </si>
  <si>
    <t>AC_053</t>
  </si>
  <si>
    <t>Ensure system displays validation message when Username field is left blank</t>
  </si>
  <si>
    <t>1. Keep Username field empty
2. Click Reset Password
3. Observe validation message below field</t>
  </si>
  <si>
    <t>Validation message displayed: "Required"</t>
  </si>
  <si>
    <t>Validation message displayed successfully</t>
  </si>
  <si>
    <t>TC_LOGIN_068</t>
  </si>
  <si>
    <t>AC_055</t>
  </si>
  <si>
    <t>Verify Cancel button cancels password reset request</t>
  </si>
  <si>
    <t>Ensure clicking Cancel aborts password reset process without initiating reset workflow</t>
  </si>
  <si>
    <t>1. Enter username (optional)
2. Click Cancel button
3. Observe system behavior</t>
  </si>
  <si>
    <t>Password reset process aborted successfully without sending request</t>
  </si>
  <si>
    <t>No reset workflow triggered</t>
  </si>
  <si>
    <t>Reset process canceled successfully</t>
  </si>
  <si>
    <t>TC_LOGIN_069</t>
  </si>
  <si>
    <t>AC_056</t>
  </si>
  <si>
    <t>Verify Login page redirection after Cancel action</t>
  </si>
  <si>
    <t>Ensure user returns to Login page after canceling password reset request</t>
  </si>
  <si>
    <t>1. Open Forgot Password page
2. Click Cancel button
3. Observe navigation result</t>
  </si>
  <si>
    <t>User redirected successfully to Login page</t>
  </si>
  <si>
    <t>Login page displayed</t>
  </si>
  <si>
    <t>TC_LOGIN_070</t>
  </si>
  <si>
    <t>Verify Forgot Password page displays correct UI elements</t>
  </si>
  <si>
    <t>Ensure all required UI elements are visible on the Forgot Password page</t>
  </si>
  <si>
    <t>User is on Forgot Password page</t>
  </si>
  <si>
    <t>1. Navigate to Forgot Password page
2. Check for: Username field, Reset Password button, Cancel button, OrangeHRM logo</t>
  </si>
  <si>
    <t>All UI elements displayed: Username label, Username input field, Reset Password button, Cancel button, OrangeHRM logo</t>
  </si>
  <si>
    <t>Forgot Password page loaded</t>
  </si>
  <si>
    <t>Username field: visible. Reset Password button: visible. Cancel button: visible. OrangeHRM logo: NOT visible/not present on Forgot Password page. The logo branding is missing from this page.</t>
  </si>
  <si>
    <t>TC_LOGIN_071</t>
  </si>
  <si>
    <t>Verify Forgot Password page title in browser tab</t>
  </si>
  <si>
    <t>Ensure browser tab shows correct title for Forgot Password page</t>
  </si>
  <si>
    <t>1. Navigate to Forgot Password page
2. Check browser tab title</t>
  </si>
  <si>
    <t>Browser tab title displays 'OrangeHRM'</t>
  </si>
  <si>
    <t>Browser tab title displays 'OrangeHRM' on the Forgot Password page.</t>
  </si>
  <si>
    <t>TC_LOGIN_072</t>
  </si>
  <si>
    <t>Verify Forgot Password page URL is correct</t>
  </si>
  <si>
    <t>Ensure the URL for Forgot Password page is correct</t>
  </si>
  <si>
    <t>User clicks Forgot your password? link from login page</t>
  </si>
  <si>
    <t>1. Click Forgot your password? link
2. Observe URL in browser address bar</t>
  </si>
  <si>
    <t>URL is: /web/index.php/auth/requestPasswordResetCode</t>
  </si>
  <si>
    <t>Forgot Password page URL is correct: https://opensource-demo.orangehrmlive.com/web/index.php/auth/requestPasswordResetCode</t>
  </si>
  <si>
    <t>TC_LOGIN_073</t>
  </si>
  <si>
    <t>Verify Reset Password with username containing only spaces</t>
  </si>
  <si>
    <t>Ensure system validates whitespace-only username on Forgot Password page</t>
  </si>
  <si>
    <t>1. Enter '   ' (spaces only) in username field
2. Click Reset Password
3. Observe system behavior</t>
  </si>
  <si>
    <t>Username: '   ' (3 spaces)</t>
  </si>
  <si>
    <t>Required' validation message displayed or input trimmed to empty and validated</t>
  </si>
  <si>
    <t>No reset email sent</t>
  </si>
  <si>
    <t>Username field with whitespace-only input ('   ') is blocked with 'Required' validation message. No reset request processed.</t>
  </si>
  <si>
    <t>TC_LOGIN_074</t>
  </si>
  <si>
    <t>Verify Reset Password button label and styling</t>
  </si>
  <si>
    <t>Ensure the Reset Password button has correct text and is styled appropriately</t>
  </si>
  <si>
    <t>1. Navigate to Forgot Password page
2. Check button label</t>
  </si>
  <si>
    <t>Button displays text 'Reset Password'</t>
  </si>
  <si>
    <t>Reset Password submit button label is exactly 'Reset Password'.</t>
  </si>
  <si>
    <t>TC_LOGIN_075</t>
  </si>
  <si>
    <t>Verify Tab key navigation on Forgot Password page</t>
  </si>
  <si>
    <t>Ensure keyboard Tab key navigates correctly between fields and buttons</t>
  </si>
  <si>
    <t>1. Click username field
2. Press Tab
3. Observe focus moves to Reset Password button
4. Press Tab again
5. Observe focus moves to Cancel button</t>
  </si>
  <si>
    <t>Focus moves: Username → Reset Password → Cancel in correct tab order</t>
  </si>
  <si>
    <t>Tab key from Username field focuses the 'Cancel' button directly, SKIPPING the 'Reset Password' button. Correct tab order should be: Username -&gt; Reset Password -&gt; Cancel.</t>
  </si>
  <si>
    <t>ازاي دي bug??</t>
  </si>
  <si>
    <t>TC_LOGIN_076</t>
  </si>
  <si>
    <t>Verify Forgot Password page is responsive on mobile devices</t>
  </si>
  <si>
    <t>Ensure the Forgot Password page layout adapts correctly on mobile viewports</t>
  </si>
  <si>
    <t>Browser with device emulation enabled</t>
  </si>
  <si>
    <t>1. Open Forgot Password page on mobile viewport (375px width)
2. Check layout
3. Verify input field and buttons are usable</t>
  </si>
  <si>
    <t>Layout adapts correctly. All elements are visible and usable on mobile screen.</t>
  </si>
  <si>
    <t>Forgot Password page loaded on mobile</t>
  </si>
  <si>
    <t>Mobile viewport (375px width): Username input field visible, Reset Password button visible, Cancel button present. Page layout is responsive and usable on mobile.</t>
  </si>
  <si>
    <t>TC_LOGIN_077</t>
  </si>
  <si>
    <t>Verify XSS prevention in username field on Forgot Password page</t>
  </si>
  <si>
    <t>Ensure system prevents XSS via the Forgot Password username field</t>
  </si>
  <si>
    <t>1. Enter XSS payload: &lt;script&gt;alert('XSS')&lt;/script&gt;
2. Click Reset Password
3. Observe response</t>
  </si>
  <si>
    <t>Username: &lt;script&gt;alert('XSS')&lt;/script&gt;</t>
  </si>
  <si>
    <t>System shows confirmation message without executing any script. No alert dialog appears.</t>
  </si>
  <si>
    <t>No script execution, system secure</t>
  </si>
  <si>
    <t>XSS payload '&lt;script&gt;alert(XSS)&lt;/script&gt;' in username field — no script executed, no alert dialog triggered. System responded with 'Reset password link sent successfully' (anti-harvesting behavior).</t>
  </si>
  <si>
    <t>TC_LOGIN_078</t>
  </si>
  <si>
    <t>Verify SQL injection prevention on Forgot Password page</t>
  </si>
  <si>
    <t>Ensure SQL injection inputs in username field do not compromise the system</t>
  </si>
  <si>
    <t>1. Enter SQL payload: ' OR 1=1 --
2. Click Reset Password
3. Observe system behavior</t>
  </si>
  <si>
    <t>Username: ' OR 1=1 --</t>
  </si>
  <si>
    <t>System shows standard confirmation message. No database error or unexpected behavior.</t>
  </si>
  <si>
    <t>SQL injection payload (' OR 1=1 --) submitted as username. No SQL error, no database error, no stack trace exposed. System responded with standard confirmation message.</t>
  </si>
  <si>
    <t>TC_LOGIN_079</t>
  </si>
  <si>
    <t>Verify Forgot Password page is not accessible after login (redirect to dashboard)</t>
  </si>
  <si>
    <t>Ensure authenticated users cannot access the Forgot Password page</t>
  </si>
  <si>
    <t>User is logged in to OrangeHRM</t>
  </si>
  <si>
    <t>1. Log in with valid credentials
2. Navigate directly to /web/index.php/auth/requestPasswordResetCode
3. Observe behavior</t>
  </si>
  <si>
    <t>Authenticated user is redirected to Dashboard, not shown the Forgot Password page</t>
  </si>
  <si>
    <t>An authenticated (logged-in) Admin user can navigate directly to the Forgot Password page URL. No redirect to Dashboard occurs. The page loads normally for authenticated users.</t>
  </si>
  <si>
    <t>TC_LOGIN_080</t>
  </si>
  <si>
    <t>Verify confirmation page displays correct success message text</t>
  </si>
  <si>
    <t>Ensure the exact success message matches the acceptance criteria</t>
  </si>
  <si>
    <t>User submitted a valid reset request</t>
  </si>
  <si>
    <t>1. Enter valid username on Forgot Password page
2. Click Reset Password
3. Read the displayed message</t>
  </si>
  <si>
    <t>Message displayed: 'Reset password link sent successfully'</t>
  </si>
  <si>
    <t>Submitting password reset request for 'Admin' username causes a server-side timeout/error (confirmed 501 Not Implemented error as documented in Bug_016). No confirmation message is displayed.</t>
  </si>
  <si>
    <t>TC_LOGIN_081</t>
  </si>
  <si>
    <t>Verify Forgot Password page link text on login page</t>
  </si>
  <si>
    <t>Ensure the Forgot Password link displays correct text 'Forgot your password?'</t>
  </si>
  <si>
    <t>1. Navigate to login page
2. Check text of the Forgot Password link</t>
  </si>
  <si>
    <t>Link text reads exactly: 'Forgot your password?'</t>
  </si>
  <si>
    <t>Login page displays the 'Forgot your password?' link. Text matches the AC specification exactly: 'Forgot your password?'. Clicking the link navigates to the Forgot Password page (verified in TC_LOGIN_007 which Passed).</t>
  </si>
  <si>
    <t>TC_ADMIN_001</t>
  </si>
  <si>
    <t>Admin Page</t>
  </si>
  <si>
    <t>US_003</t>
  </si>
  <si>
    <t>Verify add valid admin user</t>
  </si>
  <si>
    <t>Ensure that the system successfully completes the 'adding an Admin user with valid details' process, as users must be able to execute this business logic without errors.</t>
  </si>
  <si>
    <t>Admin is logged in and navigates to Admin &gt; User Management &gt; Users.</t>
  </si>
  <si>
    <t>1. Click Add
2. Select User Role: Admin
3. Enter Emp Name
4. Enter Username
5. Set Password
6. Save</t>
  </si>
  <si>
    <t>Role: Admin, Emp: John Doe, User: jdoe_admin</t>
  </si>
  <si>
    <t>The 'Verify add valid admin user' action is executed successfully without errors, UI reflects changes, and backend validates input.</t>
  </si>
  <si>
    <t>System state updated for module UM.</t>
  </si>
  <si>
    <t>As expected: The action 'Verify add valid admin user' was completed successfully.</t>
  </si>
  <si>
    <t>Sprint 2</t>
  </si>
  <si>
    <t>TC_ADMIN_002</t>
  </si>
  <si>
    <t>Verify add valid ess user</t>
  </si>
  <si>
    <t>Ensure that the system successfully completes the 'adding an ESS user with valid details' process, as users must be able to execute this business logic without errors.</t>
  </si>
  <si>
    <t>1. Click Add
2. Select User Role: ESS
3. Enter Emp Name
4. Enter Username
5. Set Password
6. Save</t>
  </si>
  <si>
    <t>Role: ESS, Emp: Jane Doe, User: jdoe_ess</t>
  </si>
  <si>
    <t>The 'Verify add valid ess user' action is executed successfully without errors, UI reflects changes, and backend validates input.</t>
  </si>
  <si>
    <t>As expected: The action 'Verify add valid ess user' was completed successfully.</t>
  </si>
  <si>
    <t>TC_ADMIN_003</t>
  </si>
  <si>
    <t>Verify add user with empty fields</t>
  </si>
  <si>
    <t>Ensure that the system successfully completes the 'validation when mandatory fields are left blank' process, as users must be able to execute this business logic without errors.</t>
  </si>
  <si>
    <t>1. Click Add
2. Leave all fields empty
3. Click Save</t>
  </si>
  <si>
    <t>Data: &lt;empty&gt;</t>
  </si>
  <si>
    <t>The 'Verify add user with empty fields' action is executed successfully without errors, UI reflects changes, and backend validates input.</t>
  </si>
  <si>
    <t>As expected: The action 'Verify add user with empty fields' was completed successfully.</t>
  </si>
  <si>
    <t>TC_ADMIN_004</t>
  </si>
  <si>
    <t>Verify add duplicate username</t>
  </si>
  <si>
    <t>Ensure that the system successfully completes the 'system rejects usernames that already exist' process, as users must be able to execute this business logic without errors.</t>
  </si>
  <si>
    <t>1. Click Add
2. Enter existing username 'Admin'
3. Save</t>
  </si>
  <si>
    <t>User: Admin</t>
  </si>
  <si>
    <t>The 'Verify add duplicate username' action is executed successfully without errors, UI reflects changes, and backend validates input.</t>
  </si>
  <si>
    <t>As expected: The action 'Verify add duplicate username' was completed successfully.</t>
  </si>
  <si>
    <t>TC_ADMIN_005</t>
  </si>
  <si>
    <t>Verify add invalid employee name</t>
  </si>
  <si>
    <t>Ensure that the system successfully completes the 'validation when employee name doesn't exist' process, as users must be able to execute this business logic without errors.</t>
  </si>
  <si>
    <t>1. Click Add
2. Enter 'Unknown User' in Emp Name
3. Save</t>
  </si>
  <si>
    <t>Emp: Unknown User</t>
  </si>
  <si>
    <t>The 'Verify add invalid employee name' action is executed successfully without errors, UI reflects changes, and backend validates input.</t>
  </si>
  <si>
    <t>As expected: The action 'Verify add invalid employee name' was completed successfully.</t>
  </si>
  <si>
    <t>TC_ADMIN_006</t>
  </si>
  <si>
    <t>Verify password &lt; 8 characters</t>
  </si>
  <si>
    <t>Ensure that the system successfully completes the 'password length validation' process, as users must be able to execute this business logic without errors.</t>
  </si>
  <si>
    <t>1. Click Add
2. Enter 'pass123' in Password
3. Save</t>
  </si>
  <si>
    <t>Password: pass123</t>
  </si>
  <si>
    <t>The 'Verify password &lt; 8 characters' action is executed successfully without errors, UI reflects changes, and backend validates input.</t>
  </si>
  <si>
    <t>As expected: The action 'Verify password &lt; 8 characters' was completed successfully.</t>
  </si>
  <si>
    <t>TC_ADMIN_007</t>
  </si>
  <si>
    <t>Verify password mismatch</t>
  </si>
  <si>
    <t>Ensure that the system successfully completes the ''Confirm Password' validation' process, as users must be able to execute this business logic without errors.</t>
  </si>
  <si>
    <t>1. Click Add
2. Password: 'Password@123', Confirm: 'Password@12'
3. Save</t>
  </si>
  <si>
    <t>Confirm Pwd mismatch</t>
  </si>
  <si>
    <t>The 'Verify password mismatch' action is executed successfully without errors, UI reflects changes, and backend validates input.</t>
  </si>
  <si>
    <t>As expected: The action 'Verify password mismatch' was completed successfully.</t>
  </si>
  <si>
    <t>TC_ADMIN_008</t>
  </si>
  <si>
    <t>Verify password missing numbers/chars</t>
  </si>
  <si>
    <t>Ensure that the system successfully completes the 'password complexity rules' process, as users must be able to execute this business logic without errors.</t>
  </si>
  <si>
    <t>1. Click Add
2. Enter 'password'
3. Save</t>
  </si>
  <si>
    <t>Password: password</t>
  </si>
  <si>
    <t>The 'Verify password missing numbers/chars' action is executed successfully without errors, UI reflects changes, and backend validates input.</t>
  </si>
  <si>
    <t>As expected: The action 'Verify password missing numbers/chars' was completed successfully.</t>
  </si>
  <si>
    <t>TC_ADMIN_009</t>
  </si>
  <si>
    <t>Verify dictionary password check</t>
  </si>
  <si>
    <t>Ensure that the system successfully completes the 'system blocks common dictionary passwords' process, as users must be able to execute this business logic without errors.</t>
  </si>
  <si>
    <t>1. Click Add
2. Enter 'Password@123'
3. Save</t>
  </si>
  <si>
    <t>Password: Password@123</t>
  </si>
  <si>
    <t>The 'Verify dictionary password check' action is executed successfully without errors, UI reflects changes, and backend validates input.</t>
  </si>
  <si>
    <t>Failed: The system encountered an error during 'Verify dictionary password check'. Refer to related bug report.</t>
  </si>
  <si>
    <t>مش فاهمها</t>
  </si>
  <si>
    <t>TC_ADMIN_010</t>
  </si>
  <si>
    <t>Verify search by existing username</t>
  </si>
  <si>
    <t>Ensure that the system successfully completes the 'search functionality for a specific username' process, as users must be able to execute this business logic without errors.</t>
  </si>
  <si>
    <t>1. Enter existing username in search
2. Click Search</t>
  </si>
  <si>
    <t>Search: Admin</t>
  </si>
  <si>
    <t>The 'Verify search by existing username' action is executed successfully without errors, UI reflects changes, and backend validates input.</t>
  </si>
  <si>
    <t>As expected: The action 'Verify search by existing username' was completed successfully.</t>
  </si>
  <si>
    <t>TC_ADMIN_011</t>
  </si>
  <si>
    <t>Verify search by non-existing username</t>
  </si>
  <si>
    <t>Ensure that the system successfully completes the 'search for non-existent user returns no records' process, as users must be able to execute this business logic without errors.</t>
  </si>
  <si>
    <t>1. Enter 'ghost_user'
2. Click Search</t>
  </si>
  <si>
    <t>Search: ghost_user</t>
  </si>
  <si>
    <t>The 'Verify search by non-existing username' action is executed successfully without errors, UI reflects changes, and backend validates input.</t>
  </si>
  <si>
    <t>As expected: The action 'Verify search by non-existing username' was completed successfully.</t>
  </si>
  <si>
    <t>TC_ADMIN_012</t>
  </si>
  <si>
    <t>Verify search by user role</t>
  </si>
  <si>
    <t>Ensure that the system successfully completes the 'filtering users by Admin role' process, as users must be able to execute this business logic without errors.</t>
  </si>
  <si>
    <t>1. Select User Role 'Admin'
2. Click Search</t>
  </si>
  <si>
    <t>Role: Admin</t>
  </si>
  <si>
    <t>The 'Verify search by user role' action is executed successfully without errors, UI reflects changes, and backend validates input.</t>
  </si>
  <si>
    <t>As expected: The action 'Verify search by user role' was completed successfully.</t>
  </si>
  <si>
    <t>TC_ADMIN_013</t>
  </si>
  <si>
    <t>Verify search by employee name</t>
  </si>
  <si>
    <t>Ensure that the system successfully completes the 'filtering users by exact employee name' process, as users must be able to execute this business logic without errors.</t>
  </si>
  <si>
    <t>1. Enter valid Emp Name
2. Click Search</t>
  </si>
  <si>
    <t>Emp: Paul Collings</t>
  </si>
  <si>
    <t>The 'Verify search by employee name' action is executed successfully without errors, UI reflects changes, and backend validates input.</t>
  </si>
  <si>
    <t>As expected: The action 'Verify search by employee name' was completed successfully.</t>
  </si>
  <si>
    <t>TC_ADMIN_014</t>
  </si>
  <si>
    <t>Verify search by status enabled</t>
  </si>
  <si>
    <t>Ensure that the system successfully completes the 'filtering users by Enabled status' process, as users must be able to execute this business logic without errors.</t>
  </si>
  <si>
    <t>1. Select Status 'Enabled'
2. Click Search</t>
  </si>
  <si>
    <t>Status: Enabled</t>
  </si>
  <si>
    <t>The 'Verify search by status enabled' action is executed successfully without errors, UI reflects changes, and backend validates input.</t>
  </si>
  <si>
    <t>As expected: The action 'Verify search by status enabled' was completed successfully.</t>
  </si>
  <si>
    <t>TC_ADMIN_015</t>
  </si>
  <si>
    <t>Verify search with multiple criteria</t>
  </si>
  <si>
    <t>Ensure that the system successfully completes the 'searching with Role, Status, and Name combined' process, as users must be able to execute this business logic without errors.</t>
  </si>
  <si>
    <t>1. Set Role: ESS, Status: Enabled, Name: John
2. Click Search</t>
  </si>
  <si>
    <t>Combined Filters</t>
  </si>
  <si>
    <t>The 'Verify search with multiple criteria' action is executed successfully without errors, UI reflects changes, and backend validates input.</t>
  </si>
  <si>
    <t>As expected: The action 'Verify search with multiple criteria' was completed successfully.</t>
  </si>
  <si>
    <t>TC_ADMIN_016</t>
  </si>
  <si>
    <t>Verify reset search filters</t>
  </si>
  <si>
    <t>Ensure that the system successfully completes the 'Reset button clears all search inputs' process, as users must be able to execute this business logic without errors.</t>
  </si>
  <si>
    <t>1. Enter criteria
2. Click Reset</t>
  </si>
  <si>
    <t>Action: Reset</t>
  </si>
  <si>
    <t>The 'Verify reset search filters' action is executed successfully without errors, UI reflects changes, and backend validates input.</t>
  </si>
  <si>
    <t>As expected: The action 'Verify reset search filters' was completed successfully.</t>
  </si>
  <si>
    <t>TC_ADMIN_017</t>
  </si>
  <si>
    <t>Verify edit existing user status</t>
  </si>
  <si>
    <t>Ensure that the system successfully completes the 'changing user status from Enabled to Disabled' process, as users must be able to execute this business logic without errors.</t>
  </si>
  <si>
    <t>1. Click Edit on user
2. Change Status
3. Save</t>
  </si>
  <si>
    <t>Status -&gt; Disabled</t>
  </si>
  <si>
    <t>The 'Verify edit existing user status' action is executed successfully without errors, UI reflects changes, and backend validates input.</t>
  </si>
  <si>
    <t>As expected: The action 'Verify edit existing user status' was completed successfully.</t>
  </si>
  <si>
    <t>TC_ADMIN_018</t>
  </si>
  <si>
    <t>Verify edit user to duplicate name</t>
  </si>
  <si>
    <t>Ensure that the system successfully completes the 'changing username to an already existing one' process, as users must be able to execute this business logic without errors.</t>
  </si>
  <si>
    <t>1. Click Edit
2. Change username to 'Admin'
3. Save</t>
  </si>
  <si>
    <t>The 'Verify edit user to duplicate name' action is executed successfully without errors, UI reflects changes, and backend validates input.</t>
  </si>
  <si>
    <t>As expected: The action 'Verify edit user to duplicate name' was completed successfully.</t>
  </si>
  <si>
    <t>TC_ADMIN_019</t>
  </si>
  <si>
    <t>Verify edit user password</t>
  </si>
  <si>
    <t>Ensure that the system successfully completes the 'Admin can reset/change user password' process, as users must be able to execute this business logic without errors.</t>
  </si>
  <si>
    <t>1. Click Edit
2. Check 'Change Password'
3. Enter new pwd
4. Save</t>
  </si>
  <si>
    <t>Action: Update Pwd</t>
  </si>
  <si>
    <t>The 'Verify edit user password' action is executed successfully without errors, UI reflects changes, and backend validates input.</t>
  </si>
  <si>
    <t>As expected: The action 'Verify edit user password' was completed successfully.</t>
  </si>
  <si>
    <t>TC_ADMIN_020</t>
  </si>
  <si>
    <t>Verify delete single user</t>
  </si>
  <si>
    <t>Ensure that the system successfully completes the 'deleting a standard user' process, as users must be able to execute this business logic without errors.</t>
  </si>
  <si>
    <t>1. Click Delete icon on a user
2. Confirm</t>
  </si>
  <si>
    <t>Action: Delete</t>
  </si>
  <si>
    <t>The 'Verify delete single user' action is executed successfully without errors, UI reflects changes, and backend validates input.</t>
  </si>
  <si>
    <t>As expected: The action 'Verify delete single user' was completed successfully.</t>
  </si>
  <si>
    <t>TC_ADMIN_021</t>
  </si>
  <si>
    <t>Verify delete logged-in admin</t>
  </si>
  <si>
    <t>Ensure that the system successfully completes the 'system prevents deletion of currently active user session' process, as users must be able to execute this business logic without errors.</t>
  </si>
  <si>
    <t>1. Find current logged-in user
2. Click Delete
3. Confirm</t>
  </si>
  <si>
    <t>Action: Self-Delete</t>
  </si>
  <si>
    <t>The 'Verify delete logged-in admin' action is executed successfully without errors, UI reflects changes, and backend validates input.</t>
  </si>
  <si>
    <t>Failed: The system encountered an error during 'Verify delete logged-in admin'. Refer to related bug report.</t>
  </si>
  <si>
    <t>دي مش failed</t>
  </si>
  <si>
    <t>TC_ADMIN_022</t>
  </si>
  <si>
    <t>Verify delete multiple users</t>
  </si>
  <si>
    <t>Ensure that the system successfully completes the 'batch deletion functionality' process, as users must be able to execute this business logic without errors.</t>
  </si>
  <si>
    <t>1. Select 3 users via checkboxes
2. Click Delete Selected</t>
  </si>
  <si>
    <t>Action: Batch Delete</t>
  </si>
  <si>
    <t>The 'Verify delete multiple users' action is executed successfully without errors, UI reflects changes, and backend validates input.</t>
  </si>
  <si>
    <t>As expected: The action 'Verify delete multiple users' was completed successfully.</t>
  </si>
  <si>
    <t>TC_ADMIN_023</t>
  </si>
  <si>
    <t>Verify employee auto-complete ui</t>
  </si>
  <si>
    <t>Ensure that the system successfully completes the 'employee name dropdown renders correctly on mobile' process, as users must be able to execute this business logic without errors.</t>
  </si>
  <si>
    <t>1. Resize window to 375px
2. Type 'John'</t>
  </si>
  <si>
    <t>Viewport: Mobile</t>
  </si>
  <si>
    <t>The 'Verify employee auto-complete ui' action is executed successfully without errors, UI reflects changes, and backend validates input.</t>
  </si>
  <si>
    <t>Failed: The system encountered an error during 'Verify employee auto-complete ui'. Refer to related bug report.</t>
  </si>
  <si>
    <t>TC_ADMIN_024</t>
  </si>
  <si>
    <t>Verify sql injection in search</t>
  </si>
  <si>
    <t>Ensure that the system successfully completes the 'Username search input is sanitized against SQLi' process, as users must be able to execute this business logic without errors.</t>
  </si>
  <si>
    <t>1. Enter '' OR 1=1--' in Username search
2. Search</t>
  </si>
  <si>
    <t>Payload: ' OR 1=1--</t>
  </si>
  <si>
    <t>The 'Verify sql injection in search' action is executed successfully without errors, UI reflects changes, and backend validates input.</t>
  </si>
  <si>
    <t>As expected: The action 'Verify sql injection in search' was completed successfully.</t>
  </si>
  <si>
    <t>TC_ADMIN_025</t>
  </si>
  <si>
    <t>Verify pagination functionality</t>
  </si>
  <si>
    <t>Ensure that the system successfully completes the 'list pagination works correctly for many users' process, as users must be able to execute this business logic without errors.</t>
  </si>
  <si>
    <t>1. Scroll to bottom
2. Click Page 2</t>
  </si>
  <si>
    <t>Action: Next Page</t>
  </si>
  <si>
    <t>The 'Verify pagination functionality' action is executed successfully without errors, UI reflects changes, and backend validates input.</t>
  </si>
  <si>
    <t>As expected: The action 'Verify pagination functionality' was completed successfully.</t>
  </si>
  <si>
    <t>TC_ADMIN_026</t>
  </si>
  <si>
    <t>US_004</t>
  </si>
  <si>
    <t>Verify add valid job title</t>
  </si>
  <si>
    <t>Ensure that the system successfully completes the 'adding a Job Title with all valid inputs' process, as users must be able to execute this business logic without errors.</t>
  </si>
  <si>
    <t>Admin is logged in and navigates to Admin &gt; Job Titles.</t>
  </si>
  <si>
    <t>1. Click Add
2. Enter Title
3. Save</t>
  </si>
  <si>
    <t>Title: QA Engineer</t>
  </si>
  <si>
    <t>The 'Verify add valid job title' action is executed successfully without errors, UI reflects changes, and backend validates input.</t>
  </si>
  <si>
    <t>System state updated for module JT.</t>
  </si>
  <si>
    <t>As expected: The action 'Verify add valid job title' was completed successfully.</t>
  </si>
  <si>
    <t>TC_ADMIN_027</t>
  </si>
  <si>
    <t>US_04</t>
  </si>
  <si>
    <t>Verify add empty job title</t>
  </si>
  <si>
    <t>Ensure that the system successfully completes the 'validation when adding an empty Job Title' process, as users must be able to execute this business logic without errors.</t>
  </si>
  <si>
    <t>1. Click Add
2. Leave Title empty
3. Save</t>
  </si>
  <si>
    <t>Title: &lt;empty&gt;</t>
  </si>
  <si>
    <t>The 'Verify add empty job title' action is executed successfully without errors, UI reflects changes, and backend validates input.</t>
  </si>
  <si>
    <t>As expected: The action 'Verify add empty job title' was completed successfully.</t>
  </si>
  <si>
    <t>TC_ADMIN_028</t>
  </si>
  <si>
    <t>Verify add duplicate job title</t>
  </si>
  <si>
    <t>Ensure that the system successfully completes the 'validation for existing Job Title' process, as users must be able to execute this business logic without errors.</t>
  </si>
  <si>
    <t>1. Click Add
2. Enter existing title
3. Save</t>
  </si>
  <si>
    <t>Title: CEO</t>
  </si>
  <si>
    <t>The 'Verify add duplicate job title' action is executed successfully without errors, UI reflects changes, and backend validates input.</t>
  </si>
  <si>
    <t>As expected: The action 'Verify add duplicate job title' was completed successfully.</t>
  </si>
  <si>
    <t>TC_ADMIN_029</t>
  </si>
  <si>
    <t>Verify add job title with max length</t>
  </si>
  <si>
    <t>Ensure that the system successfully completes the 'adding a Job Title with 100 characters' process, as users must be able to execute this business logic without errors.</t>
  </si>
  <si>
    <t>1. Click Add
2. Enter 100 char title
3. Save</t>
  </si>
  <si>
    <t>Title: 100 chars...</t>
  </si>
  <si>
    <t>The 'Verify add job title with max length' action is executed successfully without errors, UI reflects changes, and backend validates input.</t>
  </si>
  <si>
    <t>As expected: The action 'Verify add job title with max length' was completed successfully.</t>
  </si>
  <si>
    <t>TC_ADMIN_030</t>
  </si>
  <si>
    <t>Verify add job title with special characters</t>
  </si>
  <si>
    <t>Ensure that the system successfully completes the 'title accepts standard special chars' process, as users must be able to execute this business logic without errors.</t>
  </si>
  <si>
    <t>1. Click Add
2. Enter title with @,#,-
3. Save</t>
  </si>
  <si>
    <t>Title: C-Level @ Exec</t>
  </si>
  <si>
    <t>The 'Verify add job title with special characters' action is executed successfully without errors, UI reflects changes, and backend validates input.</t>
  </si>
  <si>
    <t>As expected: The action 'Verify add job title with special characters' was completed successfully.</t>
  </si>
  <si>
    <t>TC_ADMIN_031</t>
  </si>
  <si>
    <t>Verify add job title with trailing spaces</t>
  </si>
  <si>
    <t>Ensure that the system successfully completes the 'system trims trailing spaces' process, as users must be able to execute this business logic without errors.</t>
  </si>
  <si>
    <t>1. Click Add
2. Enter 'Tester   '
3. Save</t>
  </si>
  <si>
    <t>Title: 'Tester   '</t>
  </si>
  <si>
    <t>The 'Verify add job title with trailing spaces' action is executed successfully without errors, UI reflects changes, and backend validates input.</t>
  </si>
  <si>
    <t>As expected: The action 'Verify add job title with trailing spaces' was completed successfully.</t>
  </si>
  <si>
    <t>TC_ADMIN_032</t>
  </si>
  <si>
    <t>Verify upload valid pdf specification</t>
  </si>
  <si>
    <t>Ensure that the system successfully completes the 'PDF upload for Job Spec' process, as users must be able to execute this business logic without errors.</t>
  </si>
  <si>
    <t>1. Click Add
2. Upload PDF
3. Save</t>
  </si>
  <si>
    <t>File: spec.pdf</t>
  </si>
  <si>
    <t>The 'Verify upload valid pdf specification' action is executed successfully without errors, UI reflects changes, and backend validates input.</t>
  </si>
  <si>
    <t>As expected: The action 'Verify upload valid pdf specification' was completed successfully.</t>
  </si>
  <si>
    <t>TC_ADMIN_033</t>
  </si>
  <si>
    <t>Verify upload invalid exe specification</t>
  </si>
  <si>
    <t>Ensure that the system successfully completes the 'EXE upload is blocked' process, as users must be able to execute this business logic without errors.</t>
  </si>
  <si>
    <t>1. Click Add
2. Upload EXE
3. Save</t>
  </si>
  <si>
    <t>File: virus.exe</t>
  </si>
  <si>
    <t>The 'Verify upload invalid exe specification' action is executed successfully without errors, UI reflects changes, and backend validates input.</t>
  </si>
  <si>
    <t>Failed: The system encountered an error during 'Verify upload invalid exe specification'. Refer to related bug report.</t>
  </si>
  <si>
    <t>مش بيقبل الـ exe عادي فالمفروض passed</t>
  </si>
  <si>
    <t>TC_ADMIN_034</t>
  </si>
  <si>
    <t>Verify upload large specification file</t>
  </si>
  <si>
    <t>Ensure that the system successfully completes the 'file size limit validation (&gt;1MB)' process, as users must be able to execute this business logic without errors.</t>
  </si>
  <si>
    <t>1. Click Add
2. Upload 5MB file
3. Save</t>
  </si>
  <si>
    <t>File: large.pdf</t>
  </si>
  <si>
    <t>The 'Verify upload large specification file' action is executed successfully without errors, UI reflects changes, and backend validates input.</t>
  </si>
  <si>
    <t>As expected: The action 'Verify upload large specification file' was completed successfully.</t>
  </si>
  <si>
    <t>TC_ADMIN_035</t>
  </si>
  <si>
    <t>Verify replace existing specification</t>
  </si>
  <si>
    <t>Ensure that the system successfully completes the 'replacing an uploaded spec file' process, as users must be able to execute this business logic without errors.</t>
  </si>
  <si>
    <t>1. Edit Title
2. Upload new file
3. Save</t>
  </si>
  <si>
    <t>File: new_spec.pdf</t>
  </si>
  <si>
    <t>The 'Verify replace existing specification' action is executed successfully without errors, UI reflects changes, and backend validates input.</t>
  </si>
  <si>
    <t>As expected: The action 'Verify replace existing specification' was completed successfully.</t>
  </si>
  <si>
    <t>TC_ADMIN_036</t>
  </si>
  <si>
    <t>Verify delete existing specification</t>
  </si>
  <si>
    <t>Ensure that the system successfully completes the 'removing an uploaded spec file' process, as users must be able to execute this business logic without errors.</t>
  </si>
  <si>
    <t>1. Edit Title
2. Click Delete on file
3. Save</t>
  </si>
  <si>
    <t>Action: Delete file</t>
  </si>
  <si>
    <t>The 'Verify delete existing specification' action is executed successfully without errors, UI reflects changes, and backend validates input.</t>
  </si>
  <si>
    <t>As expected: The action 'Verify delete existing specification' was completed successfully.</t>
  </si>
  <si>
    <t>TC_ADMIN_037</t>
  </si>
  <si>
    <t>Verify edit job title name</t>
  </si>
  <si>
    <t>Ensure that the system successfully completes the 'modifying an existing Job Title' process, as users must be able to execute this business logic without errors.</t>
  </si>
  <si>
    <t>1. Edit Title
2. Change name
3. Save</t>
  </si>
  <si>
    <t>Title: Senior QA</t>
  </si>
  <si>
    <t>The 'Verify edit job title name' action is executed successfully without errors, UI reflects changes, and backend validates input.</t>
  </si>
  <si>
    <t>As expected: The action 'Verify edit job title name' was completed successfully.</t>
  </si>
  <si>
    <t>TC_ADMIN_038</t>
  </si>
  <si>
    <t>Verify edit to duplicate name</t>
  </si>
  <si>
    <t>Ensure that the system successfully completes the 'validation when renaming to existing title' process, as users must be able to execute this business logic without errors.</t>
  </si>
  <si>
    <t>1. Edit Title
2. Change to 'CEO'
3. Save</t>
  </si>
  <si>
    <t>The 'Verify edit to duplicate name' action is executed successfully without errors, UI reflects changes, and backend validates input.</t>
  </si>
  <si>
    <t>As expected: The action 'Verify edit to duplicate name' was completed successfully.</t>
  </si>
  <si>
    <t>TC_ADMIN_039</t>
  </si>
  <si>
    <t>Verify cancel add operation</t>
  </si>
  <si>
    <t>Ensure that the system successfully completes the 'Cancel button redirects to list' process, as users must be able to execute this business logic without errors.</t>
  </si>
  <si>
    <t>1. Click Add
2. Click Cancel</t>
  </si>
  <si>
    <t>Action: Cancel</t>
  </si>
  <si>
    <t>The 'Verify cancel add operation' action is executed successfully without errors, UI reflects changes, and backend validates input.</t>
  </si>
  <si>
    <t>As expected: The action 'Verify cancel add operation' was completed successfully.</t>
  </si>
  <si>
    <t>TC_ADMIN_040</t>
  </si>
  <si>
    <t>Verify cancel edit operation</t>
  </si>
  <si>
    <t>Ensure that the system successfully completes the 'Cancel button discards changes' process, as users must be able to execute this business logic without errors.</t>
  </si>
  <si>
    <t>1. Edit Title
2. Click Cancel</t>
  </si>
  <si>
    <t>The 'Verify cancel edit operation' action is executed successfully without errors, UI reflects changes, and backend validates input.</t>
  </si>
  <si>
    <t>As expected: The action 'Verify cancel edit operation' was completed successfully.</t>
  </si>
  <si>
    <t>TC_ADMIN_041</t>
  </si>
  <si>
    <t>Verify delete single job title</t>
  </si>
  <si>
    <t>Ensure that the system successfully completes the 'deleting one Job Title' process, as users must be able to execute this business logic without errors.</t>
  </si>
  <si>
    <t>1. Click Delete icon
2. Confirm</t>
  </si>
  <si>
    <t>Action: Delete 1</t>
  </si>
  <si>
    <t>The 'Verify delete single job title' action is executed successfully without errors, UI reflects changes, and backend validates input.</t>
  </si>
  <si>
    <t>As expected: The action 'Verify delete single job title' was completed successfully.</t>
  </si>
  <si>
    <t>TC_ADMIN_042</t>
  </si>
  <si>
    <t>Verify delete multiple job titles</t>
  </si>
  <si>
    <t>Ensure that the system successfully completes the 'batch deletion using checkboxes' process, as users must be able to execute this business logic without errors.</t>
  </si>
  <si>
    <t>1. Select multiple
2. Click Delete Selected</t>
  </si>
  <si>
    <t>Action: Delete 3</t>
  </si>
  <si>
    <t>The 'Verify delete multiple job titles' action is executed successfully without errors, UI reflects changes, and backend validates input.</t>
  </si>
  <si>
    <t>As expected: The action 'Verify delete multiple job titles' was completed successfully.</t>
  </si>
  <si>
    <t>TC_ADMIN_043</t>
  </si>
  <si>
    <t>Verify delete assigned job title</t>
  </si>
  <si>
    <t>Ensure that the system successfully completes the 'deleting a title assigned to employees' process, as users must be able to execute this business logic without errors.</t>
  </si>
  <si>
    <t>1. Delete title assigned to John Doe</t>
  </si>
  <si>
    <t>The 'Verify delete assigned job title' action is executed successfully without errors, UI reflects changes, and backend validates input.</t>
  </si>
  <si>
    <t>Failed: The system encountered an error during 'Verify delete assigned job title'. Refer to related bug report.</t>
  </si>
  <si>
    <t>TC_ADMIN_044</t>
  </si>
  <si>
    <t>Verify cancel delete operation</t>
  </si>
  <si>
    <t>Ensure that the system successfully completes the 'No, Cancel on delete modal' process, as users must be able to execute this business logic without errors.</t>
  </si>
  <si>
    <t>1. Click Delete
2. Click No, Cancel</t>
  </si>
  <si>
    <t>Action: Cancel Delete</t>
  </si>
  <si>
    <t>The 'Verify cancel delete operation' action is executed successfully without errors, UI reflects changes, and backend validates input.</t>
  </si>
  <si>
    <t>As expected: The action 'Verify cancel delete operation' was completed successfully.</t>
  </si>
  <si>
    <t>TC_ADMIN_045</t>
  </si>
  <si>
    <t>Verify verify mandatory field asterisk</t>
  </si>
  <si>
    <t>Ensure that the system successfully completes the 'red asterisk is present on required fields' process, as users must be able to execute this business logic without errors.</t>
  </si>
  <si>
    <t>1. Click Add
2. Inspect UI</t>
  </si>
  <si>
    <t>UI Element</t>
  </si>
  <si>
    <t>The 'Verify verify mandatory field asterisk' action is executed successfully without errors, UI reflects changes, and backend validates input.</t>
  </si>
  <si>
    <t>As expected: The action 'Verify verify mandatory field asterisk' was completed successfully.</t>
  </si>
  <si>
    <t>TC_ADMIN_046</t>
  </si>
  <si>
    <t>Verify view list pagination</t>
  </si>
  <si>
    <t>Ensure that the system successfully completes the 'pagination works for &gt;50 records' process, as users must be able to execute this business logic without errors.</t>
  </si>
  <si>
    <t>1. Scroll to bottom
2. Click Next Page</t>
  </si>
  <si>
    <t>The 'Verify view list pagination' action is executed successfully without errors, UI reflects changes, and backend validates input.</t>
  </si>
  <si>
    <t>As expected: The action 'Verify view list pagination' was completed successfully.</t>
  </si>
  <si>
    <t>TC_ADMIN_047</t>
  </si>
  <si>
    <t>Verify sort list by title ascending</t>
  </si>
  <si>
    <t>Ensure that the system successfully completes the 'sorting by Title A-Z' process, as users must be able to execute this business logic without errors.</t>
  </si>
  <si>
    <t>1. Click Job Title header twice</t>
  </si>
  <si>
    <t>Action: Sort Asc</t>
  </si>
  <si>
    <t>The 'Verify sort list by title ascending' action is executed successfully without errors, UI reflects changes, and backend validates input.</t>
  </si>
  <si>
    <t>As expected: The action 'Verify sort list by title ascending' was completed successfully.</t>
  </si>
  <si>
    <t>TC_ADMIN_048</t>
  </si>
  <si>
    <t>Verify sort list by title descending</t>
  </si>
  <si>
    <t>Ensure that the system successfully completes the 'sorting by Title Z-A' process, as users must be able to execute this business logic without errors.</t>
  </si>
  <si>
    <t>1. Click Job Title header thrice</t>
  </si>
  <si>
    <t>Action: Sort Desc</t>
  </si>
  <si>
    <t>The 'Verify sort list by title descending' action is executed successfully without errors, UI reflects changes, and backend validates input.</t>
  </si>
  <si>
    <t>As expected: The action 'Verify sort list by title descending' was completed successfully.</t>
  </si>
  <si>
    <t>TC_ADMIN_049</t>
  </si>
  <si>
    <t>Verify xss payload in job title</t>
  </si>
  <si>
    <t>Ensure that the system successfully completes the 'system sanitizes XSS inputs' process, as users must be able to execute this business logic without errors.</t>
  </si>
  <si>
    <t>1. Add Title
2. Enter &lt;script&gt;alert(1)&lt;/script&gt;</t>
  </si>
  <si>
    <t>Title: &lt;script&gt;...</t>
  </si>
  <si>
    <t>The 'Verify xss payload in job title' action is executed successfully without errors, UI reflects changes, and backend validates input.</t>
  </si>
  <si>
    <t>As expected: The action 'Verify xss payload in job title' was completed successfully.</t>
  </si>
  <si>
    <t>TC_ADMIN_050</t>
  </si>
  <si>
    <t>Verify ui responsiveness</t>
  </si>
  <si>
    <t>Ensure that the system successfully completes the 'list view on mobile screen size' process, as users must be able to execute this business logic without errors.</t>
  </si>
  <si>
    <t>1. Resize window to 375px width</t>
  </si>
  <si>
    <t>Action: Resize</t>
  </si>
  <si>
    <t>The 'Verify ui responsiveness' action is executed successfully without errors, UI reflects changes, and backend validates input.</t>
  </si>
  <si>
    <t>As expected: The action 'Verify ui responsiveness' was completed successfully.</t>
  </si>
  <si>
    <t>TC_ADMIN_051</t>
  </si>
  <si>
    <t>US_005</t>
  </si>
  <si>
    <t>Verify add valid pay grade</t>
  </si>
  <si>
    <t>Ensure that the system successfully completes the 'adding a Pay Grade name' process, as users must be able to execute this business logic without errors.</t>
  </si>
  <si>
    <t>Admin is logged in and navigates to Admin &gt; Pay Grades.</t>
  </si>
  <si>
    <t>1. Click Add
2. Enter Name
3. Save</t>
  </si>
  <si>
    <t>Name: Level 1</t>
  </si>
  <si>
    <t>The 'Verify add valid pay grade' action is executed successfully without errors, UI reflects changes, and backend validates input.</t>
  </si>
  <si>
    <t>System state updated for module PG.</t>
  </si>
  <si>
    <t>As expected: The action 'Verify add valid pay grade' was completed successfully.</t>
  </si>
  <si>
    <t>TC_ADMIN_052</t>
  </si>
  <si>
    <t>Verify add empty pay grade</t>
  </si>
  <si>
    <t>Ensure that the system successfully completes the 'validation for empty name' process, as users must be able to execute this business logic without errors.</t>
  </si>
  <si>
    <t>1. Click Add
2. Save</t>
  </si>
  <si>
    <t>Name: &lt;empty&gt;</t>
  </si>
  <si>
    <t>The 'Verify add empty pay grade' action is executed successfully without errors, UI reflects changes, and backend validates input.</t>
  </si>
  <si>
    <t>As expected: The action 'Verify add empty pay grade' was completed successfully.</t>
  </si>
  <si>
    <t>TC_ADMIN_053</t>
  </si>
  <si>
    <t>Verify add duplicate pay grade</t>
  </si>
  <si>
    <t>Ensure that the system successfully completes the 'validation for existing grade' process, as users must be able to execute this business logic without errors.</t>
  </si>
  <si>
    <t>1. Click Add
2. Enter existing name</t>
  </si>
  <si>
    <t>Name: CEO Grade</t>
  </si>
  <si>
    <t>The 'Verify add duplicate pay grade' action is executed successfully without errors, UI reflects changes, and backend validates input.</t>
  </si>
  <si>
    <t>As expected: The action 'Verify add duplicate pay grade' was completed successfully.</t>
  </si>
  <si>
    <t>TC_ADMIN_054</t>
  </si>
  <si>
    <t>Verify add pay grade max length</t>
  </si>
  <si>
    <t>Ensure that the system successfully completes the 'max length of 50 chars' process, as users must be able to execute this business logic without errors.</t>
  </si>
  <si>
    <t>1. Click Add
2. Enter 50 chars</t>
  </si>
  <si>
    <t>Name: 50 chars...</t>
  </si>
  <si>
    <t>The 'Verify add pay grade max length' action is executed successfully without errors, UI reflects changes, and backend validates input.</t>
  </si>
  <si>
    <t>As expected: The action 'Verify add pay grade max length' was completed successfully.</t>
  </si>
  <si>
    <t>TC_ADMIN_055</t>
  </si>
  <si>
    <t>Verify edit pay grade name</t>
  </si>
  <si>
    <t>Ensure that the system successfully completes the 'modifying grade name' process, as users must be able to execute this business logic without errors.</t>
  </si>
  <si>
    <t>1. Edit Grade
2. Change Name
3. Save</t>
  </si>
  <si>
    <t>Name: Level 1b</t>
  </si>
  <si>
    <t>The 'Verify edit pay grade name' action is executed successfully without errors, UI reflects changes, and backend validates input.</t>
  </si>
  <si>
    <t>As expected: The action 'Verify edit pay grade name' was completed successfully.</t>
  </si>
  <si>
    <t>TC_ADMIN_056</t>
  </si>
  <si>
    <t>Verify cancel add pay grade</t>
  </si>
  <si>
    <t>Ensure that the system successfully completes the 'Cancel button behavior' process, as users must be able to execute this business logic without errors.</t>
  </si>
  <si>
    <t>The 'Verify cancel add pay grade' action is executed successfully without errors, UI reflects changes, and backend validates input.</t>
  </si>
  <si>
    <t>As expected: The action 'Verify cancel add pay grade' was completed successfully.</t>
  </si>
  <si>
    <t>TC_ADMIN_057</t>
  </si>
  <si>
    <t>Verify delete single pay grade</t>
  </si>
  <si>
    <t>Ensure that the system successfully completes the 'deleting a pay grade' process, as users must be able to execute this business logic without errors.</t>
  </si>
  <si>
    <t>1. Click Delete
2. Confirm</t>
  </si>
  <si>
    <t>The 'Verify delete single pay grade' action is executed successfully without errors, UI reflects changes, and backend validates input.</t>
  </si>
  <si>
    <t>As expected: The action 'Verify delete single pay grade' was completed successfully.</t>
  </si>
  <si>
    <t>TC_ADMIN_058</t>
  </si>
  <si>
    <t>Verify add currency - valid bounds</t>
  </si>
  <si>
    <t>Ensure that the system successfully completes the 'adding USD with min/max' process, as users must be able to execute this business logic without errors.</t>
  </si>
  <si>
    <t>1. Add Currency
2. Select USD, Min 1000, Max 5000</t>
  </si>
  <si>
    <t>Min: 1000, Max: 5000</t>
  </si>
  <si>
    <t>The 'Verify add currency - valid bounds' action is executed successfully without errors, UI reflects changes, and backend validates input.</t>
  </si>
  <si>
    <t>As expected: The action 'Verify add currency - valid bounds' was completed successfully.</t>
  </si>
  <si>
    <t>TC_ADMIN_059</t>
  </si>
  <si>
    <t>Verify add currency - missing min</t>
  </si>
  <si>
    <t>Ensure that the system successfully completes the 'adding currency with only Max' process, as users must be able to execute this business logic without errors.</t>
  </si>
  <si>
    <t>1. Add Currency
2. Select USD, Max 5000</t>
  </si>
  <si>
    <t>Min: empty, Max: 5000</t>
  </si>
  <si>
    <t>The 'Verify add currency - missing min' action is executed successfully without errors, UI reflects changes, and backend validates input.</t>
  </si>
  <si>
    <t>As expected: The action 'Verify add currency - missing min' was completed successfully.</t>
  </si>
  <si>
    <t>TC_ADMIN_060</t>
  </si>
  <si>
    <t>Verify add currency - missing max</t>
  </si>
  <si>
    <t>Ensure that the system successfully completes the 'adding currency with only Min' process, as users must be able to execute this business logic without errors.</t>
  </si>
  <si>
    <t>1. Add Currency
2. Select USD, Min 1000</t>
  </si>
  <si>
    <t>Min: 1000, Max: empty</t>
  </si>
  <si>
    <t>The 'Verify add currency - missing max' action is executed successfully without errors, UI reflects changes, and backend validates input.</t>
  </si>
  <si>
    <t>As expected: The action 'Verify add currency - missing max' was completed successfully.</t>
  </si>
  <si>
    <t xml:space="preserve">مش بيقبل max فاضية </t>
  </si>
  <si>
    <t>TC_ADMIN_061</t>
  </si>
  <si>
    <t>Verify add currency - min &gt; max</t>
  </si>
  <si>
    <t>Ensure that the system successfully completes the 'validation when Min &gt; Max' process, as users must be able to execute this business logic without errors.</t>
  </si>
  <si>
    <t>1. Add Currency
2. Min 5000, Max 1000</t>
  </si>
  <si>
    <t>Min: 5000, Max: 1000</t>
  </si>
  <si>
    <t>The 'Verify add currency - min &gt; max' action is executed successfully without errors, UI reflects changes, and backend validates input.</t>
  </si>
  <si>
    <t>Failed: The system encountered an error during 'Verify add currency - min &gt; max'. Refer to related bug report.</t>
  </si>
  <si>
    <t>مش بيقبل اقل من الـ min برضه المفروض passed</t>
  </si>
  <si>
    <t>TC_ADMIN_062</t>
  </si>
  <si>
    <t>Verify add currency - negative salary</t>
  </si>
  <si>
    <t>Ensure that the system successfully completes the 'validation for negative numbers' process, as users must be able to execute this business logic without errors.</t>
  </si>
  <si>
    <t>1. Add Currency
2. Min -500</t>
  </si>
  <si>
    <t>Min: -500</t>
  </si>
  <si>
    <t>The 'Verify add currency - negative salary' action is executed successfully without errors, UI reflects changes, and backend validates input.</t>
  </si>
  <si>
    <t>As expected: The action 'Verify add currency - negative salary' was completed successfully.</t>
  </si>
  <si>
    <t>TC_ADMIN_063</t>
  </si>
  <si>
    <t>Verify add currency - alphanumeric</t>
  </si>
  <si>
    <t>Ensure that the system successfully completes the 'validation for letters in salary' process, as users must be able to execute this business logic without errors.</t>
  </si>
  <si>
    <t>1. Add Currency
2. Min 1000A</t>
  </si>
  <si>
    <t>Min: 1000A</t>
  </si>
  <si>
    <t>The 'Verify add currency - alphanumeric' action is executed successfully without errors, UI reflects changes, and backend validates input.</t>
  </si>
  <si>
    <t>As expected: The action 'Verify add currency - alphanumeric' was completed successfully.</t>
  </si>
  <si>
    <t>TC_ADMIN_064</t>
  </si>
  <si>
    <t>Verify add currency - decimals</t>
  </si>
  <si>
    <t>Ensure that the system successfully completes the 'valid decimal handling (2 places)' process, as users must be able to execute this business logic without errors.</t>
  </si>
  <si>
    <t>1. Add Currency
2. Min
1000.50</t>
  </si>
  <si>
    <t>Min: 1000.50</t>
  </si>
  <si>
    <t>The 'Verify add currency - decimals' action is executed successfully without errors, UI reflects changes, and backend validates input.</t>
  </si>
  <si>
    <t>As expected: The action 'Verify add currency - decimals' was completed successfully.</t>
  </si>
  <si>
    <t>TC_ADMIN_065</t>
  </si>
  <si>
    <t>Verify edit currency bounds</t>
  </si>
  <si>
    <t>Ensure that the system successfully completes the 'updating existing currency limits' process, as users must be able to execute this business logic without errors.</t>
  </si>
  <si>
    <t>1. Edit Currency
2. Update Max</t>
  </si>
  <si>
    <t>Max: 6000</t>
  </si>
  <si>
    <t>The 'Verify edit currency bounds' action is executed successfully without errors, UI reflects changes, and backend validates input.</t>
  </si>
  <si>
    <t>As expected: The action 'Verify edit currency bounds' was completed successfully.</t>
  </si>
  <si>
    <t>TC_ADMIN_066</t>
  </si>
  <si>
    <t>Verify add duplicate currency</t>
  </si>
  <si>
    <t>Ensure that the system successfully completes the 'adding same currency twice to one grade' process, as users must be able to execute this business logic without errors.</t>
  </si>
  <si>
    <t>1. Add Currency
2. Select USD again</t>
  </si>
  <si>
    <t>Currency: USD</t>
  </si>
  <si>
    <t>The 'Verify add duplicate currency' action is executed successfully without errors, UI reflects changes, and backend validates input.</t>
  </si>
  <si>
    <t>As expected: The action 'Verify add duplicate currency' was completed successfully.</t>
  </si>
  <si>
    <t>TC_ADMIN_067</t>
  </si>
  <si>
    <t>Verify delete currency</t>
  </si>
  <si>
    <t>Ensure that the system successfully completes the 'removing currency from grade' process, as users must be able to execute this business logic without errors.</t>
  </si>
  <si>
    <t>1. Delete Currency
2. Confirm</t>
  </si>
  <si>
    <t>The 'Verify delete currency' action is executed successfully without errors, UI reflects changes, and backend validates input.</t>
  </si>
  <si>
    <t>As expected: The action 'Verify delete currency' was completed successfully.</t>
  </si>
  <si>
    <t>TC_ADMIN_068</t>
  </si>
  <si>
    <t>Verify multiple currencies</t>
  </si>
  <si>
    <t>Ensure that the system successfully completes the 'assigning USD and EUR to same grade' process, as users must be able to execute this business logic without errors.</t>
  </si>
  <si>
    <t>1. Add USD
2. Add EUR</t>
  </si>
  <si>
    <t>Currencies: USD, EUR</t>
  </si>
  <si>
    <t>The 'Verify multiple currencies' action is executed successfully without errors, UI reflects changes, and backend validates input.</t>
  </si>
  <si>
    <t>As expected: The action 'Verify multiple currencies' was completed successfully.</t>
  </si>
  <si>
    <t>TC_ADMIN_069</t>
  </si>
  <si>
    <t>Verify sqli payload in name</t>
  </si>
  <si>
    <t>Ensure that the system successfully completes the 'system handles SQL injection payload' process, as users must be able to execute this business logic without errors.</t>
  </si>
  <si>
    <t>1. Add Name
2. Enter ' OR 1=1--</t>
  </si>
  <si>
    <t>Name: ' OR 1=1--</t>
  </si>
  <si>
    <t>The 'Verify sqli payload in name' action is executed successfully without errors, UI reflects changes, and backend validates input.</t>
  </si>
  <si>
    <t>As expected: The action 'Verify sqli payload in name' was completed successfully.</t>
  </si>
  <si>
    <t>TC_ADMIN_070</t>
  </si>
  <si>
    <t>Verify delete multiple pay grades</t>
  </si>
  <si>
    <t>Ensure that the system successfully completes the 'batch deletion' process, as users must be able to execute this business logic without errors.</t>
  </si>
  <si>
    <t>1. Select multiple
2. Delete Selected</t>
  </si>
  <si>
    <t>The 'Verify delete multiple pay grades' action is executed successfully without errors, UI reflects changes, and backend validates input.</t>
  </si>
  <si>
    <t>As expected: The action 'Verify delete multiple pay grades' was completed successfully.</t>
  </si>
  <si>
    <t>TC_ADMIN_071</t>
  </si>
  <si>
    <t>Verify delete assigned pay grade</t>
  </si>
  <si>
    <t>Ensure that the system successfully completes the 'deleting grade assigned to employee' process, as users must be able to execute this business logic without errors.</t>
  </si>
  <si>
    <t>1. Delete assigned grade</t>
  </si>
  <si>
    <t>The 'Verify delete assigned pay grade' action is executed successfully without errors, UI reflects changes, and backend validates input.</t>
  </si>
  <si>
    <t>Failed: The system encountered an error during 'Verify delete assigned pay grade'. Refer to related bug report.</t>
  </si>
  <si>
    <t>TC_ADMIN_072</t>
  </si>
  <si>
    <t>Verify sort pay grades by name</t>
  </si>
  <si>
    <t>Ensure that the system successfully completes the 'sorting functionality' process, as users must be able to execute this business logic without errors.</t>
  </si>
  <si>
    <t>1. Click Name header twice</t>
  </si>
  <si>
    <t>Action: Sort</t>
  </si>
  <si>
    <t>The 'Verify sort pay grades by name' action is executed successfully without errors, UI reflects changes, and backend validates input.</t>
  </si>
  <si>
    <t>As expected: The action 'Verify sort pay grades by name' was completed successfully.</t>
  </si>
  <si>
    <t>TC_ADMIN_073</t>
  </si>
  <si>
    <t>Verify verify currency format in list</t>
  </si>
  <si>
    <t>Ensure that the system successfully completes the 'salaries display with correct formatting' process, as users must be able to execute this business logic without errors.</t>
  </si>
  <si>
    <t>1. View list</t>
  </si>
  <si>
    <t>Action: View</t>
  </si>
  <si>
    <t>The 'Verify verify currency format in list' action is executed successfully without errors, UI reflects changes, and backend validates input.</t>
  </si>
  <si>
    <t>As expected: The action 'Verify verify currency format in list' was completed successfully.</t>
  </si>
  <si>
    <t>TC_ADMIN_074</t>
  </si>
  <si>
    <t>Verify pagination for pay grades</t>
  </si>
  <si>
    <t>Ensure that the system successfully completes the 'pagination works correctly' process, as users must be able to execute this business logic without errors.</t>
  </si>
  <si>
    <t>1. Scroll to bottom
2. Next Page</t>
  </si>
  <si>
    <t>Action: Next</t>
  </si>
  <si>
    <t>The 'Verify pagination for pay grades' action is executed successfully without errors, UI reflects changes, and backend validates input.</t>
  </si>
  <si>
    <t>As expected: The action 'Verify pagination for pay grades' was completed successfully.</t>
  </si>
  <si>
    <t>TC_ADMIN_075</t>
  </si>
  <si>
    <t>Verify verify grade ui on mobile</t>
  </si>
  <si>
    <t>Ensure that the system successfully completes the 'responsiveness of Pay Grades screen' process, as users must be able to execute this business logic without errors.</t>
  </si>
  <si>
    <t>1. Resize window to mobile</t>
  </si>
  <si>
    <t>The 'Verify verify grade ui on mobile' action is executed successfully without errors, UI reflects changes, and backend validates input.</t>
  </si>
  <si>
    <t>As expected: The action 'Verify verify grade ui on mobile' was completed successfully.</t>
  </si>
  <si>
    <t>TC_ADMIN_076</t>
  </si>
  <si>
    <t>US_006</t>
  </si>
  <si>
    <t>Verify Admin can navigate to Employment Status page</t>
  </si>
  <si>
    <t>Ensure Admin can access Employment Status page from Admin module navigation menu</t>
  </si>
  <si>
    <t>Admin user logged in successfully</t>
  </si>
  <si>
    <t>1. Navigate to Admin module
2. Click Employment Status option</t>
  </si>
  <si>
    <t>System redirects Admin to Employment Status page successfully</t>
  </si>
  <si>
    <t>Employment Status page displayed successfully</t>
  </si>
  <si>
    <t>Employment Status page opened successfully</t>
  </si>
  <si>
    <t>TC_ADMIN_077</t>
  </si>
  <si>
    <t>Verify Employment Status records table is displayed</t>
  </si>
  <si>
    <t>Ensure Employment Status table appears correctly after page load</t>
  </si>
  <si>
    <t>User on Employment Status page</t>
  </si>
  <si>
    <t>1. Open Employment Status page
2. Observe records table</t>
  </si>
  <si>
    <t>Employment Status table displayed successfully</t>
  </si>
  <si>
    <t>Table ready for interaction</t>
  </si>
  <si>
    <t>TC_ADMIN_078</t>
  </si>
  <si>
    <t>Verify Employment Status Name column is displayed correctly</t>
  </si>
  <si>
    <t>Ensure table contains Employment Status Name column</t>
  </si>
  <si>
    <t>Employment Status page opened</t>
  </si>
  <si>
    <t>1. Observe table headers</t>
  </si>
  <si>
    <t>Employment Status Name column displayed correctly</t>
  </si>
  <si>
    <t>Table structure validated successfully</t>
  </si>
  <si>
    <t>Employment Status Name column displayed successfully</t>
  </si>
  <si>
    <t>TC_ADMIN_079</t>
  </si>
  <si>
    <t>Verify existing employment status records appear in table</t>
  </si>
  <si>
    <t>Ensure previously created employment statuses are displayed correctly</t>
  </si>
  <si>
    <t>Existing employment status records available</t>
  </si>
  <si>
    <t>1. Open Employment Status page
2. Observe records list</t>
  </si>
  <si>
    <t>Existing records:
Full-Time
Part-Time
Contract</t>
  </si>
  <si>
    <t>Existing employment statuses displayed correctly in table</t>
  </si>
  <si>
    <t>Records available for management</t>
  </si>
  <si>
    <t>Existing employment statuses displayed successfully</t>
  </si>
  <si>
    <t>TC_ADMIN_080</t>
  </si>
  <si>
    <t>Verify Add button opens Add Employment Status form</t>
  </si>
  <si>
    <t>Ensure Add form appears after clicking Add button</t>
  </si>
  <si>
    <t>User on Reporting Methods page</t>
  </si>
  <si>
    <t>1. Click Add button</t>
  </si>
  <si>
    <t>Add Reporting Method form opens successfully</t>
  </si>
  <si>
    <t>Form ready for input</t>
  </si>
  <si>
    <t>Form opened successfully</t>
  </si>
  <si>
    <t>TC_ADMIN_081</t>
  </si>
  <si>
    <t>Verify system prevents submission with empty required fields</t>
  </si>
  <si>
    <t>Ensure validation messages appear when required field is empty</t>
  </si>
  <si>
    <t>Add form opened</t>
  </si>
  <si>
    <t>1. Leave Employment Status Name empty
2. Click Save</t>
  </si>
  <si>
    <t>Empty field</t>
  </si>
  <si>
    <t>Validation displayed and save operation blocked</t>
  </si>
  <si>
    <t>No record created</t>
  </si>
  <si>
    <t>Validation displayed successfully</t>
  </si>
  <si>
    <t>TC_ADMIN_082</t>
  </si>
  <si>
    <t>Verify validation error is cleared after entering valid Employment Status Name</t>
  </si>
  <si>
    <t>Ensure validation message disappears once valid input is entered</t>
  </si>
  <si>
    <t>Validation error already displayed</t>
  </si>
  <si>
    <t>1. Leave field empty
2. Click Save
3. Enter valid Employment Status Name</t>
  </si>
  <si>
    <t>Employment Status Name: Internship</t>
  </si>
  <si>
    <t>Validation message disappears after entering valid value</t>
  </si>
  <si>
    <t>Form becomes valid for submission</t>
  </si>
  <si>
    <t>Validation message cleared successfully</t>
  </si>
  <si>
    <t>TC_ADMIN_083</t>
  </si>
  <si>
    <t>Verify reporting method is created successfully with valid data</t>
  </si>
  <si>
    <t>Ensure valid employment status data is saved correctly</t>
  </si>
  <si>
    <t>1. Enter valid employment status name
2. Click Save</t>
  </si>
  <si>
    <t>employment status Name: Direct Manager
 Review</t>
  </si>
  <si>
    <t>employment status created successfully</t>
  </si>
  <si>
    <t>New record stored successfully</t>
  </si>
  <si>
    <t>Record created successfully</t>
  </si>
  <si>
    <t>TC_ADMIN_084</t>
  </si>
  <si>
    <t>Verify new employment status appears immediately in table</t>
  </si>
  <si>
    <t>Ensure table refreshes automatically after creation</t>
  </si>
  <si>
    <t>1. Save new employment status
2. Observe records table</t>
  </si>
  <si>
    <t>Direct Manager Review</t>
  </si>
  <si>
    <t>New employment status displayed immediately in table</t>
  </si>
  <si>
    <t>Record available for editing/deletion</t>
  </si>
  <si>
    <t>New record displayed successfully</t>
  </si>
  <si>
    <t>TC_ADMIN_085</t>
  </si>
  <si>
    <t>Verify success message appears after adding employment status</t>
  </si>
  <si>
    <t>Ensure system confirms successful creation</t>
  </si>
  <si>
    <t>Valid submission completed</t>
  </si>
  <si>
    <t>1. Create employment status
2. Observe notification</t>
  </si>
  <si>
    <t>Valid employment status</t>
  </si>
  <si>
    <t>Success message displayed successfully</t>
  </si>
  <si>
    <t>User informed about successful operation</t>
  </si>
  <si>
    <t>TC_ADMIN_086</t>
  </si>
  <si>
    <t>Verify system handles special characters in employment status names correctly</t>
  </si>
  <si>
    <t>Ensure special characters do not break UI or cause unexpected behavior</t>
  </si>
  <si>
    <t>Admin on Add employment status form</t>
  </si>
  <si>
    <t>1. Click Add button
2. Enter employment status name with special characters
3. Click Save
4. Observe table and UI behavior</t>
  </si>
  <si>
    <t>employment status Name:
"@@@###%%%HR_Method!!!"</t>
  </si>
  <si>
    <t>System should validate input properly and maintain stable UI layout</t>
  </si>
  <si>
    <t>UI remains functional and readable</t>
  </si>
  <si>
    <t>Special characters caused UI layout issues in employment statuss table</t>
  </si>
  <si>
    <t>TC_ADMIN_087</t>
  </si>
  <si>
    <t>Verify system prevents duplicate employment statuss</t>
  </si>
  <si>
    <t>Ensure duplicate employment status names cannot be added</t>
  </si>
  <si>
    <t>Existing employment status available</t>
  </si>
  <si>
    <t>1. Click Add button
2. Enter existing employment status name
3. Click Save</t>
  </si>
  <si>
    <t>employment status Name: HR Approval</t>
  </si>
  <si>
    <t>System prevents duplicate employment status creation</t>
  </si>
  <si>
    <t>No duplicate record created</t>
  </si>
  <si>
    <t>Duplicate employment status was not created</t>
  </si>
  <si>
    <t>TC_ADMIN_088</t>
  </si>
  <si>
    <t>Verify duplicate employment statuss are not created on double Save click</t>
  </si>
  <si>
    <t>Ensure system prevents duplicate creation caused by rapid multiple clicks</t>
  </si>
  <si>
    <t>Add employment status form opened</t>
  </si>
  <si>
    <t>1. Enter valid employment status data
2. Double-click Save button rapidly
3. Observe employment status table</t>
  </si>
  <si>
    <t>employment status Name: Operations Approval</t>
  </si>
  <si>
    <t>Only one employment status record should be created</t>
  </si>
  <si>
    <t>Single valid record stored</t>
  </si>
  <si>
    <t>Only one employment status record created successfully</t>
  </si>
  <si>
    <t>TC_ADMIN_090</t>
  </si>
  <si>
    <t>Verify Edit form opens successfully for selected employment status</t>
  </si>
  <si>
    <t>Ensure Edit form loads correctly with existing employment status data</t>
  </si>
  <si>
    <t>Existing employment status available
Admin user on Employment Status page</t>
  </si>
  <si>
    <t>1. Select existing employment status
2. Click Edit button</t>
  </si>
  <si>
    <t>Existing Status: Full-Time</t>
  </si>
  <si>
    <t>Edit form displayed with existing employment status data</t>
  </si>
  <si>
    <t>Record ready for editing</t>
  </si>
  <si>
    <t>Edit form opened successfully with existing data</t>
  </si>
  <si>
    <t>TC_ADMIN_091</t>
  </si>
  <si>
    <t>Verify Edit button opens form with existing data</t>
  </si>
  <si>
    <t>Ensure existing record data loads correctly in edit form</t>
  </si>
  <si>
    <t>1. Click Edit button</t>
  </si>
  <si>
    <t>Existing record</t>
  </si>
  <si>
    <t>Edit form opens with pre-filled data</t>
  </si>
  <si>
    <t>Record enters edit mode</t>
  </si>
  <si>
    <t>Edit form opened successfully</t>
  </si>
  <si>
    <t>TC_ADMIN_092</t>
  </si>
  <si>
    <t>Verify admin can update employment status details</t>
  </si>
  <si>
    <t>Ensure edited values are saved successfully</t>
  </si>
  <si>
    <t>Edit form opened</t>
  </si>
  <si>
    <t>1. Modify employment status details
2. Click Save</t>
  </si>
  <si>
    <t>Updated Name: HR Final Approval</t>
  </si>
  <si>
    <t>Changes saved successfully</t>
  </si>
  <si>
    <t>Updated record stored successfully</t>
  </si>
  <si>
    <t>Record updated successfully</t>
  </si>
  <si>
    <t>TC_ADMIN_093</t>
  </si>
  <si>
    <t>Verify updated employment status appears immediately in table</t>
  </si>
  <si>
    <t>Ensure latest values display correctly after update</t>
  </si>
  <si>
    <t>1. Update employment status
2. Return to records table</t>
  </si>
  <si>
    <t>Updated employment status</t>
  </si>
  <si>
    <t>Updated data reflected immediately in table</t>
  </si>
  <si>
    <t>Table synchronized successfully</t>
  </si>
  <si>
    <t>Updated data displayed successfully</t>
  </si>
  <si>
    <t>TC_ADMIN_094</t>
  </si>
  <si>
    <t>Verify success message appears after updating employment status</t>
  </si>
  <si>
    <t>Ensure system confirms successful update operation</t>
  </si>
  <si>
    <t>Valid update submitted</t>
  </si>
  <si>
    <t>1. Edit employment status
2. Save changes
3. Observe notification message</t>
  </si>
  <si>
    <t>Valid updated data</t>
  </si>
  <si>
    <t>User informed about successful update</t>
  </si>
  <si>
    <t>TC_ADMIN_095</t>
  </si>
  <si>
    <t>Verify refreshing page during edit does not corrupt data</t>
  </si>
  <si>
    <t>Ensure system preserves data integrity when user refreshes the page while editing a employment status</t>
  </si>
  <si>
    <t>1. Open Edit form for a employment status
2. Modify employment status name
3. Do not click Save
4. Refresh browser page (F5)
5. Return to employment status table
6. Open edited record again</t>
  </si>
  <si>
    <t>Original Name: HR Approval
Edited Name: HR Approval Updated</t>
  </si>
  <si>
    <t>Unsaved changes should be discarded safely without corrupting existing data</t>
  </si>
  <si>
    <t>Original employment status data remains unchanged and stable</t>
  </si>
  <si>
    <t>employment status data became corrupted after page refresh during edit process</t>
  </si>
  <si>
    <t>TC_ADMIN_096</t>
  </si>
  <si>
    <t>Verify employment Status  records can be selected using checkboxes</t>
  </si>
  <si>
    <t>Ensure admin can select one or multiple records for deletion</t>
  </si>
  <si>
    <t>Existing employment statuss available</t>
  </si>
  <si>
    <t>1. Select one checkbox
2. Select multiple checkboxes</t>
  </si>
  <si>
    <t>Existing records</t>
  </si>
  <si>
    <t>Selected records highlighted successfully</t>
  </si>
  <si>
    <t>Records marked for deletion action</t>
  </si>
  <si>
    <t>Records selected successfully</t>
  </si>
  <si>
    <t>TC_ADMIN_097</t>
  </si>
  <si>
    <t>Verify confirmation dialog appears before deletion</t>
  </si>
  <si>
    <t>Ensure system requests confirmation before deleting records</t>
  </si>
  <si>
    <t>Record selected successfully</t>
  </si>
  <si>
    <t>1. Select employment status
2. Click Delete button</t>
  </si>
  <si>
    <t>Existing Employment Status</t>
  </si>
  <si>
    <t>Confirmation popup displayed successfully</t>
  </si>
  <si>
    <t>Deletion waits for confirmation</t>
  </si>
  <si>
    <t>TC_ADMIN_098</t>
  </si>
  <si>
    <t>Verify employment Status  is deleted successfully after confirmation</t>
  </si>
  <si>
    <t>Ensure selected record is removed correctly after confirmation</t>
  </si>
  <si>
    <t>Confirmation popup displayed</t>
  </si>
  <si>
    <t>1. Confirm deletion</t>
  </si>
  <si>
    <t>Employment Status deleted successfully</t>
  </si>
  <si>
    <t>Record removed permanently</t>
  </si>
  <si>
    <t>Record deleted successfully</t>
  </si>
  <si>
    <t>TC_ADMIN_099</t>
  </si>
  <si>
    <t>Verify deleted remployment Status  no longer appears in table</t>
  </si>
  <si>
    <t>Ensure deleted record disappears immediately after deletion</t>
  </si>
  <si>
    <t>1. Delete employment status
2. Observe records table</t>
  </si>
  <si>
    <t>Deleted Employment Status</t>
  </si>
  <si>
    <t>Deleted record removed immediately from table</t>
  </si>
  <si>
    <t>Table updated successfully</t>
  </si>
  <si>
    <t>Record removed successfully</t>
  </si>
  <si>
    <t>TC_ADMIN_100</t>
  </si>
  <si>
    <t xml:space="preserve">Verify success message appears after deleting employment Status </t>
  </si>
  <si>
    <t>Ensure system confirms successful deletion</t>
  </si>
  <si>
    <t>1. Delete employment status
2. Observe notification message</t>
  </si>
  <si>
    <t>User informed about successful deletion</t>
  </si>
  <si>
    <t>TC_ADMIN_101</t>
  </si>
  <si>
    <t>Verify deleted employment Status does not reappear after refresh</t>
  </si>
  <si>
    <t>Ensure deleted record is permanently removed from table</t>
  </si>
  <si>
    <t>1. Delete employment status
2. Refresh browser page
3. Search for deleted record</t>
  </si>
  <si>
    <t>Employment Status: Part-Time</t>
  </si>
  <si>
    <t>Deleted employment status should not appear again after refresh</t>
  </si>
  <si>
    <t>Record permanently removed</t>
  </si>
  <si>
    <t>Deleted employment status remained deleted successfully</t>
  </si>
  <si>
    <t>TC_ADMIN_102</t>
  </si>
  <si>
    <t>Verify employment Status  is not deleted before confirmation</t>
  </si>
  <si>
    <t>Ensure deletion occurs only after user confirmation</t>
  </si>
  <si>
    <t>Existing employment status selected</t>
  </si>
  <si>
    <t>1. Click Delete button
2. Observe confirmation popup
3. Click Cancel</t>
  </si>
  <si>
    <t>Record should remain unchanged after canceling deletion</t>
  </si>
  <si>
    <t>Record remains available in table</t>
  </si>
  <si>
    <t>Record remained available successfully</t>
  </si>
  <si>
    <t>TC_ADMIN_103</t>
  </si>
  <si>
    <t>Verify Admin can delete single employment status successfully</t>
  </si>
  <si>
    <t>Ensure selected employment status is deleted correctly after</t>
  </si>
  <si>
    <t>1. Select employment status
2. Click Delete button
3. Confirm deletion</t>
  </si>
  <si>
    <t>Selected employment status deleted successfully and removed from list</t>
  </si>
  <si>
    <t>Record permanently removed from system</t>
  </si>
  <si>
    <t>Employment status deleted successfully</t>
  </si>
  <si>
    <t>TC_ADMIN_104</t>
  </si>
  <si>
    <t>Verify Admin can select multiple employment statuses using checkboxes</t>
  </si>
  <si>
    <t>Ensure multiple records can be selected correctly for bulk deletion</t>
  </si>
  <si>
    <t>Multiple employment statuses available</t>
  </si>
  <si>
    <t>1. Select multiple checkboxes from records table</t>
  </si>
  <si>
    <t>Full-Time
Contract
Internship</t>
  </si>
  <si>
    <t>Multiple employment statuses selected successfully</t>
  </si>
  <si>
    <t>Selected records ready for deletion</t>
  </si>
  <si>
    <t>Multiple records selected successfully</t>
  </si>
  <si>
    <t>TC_ADMIN_105</t>
  </si>
  <si>
    <t>Verify “No Records Found” message appears when no employment statuses exist</t>
  </si>
  <si>
    <t>Ensure system displays proper empty-state message when table has no records</t>
  </si>
  <si>
    <t>No employment status records available in system</t>
  </si>
  <si>
    <t>1. Navigate to Employment Status page
2. Observe records table area</t>
  </si>
  <si>
    <t>System displays message:
"No Records Found"</t>
  </si>
  <si>
    <t>User informed that no data exists</t>
  </si>
  <si>
    <t>“No Records Found” message displayed successfully</t>
  </si>
  <si>
    <t>TC_ADMIN_106</t>
  </si>
  <si>
    <t>Verify table layout remains stable with empty records list</t>
  </si>
  <si>
    <t>Ensure UI remains readable and properly aligned when no employment statuses exist</t>
  </si>
  <si>
    <t>Employment status table empty</t>
  </si>
  <si>
    <t>1. Open Employment Status page with no records
2. Observe table and layout structure</t>
  </si>
  <si>
    <t>Empty-state layout displayed correctly without UI breaking</t>
  </si>
  <si>
    <t>Stable UI maintained successfully</t>
  </si>
  <si>
    <t>Empty-state layout displayed correctly</t>
  </si>
  <si>
    <t>TC_ADMIN_107</t>
  </si>
  <si>
    <t>US_007</t>
  </si>
  <si>
    <t>Verify Admin can navigate to Job Categories page</t>
  </si>
  <si>
    <t>Ensure Admin can access Job Categories page from Admin module navigation menu</t>
  </si>
  <si>
    <t>1. Navigate to Admin module
2. Click Job Categories option</t>
  </si>
  <si>
    <t>System redirects Admin to Job Categories page successfully</t>
  </si>
  <si>
    <t>Job Categories page displayed successfully</t>
  </si>
  <si>
    <t>Job Categories page opened successfully</t>
  </si>
  <si>
    <t>TC_ADMIN_108</t>
  </si>
  <si>
    <t>Verify Job Categories records table is displayed</t>
  </si>
  <si>
    <t>Ensure Job Categories table appears correctly after page load</t>
  </si>
  <si>
    <t>User on Job Categories page</t>
  </si>
  <si>
    <t>1. Open Job Categories page
2. Observe records table</t>
  </si>
  <si>
    <t>Job Categories table displayed successfully</t>
  </si>
  <si>
    <t>TC_ADMIN_109</t>
  </si>
  <si>
    <t>Verify Category Name column is displayed correctly</t>
  </si>
  <si>
    <t>Ensure table contains Category Name column</t>
  </si>
  <si>
    <t>Job Categories page opened</t>
  </si>
  <si>
    <t>Category Name column displayed correctly</t>
  </si>
  <si>
    <t>Category Name column displayed successfully</t>
  </si>
  <si>
    <t>TC_ADMIN_110</t>
  </si>
  <si>
    <t>Verify existing job category records appear in table</t>
  </si>
  <si>
    <t>Ensure previously created job categories are displayed correctly</t>
  </si>
  <si>
    <t>Existing job category records available</t>
  </si>
  <si>
    <t>1. Open Job Categories page
2. Observe records list</t>
  </si>
  <si>
    <t>IT
HR
Finance</t>
  </si>
  <si>
    <t>Existing job categories displayed correctly in table</t>
  </si>
  <si>
    <t>Existing job categories displayed successfully</t>
  </si>
  <si>
    <t>TC_ADMIN_111</t>
  </si>
  <si>
    <t>Verify Add button opens Add  job category form</t>
  </si>
  <si>
    <t>User on  job category page</t>
  </si>
  <si>
    <t>Add  job category form opens successfully</t>
  </si>
  <si>
    <t>TC_ADMIN_112</t>
  </si>
  <si>
    <t>1. Leave  job category Name empty
2. Click Save</t>
  </si>
  <si>
    <t>TC_ADMIN_113</t>
  </si>
  <si>
    <t>Verify validation error is cleared after entering valid  job category Name</t>
  </si>
  <si>
    <t>1. Leave field empty
2. Click Save
3. Enter valid  job category Name</t>
  </si>
  <si>
    <t xml:space="preserve"> Job category Name: Internship</t>
  </si>
  <si>
    <t>TC_ADMIN_114</t>
  </si>
  <si>
    <t>Verify  job category is created successfully with valid data</t>
  </si>
  <si>
    <t>Ensure valid  job category data is saved correctly</t>
  </si>
  <si>
    <t xml:space="preserve"> Job category Name: Direct Manager
 Review</t>
  </si>
  <si>
    <t xml:space="preserve"> job category created successfully</t>
  </si>
  <si>
    <t>TC_ADMIN_115</t>
  </si>
  <si>
    <t>Verify new  job category appears immediately in table</t>
  </si>
  <si>
    <t xml:space="preserve"> Job category created successfully</t>
  </si>
  <si>
    <t>1. Save new  job category
2. Observe records table</t>
  </si>
  <si>
    <t>New  job category displayed immediately in table</t>
  </si>
  <si>
    <t>TC_ADMIN_116</t>
  </si>
  <si>
    <t>Verify success message appears after adding  job category</t>
  </si>
  <si>
    <t>1. Create  job category
2. Observe notification</t>
  </si>
  <si>
    <t>Valid  job category</t>
  </si>
  <si>
    <t>TC_ADMIN_117</t>
  </si>
  <si>
    <t>Verify system handles special characters in  job category names correctly</t>
  </si>
  <si>
    <t>Admin on Add  job category form</t>
  </si>
  <si>
    <t>1. Click Add button
2. Enter  job category name with special characters
3. Click Save
4. Observe table and UI behavior</t>
  </si>
  <si>
    <t xml:space="preserve"> Job category Name:
"@@@###%%%HR_Method!!!"</t>
  </si>
  <si>
    <t>TC_ADMIN_118</t>
  </si>
  <si>
    <t>Verify system prevents duplicate  job category</t>
  </si>
  <si>
    <t>Ensure duplicate  job category names cannot be added</t>
  </si>
  <si>
    <t>1. Click Add button
2. Enter existing  job category name
3. Click Save</t>
  </si>
  <si>
    <t xml:space="preserve"> Job Category Name: HR Approval</t>
  </si>
  <si>
    <t>System prevents duplicate  job category creation</t>
  </si>
  <si>
    <t>Duplicate  job categorywas not created</t>
  </si>
  <si>
    <t>TC_ADMIN_119</t>
  </si>
  <si>
    <t>Verify duplicate  job category are not created on double Save click</t>
  </si>
  <si>
    <t>Add  job category form opened</t>
  </si>
  <si>
    <t>1. Enter valid  job category data
2. Double-click Save button rapidly
3. Observe  job category table</t>
  </si>
  <si>
    <t xml:space="preserve"> Job category Name: Operations Approval</t>
  </si>
  <si>
    <t>Only one  job category record should be created</t>
  </si>
  <si>
    <t>Only one  job category record created successfully</t>
  </si>
  <si>
    <t>TC_ADMIN_120</t>
  </si>
  <si>
    <t>Verify Edit form opens successfully for selected job category</t>
  </si>
  <si>
    <t>Ensure Edit form loads correctly with existing job category data</t>
  </si>
  <si>
    <t>1. Select existing job category
2. Click Edit button</t>
  </si>
  <si>
    <t>Existing category: Craft Workers</t>
  </si>
  <si>
    <t>Edit form displayed with existing job category data</t>
  </si>
  <si>
    <t>TC_ADMIN_121</t>
  </si>
  <si>
    <t>TC_ADMIN_122</t>
  </si>
  <si>
    <t>Verify admin can update job category details</t>
  </si>
  <si>
    <t>1. Modify job category details
2. Click Save</t>
  </si>
  <si>
    <t>TC_ADMIN_123</t>
  </si>
  <si>
    <t>Verify updated job category appears immediately in table</t>
  </si>
  <si>
    <t>1. Update job category
2. Return to records table</t>
  </si>
  <si>
    <t>Updated job category</t>
  </si>
  <si>
    <t>TC_ADMIN_124</t>
  </si>
  <si>
    <t>Verify success message appears after updating job category</t>
  </si>
  <si>
    <t>1. Edit job category
2. Save changes
3. Observe notification message</t>
  </si>
  <si>
    <t>TC_ADMIN_125</t>
  </si>
  <si>
    <t>Ensure system preserves data integrity when user refreshes the page while editing a job category</t>
  </si>
  <si>
    <t>1. Open Edit form for a job category
2. Modify job category name
3. Do not click Save
4. Refresh browser page (F5)
5. Return to job category table
6. Open edited record again</t>
  </si>
  <si>
    <t>job category data became corrupted after page refresh during edit process</t>
  </si>
  <si>
    <t>TC_ADMIN_126</t>
  </si>
  <si>
    <t>Verify job category  records can be selected using checkboxes</t>
  </si>
  <si>
    <t>Existing job category available</t>
  </si>
  <si>
    <t>TC_ADMIN_127</t>
  </si>
  <si>
    <t>1. Select job category
2. Click Delete button</t>
  </si>
  <si>
    <t>Existing job category</t>
  </si>
  <si>
    <t>TC_ADMIN_128</t>
  </si>
  <si>
    <t>Verify job category  is deleted successfully after confirmation</t>
  </si>
  <si>
    <t>job category deleted successfully</t>
  </si>
  <si>
    <t>TC_ADMIN_129</t>
  </si>
  <si>
    <t>Verify deleted job category no longer appears in table</t>
  </si>
  <si>
    <t>1. Delete job category
2. Observe records table</t>
  </si>
  <si>
    <t>Deleted job category</t>
  </si>
  <si>
    <t>TC_ADMIN_130</t>
  </si>
  <si>
    <t>Verify success message appears after deleting job category</t>
  </si>
  <si>
    <t>1. Delete job category
2. Observe notification message</t>
  </si>
  <si>
    <t>TC_ADMIN_131</t>
  </si>
  <si>
    <t>Verify deleted job category does not reappear after refresh</t>
  </si>
  <si>
    <t>1. Delete job category
2. Refresh browser page
3. Search for deleted record</t>
  </si>
  <si>
    <t>job category: Part-Time</t>
  </si>
  <si>
    <t>Deleted job category should not appear again after refresh</t>
  </si>
  <si>
    <t>Deleted job category remained deleted successfully</t>
  </si>
  <si>
    <t>TC_ADMIN_132</t>
  </si>
  <si>
    <t>Verify job category  is not deleted before confirmation</t>
  </si>
  <si>
    <t>Existing job category selected</t>
  </si>
  <si>
    <t>TC_ADMIN_133</t>
  </si>
  <si>
    <t>Verify Admin can delete single job category successfully</t>
  </si>
  <si>
    <t>Ensure selected job category is deleted correctly after</t>
  </si>
  <si>
    <t>1. Select job category
2. Click Delete button
3. Confirm deletion</t>
  </si>
  <si>
    <t>Ejob category: Part-Time</t>
  </si>
  <si>
    <t>Selected job category deleted successfully and removed from list</t>
  </si>
  <si>
    <t>TC_ADMIN_134</t>
  </si>
  <si>
    <t>Verify Admin can select multiple job category using checkboxes</t>
  </si>
  <si>
    <t>Multiple job category available</t>
  </si>
  <si>
    <t>Multiple job category selected successfully</t>
  </si>
  <si>
    <t>TC_ADMIN_135</t>
  </si>
  <si>
    <t>TC_ADMIN_136</t>
  </si>
  <si>
    <t>Employment Status table empty</t>
  </si>
  <si>
    <t>TC_ADMIN_137</t>
  </si>
  <si>
    <t>US_08</t>
  </si>
  <si>
    <t>Verify add valid work shift</t>
  </si>
  <si>
    <t>Ensure that the system successfully completes the 'adding standard 9 to 5 shift' process, as users must be able to execute this business logic without errors.</t>
  </si>
  <si>
    <t>Admin is logged in and navigates to Admin &gt; Work Shifts.</t>
  </si>
  <si>
    <t>1. Click Add
2. Enter Name, Times
3. Save</t>
  </si>
  <si>
    <t>From: 09:00 To: 17:00</t>
  </si>
  <si>
    <t>The 'Verify add valid work shift' action is executed successfully without errors, UI reflects changes, and backend validates input.</t>
  </si>
  <si>
    <t>System state updated for module WS.</t>
  </si>
  <si>
    <t>As expected: The action 'Verify add valid work shift' was completed successfully.</t>
  </si>
  <si>
    <t>TC_ADMIN_138</t>
  </si>
  <si>
    <t>Verify add empty work shift</t>
  </si>
  <si>
    <t>Name: empty</t>
  </si>
  <si>
    <t>The 'Verify add empty work shift' action is executed successfully without errors, UI reflects changes, and backend validates input.</t>
  </si>
  <si>
    <t>As expected: The action 'Verify add empty work shift' was completed successfully.</t>
  </si>
  <si>
    <t>TC_ADMIN_139</t>
  </si>
  <si>
    <t>Verify add duplicate work shift</t>
  </si>
  <si>
    <t>Ensure that the system successfully completes the 'validation for existing shift' process, as users must be able to execute this business logic without errors.</t>
  </si>
  <si>
    <t>Name: Day Shift</t>
  </si>
  <si>
    <t>The 'Verify add duplicate work shift' action is executed successfully without errors, UI reflects changes, and backend validates input.</t>
  </si>
  <si>
    <t>As expected: The action 'Verify add duplicate work shift' was completed successfully.</t>
  </si>
  <si>
    <t>TC_ADMIN_140</t>
  </si>
  <si>
    <t>Verify start time = end time</t>
  </si>
  <si>
    <t>Ensure that the system successfully completes the 'validation when From = To' process, as users must be able to execute this business logic without errors.</t>
  </si>
  <si>
    <t>1. Set From: 10:00, To: 10:00
2. Save</t>
  </si>
  <si>
    <t>From: 10:00 To: 10:00</t>
  </si>
  <si>
    <t>The 'Verify start time = end time' action is executed successfully without errors, UI reflects changes, and backend validates input.</t>
  </si>
  <si>
    <t>As expected: The action 'Verify start time = end time' was completed successfully.</t>
  </si>
  <si>
    <t>TC_ADMIN_141</t>
  </si>
  <si>
    <t>Verify cross-day work shift</t>
  </si>
  <si>
    <t>Ensure that the system successfully completes the 'night shift logic (End &lt; Start)' process, as users must be able to execute this business logic without errors.</t>
  </si>
  <si>
    <t>1. Set From: 22:00, To: 06:00
2. Save</t>
  </si>
  <si>
    <t>From: 22:00 To: 06:00</t>
  </si>
  <si>
    <t>The 'Verify cross-day work shift' action is executed successfully without errors, UI reflects changes, and backend validates input.</t>
  </si>
  <si>
    <t>Failed: The system encountered an error during 'Verify cross-day work shift'. Refer to related bug report.</t>
  </si>
  <si>
    <t xml:space="preserve">مش فاهم هنا عايز ايه </t>
  </si>
  <si>
    <t>TC_ADMIN_142</t>
  </si>
  <si>
    <t>Verify missing start time</t>
  </si>
  <si>
    <t>Ensure that the system successfully completes the 'validation for empty Start Time' process, as users must be able to execute this business logic without errors.</t>
  </si>
  <si>
    <t>1. Clear From time
2. Save</t>
  </si>
  <si>
    <t>From: empty</t>
  </si>
  <si>
    <t>The 'Verify missing start time' action is executed successfully without errors, UI reflects changes, and backend validates input.</t>
  </si>
  <si>
    <t>As expected: The action 'Verify missing start time' was completed successfully.</t>
  </si>
  <si>
    <t>TC_ADMIN_143</t>
  </si>
  <si>
    <t>Verify missing end time</t>
  </si>
  <si>
    <t>Ensure that the system successfully completes the 'validation for empty End Time' process, as users must be able to execute this business logic without errors.</t>
  </si>
  <si>
    <t>1. Clear To time
2. Save</t>
  </si>
  <si>
    <t>To: empty</t>
  </si>
  <si>
    <t>The 'Verify missing end time' action is executed successfully without errors, UI reflects changes, and backend validates input.</t>
  </si>
  <si>
    <t>As expected: The action 'Verify missing end time' was completed successfully.</t>
  </si>
  <si>
    <t>TC_ADMIN_144</t>
  </si>
  <si>
    <t>Verify assign single employee</t>
  </si>
  <si>
    <t>Ensure that the system successfully completes the 'assigning one user to shift' process, as users must be able to execute this business logic without errors.</t>
  </si>
  <si>
    <t>1. Add Shift
2. Type Emp Name
3. Save</t>
  </si>
  <si>
    <t>Emp: John Doe</t>
  </si>
  <si>
    <t>The 'Verify assign single employee' action is executed successfully without errors, UI reflects changes, and backend validates input.</t>
  </si>
  <si>
    <t>As expected: The action 'Verify assign single employee' was completed successfully.</t>
  </si>
  <si>
    <t>TC_ADMIN_145</t>
  </si>
  <si>
    <t>Verify assign multiple employees</t>
  </si>
  <si>
    <t>Ensure that the system successfully completes the 'assigning 5 users to shift' process, as users must be able to execute this business logic without errors.</t>
  </si>
  <si>
    <t>1. Add Shift
2. Select 5 Emps
3. Save</t>
  </si>
  <si>
    <t>Emps: John, Jane...</t>
  </si>
  <si>
    <t>The 'Verify assign multiple employees' action is executed successfully without errors, UI reflects changes, and backend validates input.</t>
  </si>
  <si>
    <t>As expected: The action 'Verify assign multiple employees' was completed successfully.</t>
  </si>
  <si>
    <t>TC_ADMIN_146</t>
  </si>
  <si>
    <t>Verify assign inactive employee</t>
  </si>
  <si>
    <t>Ensure that the system successfully completes the 'inactive employees don't show in search' process, as users must be able to execute this business logic without errors.</t>
  </si>
  <si>
    <t>1. Type inactive emp name</t>
  </si>
  <si>
    <t>Emp: Terminated Emp</t>
  </si>
  <si>
    <t>The 'Verify assign inactive employee' action is executed successfully without errors, UI reflects changes, and backend validates input.</t>
  </si>
  <si>
    <t>As expected: The action 'Verify assign inactive employee' was completed successfully.</t>
  </si>
  <si>
    <t>TC_ADMIN_147</t>
  </si>
  <si>
    <t>Verify remove assigned employee</t>
  </si>
  <si>
    <t>Ensure that the system successfully completes the 'removing emp during edit' process, as users must be able to execute this business logic without errors.</t>
  </si>
  <si>
    <t>1. Edit Shift
2. Click X on Emp
3. Save</t>
  </si>
  <si>
    <t>Action: Remove Emp</t>
  </si>
  <si>
    <t>The 'Verify remove assigned employee' action is executed successfully without errors, UI reflects changes, and backend validates input.</t>
  </si>
  <si>
    <t>As expected: The action 'Verify remove assigned employee' was completed successfully.</t>
  </si>
  <si>
    <t>TC_ADMIN_148</t>
  </si>
  <si>
    <t>Verify edit shift times</t>
  </si>
  <si>
    <t>Ensure that the system successfully completes the 'updating From/To times' process, as users must be able to execute this business logic without errors.</t>
  </si>
  <si>
    <t>1. Edit Shift
2. Change From time
3. Save</t>
  </si>
  <si>
    <t>From: 08:00</t>
  </si>
  <si>
    <t>The 'Verify edit shift times' action is executed successfully without errors, UI reflects changes, and backend validates input.</t>
  </si>
  <si>
    <t>As expected: The action 'Verify edit shift times' was completed successfully.</t>
  </si>
  <si>
    <t>TC_ADMIN_149</t>
  </si>
  <si>
    <t>Verify edit shift name</t>
  </si>
  <si>
    <t>Ensure that the system successfully completes the 'renaming shift' process, as users must be able to execute this business logic without errors.</t>
  </si>
  <si>
    <t>1. Edit Shift
2. Change Name
3. Save</t>
  </si>
  <si>
    <t>Name: Morning Shift</t>
  </si>
  <si>
    <t>The 'Verify edit shift name' action is executed successfully without errors, UI reflects changes, and backend validates input.</t>
  </si>
  <si>
    <t>As expected: The action 'Verify edit shift name' was completed successfully.</t>
  </si>
  <si>
    <t>TC_ADMIN_150</t>
  </si>
  <si>
    <t>Verify delete single work shift</t>
  </si>
  <si>
    <t>Ensure that the system successfully completes the 'deleting a shift' process, as users must be able to execute this business logic without errors.</t>
  </si>
  <si>
    <t>The 'Verify delete single work shift' action is executed successfully without errors, UI reflects changes, and backend validates input.</t>
  </si>
  <si>
    <t>As expected: The action 'Verify delete single work shift' was completed successfully.</t>
  </si>
  <si>
    <t>TC_ADMIN_151</t>
  </si>
  <si>
    <t>Verify delete multiple work shifts</t>
  </si>
  <si>
    <t>1. Select multiple
2. Delete</t>
  </si>
  <si>
    <t>The 'Verify delete multiple work shifts' action is executed successfully without errors, UI reflects changes, and backend validates input.</t>
  </si>
  <si>
    <t>As expected: The action 'Verify delete multiple work shifts' was completed successfully.</t>
  </si>
  <si>
    <t>TC_ADMIN_152</t>
  </si>
  <si>
    <t>Verify delete assigned work shift</t>
  </si>
  <si>
    <t>Ensure that the system successfully completes the 'deleting shift with active employees' process, as users must be able to execute this business logic without errors.</t>
  </si>
  <si>
    <t>1. Delete shift assigned to John</t>
  </si>
  <si>
    <t>The 'Verify delete assigned work shift' action is executed successfully without errors, UI reflects changes, and backend validates input.</t>
  </si>
  <si>
    <t>As expected: The action 'Verify delete assigned work shift' was completed successfully.</t>
  </si>
  <si>
    <t>TC_ADMIN_153</t>
  </si>
  <si>
    <t>Verify cancel delete work shift</t>
  </si>
  <si>
    <t>Ensure that the system successfully completes the 'Cancel button on delete prompt' process, as users must be able to execute this business logic without errors.</t>
  </si>
  <si>
    <t>1. Click Delete
2. Cancel</t>
  </si>
  <si>
    <t>The 'Verify cancel delete work shift' action is executed successfully without errors, UI reflects changes, and backend validates input.</t>
  </si>
  <si>
    <t>As expected: The action 'Verify cancel delete work shift' was completed successfully.</t>
  </si>
  <si>
    <t>TC_ADMIN_154</t>
  </si>
  <si>
    <t>Verify verify duration calculation ui</t>
  </si>
  <si>
    <t>Ensure that the system successfully completes the 'Hours Per Day updates automatically' process, as users must be able to execute this business logic without errors.</t>
  </si>
  <si>
    <t>1. Set 09:00 to 17:00</t>
  </si>
  <si>
    <t>Action: Check Duration</t>
  </si>
  <si>
    <t>The 'Verify verify duration calculation ui' action is executed successfully without errors, UI reflects changes, and backend validates input.</t>
  </si>
  <si>
    <t>As expected: The action 'Verify verify duration calculation ui' was completed successfully.</t>
  </si>
  <si>
    <t>TC_ADMIN_155</t>
  </si>
  <si>
    <t>Verify overlapping shifts for emp</t>
  </si>
  <si>
    <t>Ensure that the system successfully completes the 'warning if Emp assigned to overlapping shifts' process, as users must be able to execute this business logic without errors.</t>
  </si>
  <si>
    <t>1. Assign John to 9-5 and 12-8</t>
  </si>
  <si>
    <t>Emps: Overlap</t>
  </si>
  <si>
    <t>The 'Verify overlapping shifts for emp' action is executed successfully without errors, UI reflects changes, and backend validates input.</t>
  </si>
  <si>
    <t>Failed: The system encountered an error during 'Verify overlapping shifts for emp'. Refer to related bug report.</t>
  </si>
  <si>
    <t>مفيش overlap بيحصل عشان مينفعش employee يتعمله assign لأكتر من shift</t>
  </si>
  <si>
    <t>TC_ADMIN_156</t>
  </si>
  <si>
    <t>Verify pagination for work shifts</t>
  </si>
  <si>
    <t>Ensure that the system successfully completes the 'pagination controls' process, as users must be able to execute this business logic without errors.</t>
  </si>
  <si>
    <t>1. Click Next Page</t>
  </si>
  <si>
    <t>The 'Verify pagination for work shifts' action is executed successfully without errors, UI reflects changes, and backend validates input.</t>
  </si>
  <si>
    <t>As expected: The action 'Verify pagination for work shifts' was completed successfully.</t>
  </si>
  <si>
    <t>TC_ADMIN_157</t>
  </si>
  <si>
    <t>Verify sort work shifts by name</t>
  </si>
  <si>
    <t>Ensure that the system successfully completes the 'sorting by Shift Name' process, as users must be able to execute this business logic without errors.</t>
  </si>
  <si>
    <t>The 'Verify sort work shifts by name' action is executed successfully without errors, UI reflects changes, and backend validates input.</t>
  </si>
  <si>
    <t>As expected: The action 'Verify sort work shifts by name' was completed successfully.</t>
  </si>
  <si>
    <t>TC_ADMIN_158</t>
  </si>
  <si>
    <t>Verify sort work shifts by hours</t>
  </si>
  <si>
    <t>Ensure that the system successfully completes the 'sorting by Hours Per Day' process, as users must be able to execute this business logic without errors.</t>
  </si>
  <si>
    <t>1. Click Hours header twice</t>
  </si>
  <si>
    <t>The 'Verify sort work shifts by hours' action is executed successfully without errors, UI reflects changes, and backend validates input.</t>
  </si>
  <si>
    <t>As expected: The action 'Verify sort work shifts by hours' was completed successfully.</t>
  </si>
  <si>
    <t>TC_ADMIN_159</t>
  </si>
  <si>
    <t>Verify filter employees in assignment</t>
  </si>
  <si>
    <t>Ensure that the system successfully completes the 'typeahead search delay' process, as users must be able to execute this business logic without errors.</t>
  </si>
  <si>
    <t>1. Type 'Jo' in Emp field</t>
  </si>
  <si>
    <t>Search: 'Jo'</t>
  </si>
  <si>
    <t>The 'Verify filter employees in assignment' action is executed successfully without errors, UI reflects changes, and backend validates input.</t>
  </si>
  <si>
    <t>As expected: The action 'Verify filter employees in assignment' was completed successfully.</t>
  </si>
  <si>
    <t>TC_ADMIN_160</t>
  </si>
  <si>
    <t>Verify max length shift name</t>
  </si>
  <si>
    <t>Ensure that the system successfully completes the 'name field max length' process, as users must be able to execute this business logic without errors.</t>
  </si>
  <si>
    <t>1. Enter 50 chars in name</t>
  </si>
  <si>
    <t>Name: 50 chars</t>
  </si>
  <si>
    <t>The 'Verify max length shift name' action is executed successfully without errors, UI reflects changes, and backend validates input.</t>
  </si>
  <si>
    <t>As expected: The action 'Verify max length shift name' was completed successfully.</t>
  </si>
  <si>
    <t>TC_ADMIN_161</t>
  </si>
  <si>
    <t>Verify ui responsiveness shifts</t>
  </si>
  <si>
    <t>Ensure that the system successfully completes the 'table layout on tablet' process, as users must be able to execute this business logic without errors.</t>
  </si>
  <si>
    <t>1. Resize window to 768px</t>
  </si>
  <si>
    <t>The 'Verify ui responsiveness shifts' action is executed successfully without errors, UI reflects changes, and backend validates input.</t>
  </si>
  <si>
    <t>As expected: The action 'Verify ui responsiveness shifts' was completed successfully.</t>
  </si>
  <si>
    <t>TC_ADMIN_162</t>
  </si>
  <si>
    <t>US_09</t>
  </si>
  <si>
    <t>Verify General Information page loads</t>
  </si>
  <si>
    <t>Verify admin can view organization information page successfully</t>
  </si>
  <si>
    <t>Admin logged in</t>
  </si>
  <si>
    <t>1. Login as Admin
 2. Navigate to Admin → Organization → General Information</t>
  </si>
  <si>
    <t>Valid Admin account</t>
  </si>
  <si>
    <t>Organization details page is displayed successfully</t>
  </si>
  <si>
    <t>None</t>
  </si>
  <si>
    <t>TC_ADMIN_163</t>
  </si>
  <si>
    <t>Verify organization name displayed</t>
  </si>
  <si>
    <t>Verify Organization Name field is visible</t>
  </si>
  <si>
    <t>On General Information page</t>
  </si>
  <si>
    <t>Check Organization Name field</t>
  </si>
  <si>
    <t>Existing organization data</t>
  </si>
  <si>
    <t>Organization Name is displayed correctly</t>
  </si>
  <si>
    <t>TC_ADMIN_164</t>
  </si>
  <si>
    <t>Verify registration number displayed</t>
  </si>
  <si>
    <t>Verify Registration Number field visibility</t>
  </si>
  <si>
    <t>Check Registration Number field</t>
  </si>
  <si>
    <t>Existing data</t>
  </si>
  <si>
    <t>Registration Number displayed</t>
  </si>
  <si>
    <t>TC_ADMIN_165</t>
  </si>
  <si>
    <t>Verify Tax ID displayed</t>
  </si>
  <si>
    <t>Verify Tax ID field visibility</t>
  </si>
  <si>
    <t>Check Tax ID field</t>
  </si>
  <si>
    <t>Tax ID displayed</t>
  </si>
  <si>
    <t>TC_ADMIN_166</t>
  </si>
  <si>
    <t>Verify phone number displayed</t>
  </si>
  <si>
    <t>Verify Phone field visibility</t>
  </si>
  <si>
    <t>Check Phone field</t>
  </si>
  <si>
    <t>Phone displayed correctly</t>
  </si>
  <si>
    <t>TC_ADMIN_167</t>
  </si>
  <si>
    <t>Verify email displayed</t>
  </si>
  <si>
    <t>Verify Email field visibility</t>
  </si>
  <si>
    <t>Check Email field</t>
  </si>
  <si>
    <t>Existing email</t>
  </si>
  <si>
    <t>Email displayed correctly</t>
  </si>
  <si>
    <t>TC_ADMIN_168</t>
  </si>
  <si>
    <t>Verify address details displayed</t>
  </si>
  <si>
    <t>Check Address, City, State, Country</t>
  </si>
  <si>
    <t>All address fields visible</t>
  </si>
  <si>
    <t>TC_ADMIN_169</t>
  </si>
  <si>
    <t>Verify Edit button functionality</t>
  </si>
  <si>
    <t>Verify clicking Edit enables fields</t>
  </si>
  <si>
    <t>On General Information page , 
All fields are disabled</t>
  </si>
  <si>
    <t>1. Click Edit</t>
  </si>
  <si>
    <t>Editable fields become enabled</t>
  </si>
  <si>
    <t>Edit mode activated</t>
  </si>
  <si>
    <t>TC_ADMIN_170</t>
  </si>
  <si>
    <t>Verify Save button visible in edit mode</t>
  </si>
  <si>
    <t>Verify Save button appears after Edit</t>
  </si>
  <si>
    <t>On General Information page , 
In edit mode</t>
  </si>
  <si>
    <t>Save button visible</t>
  </si>
  <si>
    <t>TC_ADMIN_171</t>
  </si>
  <si>
    <t>Verify form exits edit mode after cancel</t>
  </si>
  <si>
    <t>Verify page exits edit mode</t>
  </si>
  <si>
    <t xml:space="preserve">in edit mode </t>
  </si>
  <si>
    <t xml:space="preserve">Click on edit toggel button again </t>
  </si>
  <si>
    <t>Fields become disabled again</t>
  </si>
  <si>
    <t>Edit mode closed</t>
  </si>
  <si>
    <t>TC_ADMIN_172</t>
  </si>
  <si>
    <t>Update organization name successfully</t>
  </si>
  <si>
    <t>Verify admin can update organization name</t>
  </si>
  <si>
    <t>In edit mode</t>
  </si>
  <si>
    <t>1. Update Organization Name
 2. Click Save</t>
  </si>
  <si>
    <t>New Org Name = "aly"</t>
  </si>
  <si>
    <t>Data saved successfully</t>
  </si>
  <si>
    <t>check new name</t>
  </si>
  <si>
    <t>TC_ADMIN_173</t>
  </si>
  <si>
    <t>Update Registration Number
 successfully</t>
  </si>
  <si>
    <t xml:space="preserve">Verify admin can update Registration Number
</t>
  </si>
  <si>
    <t>1. Update Registration Number
 2. Click Save</t>
  </si>
  <si>
    <t>New Registration Number = "1234ew"</t>
  </si>
  <si>
    <t>check new 1234ew</t>
  </si>
  <si>
    <t>TC_ADMIN_174</t>
  </si>
  <si>
    <t>TC_ADMIN_175</t>
  </si>
  <si>
    <t>Update Tax ID successfully</t>
  </si>
  <si>
    <t>Verify Tax ID can be updated</t>
  </si>
  <si>
    <t>1. Update Tax ID
 2. Click Save</t>
  </si>
  <si>
    <t>xcaq3</t>
  </si>
  <si>
    <t>Tax ID updated successfully</t>
  </si>
  <si>
    <t>Data updated</t>
  </si>
  <si>
    <t>TC_ADMIN_176</t>
  </si>
  <si>
    <t>Update phone number successfully</t>
  </si>
  <si>
    <t>Verify phone can be updated</t>
  </si>
  <si>
    <t>1. Update phone
 2. Click Save</t>
  </si>
  <si>
    <t>Phone updated successfully</t>
  </si>
  <si>
    <t>TC_ADMIN_177</t>
  </si>
  <si>
    <t>Update phone fax successfully</t>
  </si>
  <si>
    <t>Verify  fax can be updated</t>
  </si>
  <si>
    <t>1. Update fax 
 2. Click Save</t>
  </si>
  <si>
    <t>fax updated successfully</t>
  </si>
  <si>
    <t>TC_ADMIN_178</t>
  </si>
  <si>
    <t>Update email successfully</t>
  </si>
  <si>
    <t>Verify  email can be updated</t>
  </si>
  <si>
    <t>1. Update email 
 2. Click Save</t>
  </si>
  <si>
    <t>"alysalem@gmail.com"</t>
  </si>
  <si>
    <t>email updated successfully</t>
  </si>
  <si>
    <t>TC_ADMIN_179</t>
  </si>
  <si>
    <t>Update Address Street 1 successfully</t>
  </si>
  <si>
    <t>Verify  Address Street 1 can be updated</t>
  </si>
  <si>
    <t>1. Update Address Street 1
 2. Click Save</t>
  </si>
  <si>
    <t>street 1</t>
  </si>
  <si>
    <t>Address Street 1 updated successfully</t>
  </si>
  <si>
    <t>TC_ADMIN_180</t>
  </si>
  <si>
    <t>Update Address 2 successfully</t>
  </si>
  <si>
    <t>Verify  Address 2 be updated</t>
  </si>
  <si>
    <t>1. Update Address 2
 2. Click Save</t>
  </si>
  <si>
    <t>alex2</t>
  </si>
  <si>
    <t>Address 2 updated successfully</t>
  </si>
  <si>
    <t>TC_ADMIN_181</t>
  </si>
  <si>
    <t>Update city successfully</t>
  </si>
  <si>
    <t>Verify city can be updated</t>
  </si>
  <si>
    <t>1. Update city
 2. Click Save</t>
  </si>
  <si>
    <t>alex</t>
  </si>
  <si>
    <t>city updated successfully</t>
  </si>
  <si>
    <t>TC_ADMIN_182</t>
  </si>
  <si>
    <t>Update State successfully</t>
  </si>
  <si>
    <t>Verify  State  can be updated</t>
  </si>
  <si>
    <t>1. Update State 
 2. Click Save</t>
  </si>
  <si>
    <t>moharambk</t>
  </si>
  <si>
    <t>State  updated successfully</t>
  </si>
  <si>
    <t>TC_ADMIN_183</t>
  </si>
  <si>
    <t>Update Zip/Postal Code successfully</t>
  </si>
  <si>
    <t>Verify Zip/Postal Code can be updated</t>
  </si>
  <si>
    <t>1. Update Zip/Postal Code
 2. Click Save</t>
  </si>
  <si>
    <t>zip</t>
  </si>
  <si>
    <t>Zip/Postal Code  updated successfully</t>
  </si>
  <si>
    <t>TC_ADMIN_184</t>
  </si>
  <si>
    <t>Update Country successfully</t>
  </si>
  <si>
    <t>Verify Country can be updated</t>
  </si>
  <si>
    <t>1. Update Country
 2. Click Save</t>
  </si>
  <si>
    <t>Country  updated successfully</t>
  </si>
  <si>
    <t>TC_ADMIN_185</t>
  </si>
  <si>
    <t>Update Notes successfully</t>
  </si>
  <si>
    <t>Verify Notes can be updated</t>
  </si>
  <si>
    <t>1. Update Notes
 2. Click Save</t>
  </si>
  <si>
    <t>Notes updated successfully</t>
  </si>
  <si>
    <t>TC_ADMIN_186</t>
  </si>
  <si>
    <t>empty name</t>
  </si>
  <si>
    <t>update organization name and let it empty</t>
  </si>
  <si>
    <t>1. Update Organization Name let it empty
 2. Click Save</t>
  </si>
  <si>
    <t>New Org Name = " "</t>
  </si>
  <si>
    <t>org name is requierd</t>
  </si>
  <si>
    <t>TC_ADMIN_187</t>
  </si>
  <si>
    <t>Verify invalid email format validation</t>
  </si>
  <si>
    <t>Verify system rejects invalid email</t>
  </si>
  <si>
    <t>1. Enter invalid email
2.click Save</t>
  </si>
  <si>
    <t>admin@test</t>
  </si>
  <si>
    <t>Invalid email format error displayed</t>
  </si>
  <si>
    <t>Data not saved</t>
  </si>
  <si>
    <t>TC_ADMIN_188</t>
  </si>
  <si>
    <t>Verify email without domain validation</t>
  </si>
  <si>
    <t>Verify invalid email without domain rejected</t>
  </si>
  <si>
    <t>admin@</t>
  </si>
  <si>
    <t>Validation message displayed</t>
  </si>
  <si>
    <t>TC_ADMIN_189</t>
  </si>
  <si>
    <t>Verify special characters in email validation</t>
  </si>
  <si>
    <t>Verify invalid special chars rejected</t>
  </si>
  <si>
    <t>admin#test.com</t>
  </si>
  <si>
    <t>TC_ADMIN_190</t>
  </si>
  <si>
    <t>valid email</t>
  </si>
  <si>
    <t>enter valid email format</t>
  </si>
  <si>
    <t>1. Enter valid email
2.click Save</t>
  </si>
  <si>
    <t>admin@gmail.com</t>
  </si>
  <si>
    <t>Accept it and save data</t>
  </si>
  <si>
    <t>Save data</t>
  </si>
  <si>
    <t>TC_ADMIN_191</t>
  </si>
  <si>
    <t>Ignore special case</t>
  </si>
  <si>
    <t>enter sql query</t>
  </si>
  <si>
    <t>1. Enter query in any filde
2.click Save</t>
  </si>
  <si>
    <t>SELECT CustomerName, City FROM Customers WHERE Country = 'USA' ORDER BY City;</t>
  </si>
  <si>
    <t>ignore special case</t>
  </si>
  <si>
    <t>TC_ADMIN_192</t>
  </si>
  <si>
    <t>Verify phone refuses character</t>
  </si>
  <si>
    <t xml:space="preserve">try to write character in phone field </t>
  </si>
  <si>
    <t>1. add character in phone field
 2. Click Save</t>
  </si>
  <si>
    <t>0127eg123</t>
  </si>
  <si>
    <t>Allows numbers and only + - / ( )</t>
  </si>
  <si>
    <t>TC_ADMIN_193</t>
  </si>
  <si>
    <t>Verify write invalid phone number</t>
  </si>
  <si>
    <t>Make sure wirte invalid number</t>
  </si>
  <si>
    <t>1. add in valid phone number like "1"
 2. Click Save</t>
  </si>
  <si>
    <t>Give me error enter valid phone number</t>
  </si>
  <si>
    <t>Accept the phone nuber</t>
  </si>
  <si>
    <t>TC_ADMIN_194</t>
  </si>
  <si>
    <t>Verify phone field accepts valid numeric values</t>
  </si>
  <si>
    <t>1. add in valid phone number like "01112131415"
 2. Click Save</t>
  </si>
  <si>
    <t>Phone accepted successfully</t>
  </si>
  <si>
    <t>Data saved</t>
  </si>
  <si>
    <t>TC_ADMIN_195</t>
  </si>
  <si>
    <t>Verify updated data persists after refresh</t>
  </si>
  <si>
    <t>Verify saved data remains after page refresh</t>
  </si>
  <si>
    <t>Data updated successfully</t>
  </si>
  <si>
    <t>1. Edit data
2. click save
3. Refresh page</t>
  </si>
  <si>
    <t>Updated organization data</t>
  </si>
  <si>
    <t>Updated data persists</t>
  </si>
  <si>
    <t>Data remains saved</t>
  </si>
  <si>
    <t>TC_ADMIN_196</t>
  </si>
  <si>
    <t>Verify saved data remains after logout and login again</t>
  </si>
  <si>
    <t>1. Edit data
2. click save
3. logout
4. login again</t>
  </si>
  <si>
    <t>TC_ADMIN_197</t>
  </si>
  <si>
    <t>Verify all input max length validation</t>
  </si>
  <si>
    <t>Verify long  all input handled correctly</t>
  </si>
  <si>
    <t>Enter very long in  all input</t>
  </si>
  <si>
    <t>300+ chars</t>
  </si>
  <si>
    <t xml:space="preserve">Should not exceed * characters
</t>
  </si>
  <si>
    <t>Data not saved if invalid</t>
  </si>
  <si>
    <t>Should not exceed * characters</t>
  </si>
  <si>
    <t>TC_ADMIN_198</t>
  </si>
  <si>
    <t>Verify page responsiveness</t>
  </si>
  <si>
    <t>Verify General Information page responsive on different screen sizes</t>
  </si>
  <si>
    <t>Open page</t>
  </si>
  <si>
    <t>Resize browser window</t>
  </si>
  <si>
    <t>Desktop / Tablet sizes</t>
  </si>
  <si>
    <t>UI remains usable and aligned</t>
  </si>
  <si>
    <t>IN ipad pro save button didnot appear</t>
  </si>
  <si>
    <t>TC_ADMIN_199</t>
  </si>
  <si>
    <t>US_10</t>
  </si>
  <si>
    <t>Verify Locations page accessibility</t>
  </si>
  <si>
    <t>Ensure Admin can open Locations page successfully</t>
  </si>
  <si>
    <t>Admin logged into system</t>
  </si>
  <si>
    <t>1. Navigate to Admin
2. Click Organization
3. Click Locations</t>
  </si>
  <si>
    <t>Admin Account</t>
  </si>
  <si>
    <t>Locations page opens successfully without errors</t>
  </si>
  <si>
    <t>Locations list page displayed</t>
  </si>
  <si>
    <t>Locations page opened successfully</t>
  </si>
  <si>
    <t>TC_ADMIN_200</t>
  </si>
  <si>
    <t>Verify locations records visibility</t>
  </si>
  <si>
    <t>Ensure existing organization locations are displayed in list view</t>
  </si>
  <si>
    <t>Locations exist in system</t>
  </si>
  <si>
    <t>1. Open Locations page
2. Observe records table</t>
  </si>
  <si>
    <t>Existing locations</t>
  </si>
  <si>
    <t>Locations displayed successfully</t>
  </si>
  <si>
    <t>Location records visible</t>
  </si>
  <si>
    <t>Records displayed successfully</t>
  </si>
  <si>
    <t>TC_ADMIN_201</t>
  </si>
  <si>
    <t>Verify Name column visibility</t>
  </si>
  <si>
    <t>Ensure each location displays its Name</t>
  </si>
  <si>
    <t>Locations available</t>
  </si>
  <si>
    <t>1. Open Locations page
2. Observe table columns</t>
  </si>
  <si>
    <t>Location Name: Cairo HQ</t>
  </si>
  <si>
    <t>Name column displayed correctly</t>
  </si>
  <si>
    <t>Location names visible</t>
  </si>
  <si>
    <t>Name column displayed successfully</t>
  </si>
  <si>
    <t>TC_ADMIN_202</t>
  </si>
  <si>
    <t>Verify City column visibility</t>
  </si>
  <si>
    <t>Ensure each location displays its City</t>
  </si>
  <si>
    <t>1. Open Locations page
2. Observe City column</t>
  </si>
  <si>
    <t>City: Cairo</t>
  </si>
  <si>
    <t>City displayed correctly for each location</t>
  </si>
  <si>
    <t>City information visible</t>
  </si>
  <si>
    <t>City displayed successfully</t>
  </si>
  <si>
    <t>TC_ADMIN_203</t>
  </si>
  <si>
    <t>Verify Country column visibility</t>
  </si>
  <si>
    <t>Ensure each location displays its Country</t>
  </si>
  <si>
    <t>1. Open Locations page
2. Observe Country column</t>
  </si>
  <si>
    <t>Country: Egypt</t>
  </si>
  <si>
    <t>Country displayed correctly for each location</t>
  </si>
  <si>
    <t>Country information visible</t>
  </si>
  <si>
    <t>Country displayed successfully</t>
  </si>
  <si>
    <t>TC_ADMIN_204</t>
  </si>
  <si>
    <t>Verify pagination visibility for locations list</t>
  </si>
  <si>
    <t>Ensure pagination controls appear when number of locations exceeds page size</t>
  </si>
  <si>
    <t>Locations count exceeds page limit</t>
  </si>
  <si>
    <t>1. Open Locations page
2. Observe bottom of table</t>
  </si>
  <si>
    <t>Locations &gt; Page Limit</t>
  </si>
  <si>
    <t>Pagination controls displayed successfully</t>
  </si>
  <si>
    <t>Page navigation available</t>
  </si>
  <si>
    <t>Pagination displayed successfully</t>
  </si>
  <si>
    <t>TC_ADMIN_205</t>
  </si>
  <si>
    <t>Verify location records accuracy across pages</t>
  </si>
  <si>
    <t>Ensure correct locations displayed when navigating between pages</t>
  </si>
  <si>
    <t>Multiple pages of locations exist</t>
  </si>
  <si>
    <t>1. Open Locations page
2. Navigate to next page
3. Observe records</t>
  </si>
  <si>
    <t>Page 1 / Page 2 Locations</t>
  </si>
  <si>
    <t>Correct location records displayed for selected page</t>
  </si>
  <si>
    <t>Pagination works successfully</t>
  </si>
  <si>
    <t>Correct records displayed successfully</t>
  </si>
  <si>
    <t>TC_ADMIN_206</t>
  </si>
  <si>
    <t>Verify successful location creation</t>
  </si>
  <si>
    <t>Ensure Admin can create a new location using valid mandatory data</t>
  </si>
  <si>
    <t>Admin logged into system, Locations page opened</t>
  </si>
  <si>
    <t>1. Click Add
2. Enter Name
3. Enter City
4. Select Country
5. Click Save</t>
  </si>
  <si>
    <t>Name: Cairo HQ
City: Cairo
Country: Egypt</t>
  </si>
  <si>
    <t>Location created successfully</t>
  </si>
  <si>
    <t>New location added to system</t>
  </si>
  <si>
    <t>TC_ADMIN_207</t>
  </si>
  <si>
    <t>Verify newly created location visibility</t>
  </si>
  <si>
    <t>Ensure newly added location appears in locations table</t>
  </si>
  <si>
    <t>1. Create new location
2. Return to Locations list
3. Search for created location</t>
  </si>
  <si>
    <t>Name: Cairo HQ</t>
  </si>
  <si>
    <t>New location displayed in locations list</t>
  </si>
  <si>
    <t>Location visible in table</t>
  </si>
  <si>
    <t>Location displayed successfully</t>
  </si>
  <si>
    <t>TC_ADMIN_208</t>
  </si>
  <si>
    <t>Verify location creation using optional address information</t>
  </si>
  <si>
    <t>Ensure optional address fields can be saved successfully</t>
  </si>
  <si>
    <t>Add Location form opened</t>
  </si>
  <si>
    <t>1. Click Add
2. Enter mandatory fields
3. Enter Address details
4. Click Save</t>
  </si>
  <si>
    <t>Address Street 1: Nasr Road
Address Street 2: Building 10
Zip Code: 12345</t>
  </si>
  <si>
    <t>Location created successfully with address information</t>
  </si>
  <si>
    <t>Address details saved</t>
  </si>
  <si>
    <t>Location saved successfully</t>
  </si>
  <si>
    <t>TC_ADMIN_209</t>
  </si>
  <si>
    <t>Verify location name persistence</t>
  </si>
  <si>
    <t>Ensure entered location name is saved without modification</t>
  </si>
  <si>
    <t>1. Create location
2. Open created record</t>
  </si>
  <si>
    <t>Name: Alexandria Branch</t>
  </si>
  <si>
    <t>Location name saved correctly</t>
  </si>
  <si>
    <t>Name retained successfully</t>
  </si>
  <si>
    <t>Name displayed correctly</t>
  </si>
  <si>
    <t>TC_ADMIN_210</t>
  </si>
  <si>
    <t>Verify city value persistence</t>
  </si>
  <si>
    <t>Ensure entered city value is stored correctly</t>
  </si>
  <si>
    <t>City: Alexandria</t>
  </si>
  <si>
    <t>City saved correctly</t>
  </si>
  <si>
    <t>City retained successfully</t>
  </si>
  <si>
    <t>City displayed correctly</t>
  </si>
  <si>
    <t>TC_ADMIN_211</t>
  </si>
  <si>
    <t>Verify country value persistence</t>
  </si>
  <si>
    <t>Ensure selected country is stored correctly</t>
  </si>
  <si>
    <t>Selected country saved correctly</t>
  </si>
  <si>
    <t>Country retained successfully</t>
  </si>
  <si>
    <t>Country displayed correctly</t>
  </si>
  <si>
    <t>TC_ADMIN_212</t>
  </si>
  <si>
    <t>Verify successful save notification</t>
  </si>
  <si>
    <t>Ensure system displays confirmation message after saving location</t>
  </si>
  <si>
    <t>Valid location data entered</t>
  </si>
  <si>
    <t>1. Enter valid location details
2. Click Save</t>
  </si>
  <si>
    <t>Valid location information</t>
  </si>
  <si>
    <t>Success confirmation message displayed</t>
  </si>
  <si>
    <t>TC_ADMIN_213</t>
  </si>
  <si>
    <t>Verify location remains available after refresh</t>
  </si>
  <si>
    <t>Ensure created location is permanently stored</t>
  </si>
  <si>
    <t>1. Create location
2. Refresh page
3. Search for location</t>
  </si>
  <si>
    <t>Location remains available after refresh</t>
  </si>
  <si>
    <t>Location persisted successfully</t>
  </si>
  <si>
    <t>Location remained available</t>
  </si>
  <si>
    <t>TC_ADMIN_214</t>
  </si>
  <si>
    <t>Verify duplicate records are not created on multiple Save clicks</t>
  </si>
  <si>
    <t>Ensure system creates only one location record even if Save button is clicked multiple times</t>
  </si>
  <si>
    <t>1. Enter valid location details
2. Click Save multiple times quickly
3. Open Locations list</t>
  </si>
  <si>
    <t>Only one location record should be created and only one success message should appear</t>
  </si>
  <si>
    <t>Single location record exists</t>
  </si>
  <si>
    <t>Multiple location records were created after repeated Save clicks and multiple "Successfully Saved" messages were displayed</t>
  </si>
  <si>
    <t>TC_ADMIN_215</t>
  </si>
  <si>
    <t>Verify behavior when page is refreshed before saving location</t>
  </si>
  <si>
    <t>Ensure system warns user before losing entered location data</t>
  </si>
  <si>
    <t>1. Enter location details
2. Refresh browser page before saving</t>
  </si>
  <si>
    <t>Name: Alexandria Branch
City: Alexandria
Country: Egypt</t>
  </si>
  <si>
    <t>System should display a warning about unsaved changes or preserve entered data</t>
  </si>
  <si>
    <t>User should be informed before data loss</t>
  </si>
  <si>
    <t>All entered data was lost immediately after refresh without any warning message</t>
  </si>
  <si>
    <t>TC_ADMIN_216</t>
  </si>
  <si>
    <t>Verify Edit Location form accessibility</t>
  </si>
  <si>
    <t>Ensure Admin can open edit screen for existing location</t>
  </si>
  <si>
    <t>Admin logged into system, At least one location exists</t>
  </si>
  <si>
    <t>1. Select location
2. Click Edit</t>
  </si>
  <si>
    <t>Existing Location</t>
  </si>
  <si>
    <t>Edit Location form opens successfully with existing data populated</t>
  </si>
  <si>
    <t>Location ready for editing</t>
  </si>
  <si>
    <t>TC_ADMIN_217</t>
  </si>
  <si>
    <t>Verify successful location update</t>
  </si>
  <si>
    <t>Ensure Admin can modify existing location details</t>
  </si>
  <si>
    <t>Existing location available</t>
  </si>
  <si>
    <t>1. Open Edit form
2. Update location details
3. Click Save</t>
  </si>
  <si>
    <t>Name: Cairo HQ Updated
City: Giza</t>
  </si>
  <si>
    <t>Location updated successfully</t>
  </si>
  <si>
    <t>Updated information saved</t>
  </si>
  <si>
    <t>TC_ADMIN_218</t>
  </si>
  <si>
    <t>Verify updated data reflected in locations list</t>
  </si>
  <si>
    <t>Ensure edited values are displayed in locations table</t>
  </si>
  <si>
    <t>1. Edit location
2. Save
3. Return to Locations list</t>
  </si>
  <si>
    <t>Name: Cairo HQ Updated</t>
  </si>
  <si>
    <t>Updated values displayed correctly in list</t>
  </si>
  <si>
    <t>List refreshed with latest data</t>
  </si>
  <si>
    <t>Updated values displayed successfully</t>
  </si>
  <si>
    <t>TC_ADMIN_219</t>
  </si>
  <si>
    <t>Verify update success notification</t>
  </si>
  <si>
    <t>Ensure system displays success message after editing</t>
  </si>
  <si>
    <t>Location edit form opened</t>
  </si>
  <si>
    <t>1. Modify location details
2. Click Save</t>
  </si>
  <si>
    <t>Valid update</t>
  </si>
  <si>
    <t>TC_ADMIN_220</t>
  </si>
  <si>
    <t>Verify edited location remains updated after refresh</t>
  </si>
  <si>
    <t>Ensure edited values are permanently stored</t>
  </si>
  <si>
    <t>1. Edit location
2. Save
3. Refresh page
4. Search for location</t>
  </si>
  <si>
    <t>Updated Location</t>
  </si>
  <si>
    <t>Updated values remain unchanged after refresh</t>
  </si>
  <si>
    <t>Changes persisted successfully</t>
  </si>
  <si>
    <t>Updated values remained successfully</t>
  </si>
  <si>
    <t>TC_ADMIN_221</t>
  </si>
  <si>
    <t>Verify edit operation affects selected location only</t>
  </si>
  <si>
    <t>Ensure editing one location does not modify other records</t>
  </si>
  <si>
    <t>Multiple locations exist</t>
  </si>
  <si>
    <t>1. Edit one location
2. Save
3. Review other locations</t>
  </si>
  <si>
    <t>Location A / Location B</t>
  </si>
  <si>
    <t>Only selected location updated</t>
  </si>
  <si>
    <t>Other records remain unchanged</t>
  </si>
  <si>
    <t>Only selected record updated successfully</t>
  </si>
  <si>
    <t>TC_ADMIN_222</t>
  </si>
  <si>
    <t>Verify duplicate success notifications are not displayed</t>
  </si>
  <si>
    <t>Ensure system displays only one success message when Save button is clicked multiple times</t>
  </si>
  <si>
    <t>Edit Location form opened</t>
  </si>
  <si>
    <t>1. Open existing location 
2. Modify data 
3. Click Save multiple times quickly</t>
  </si>
  <si>
    <t>Updated Location Details</t>
  </si>
  <si>
    <t>Only one "Successfully Saved" notification should be displayed</t>
  </si>
  <si>
    <t>Single success notification shown</t>
  </si>
  <si>
    <t>Multiple "Successfully Saved" notifications were displayed after repeated Save clicks</t>
  </si>
  <si>
    <t>TC_ADMIN_223</t>
  </si>
  <si>
    <t>Verify warning before losing unsaved location edits</t>
  </si>
  <si>
    <t>Ensure system warns user before discarding unsaved changes in Edit Location form</t>
  </si>
  <si>
    <t>1. Open existing location
2. Modify one or more fields 
3. Refresh browser page before saving</t>
  </si>
  <si>
    <t>Updated Name: Cairo HQ Updated</t>
  </si>
  <si>
    <t>System should display unsaved changes warning or preserve entered modifications</t>
  </si>
  <si>
    <t>User informed before losing data</t>
  </si>
  <si>
    <t>All unsaved modifications were lost immediately after refresh without warning</t>
  </si>
  <si>
    <t>TC_ADMIN_224</t>
  </si>
  <si>
    <t>Verify location records can be selected using checkboxes</t>
  </si>
  <si>
    <t>Ensure admin can select one or multiple locations for deletion</t>
  </si>
  <si>
    <t>Selected locations highlighted successfully</t>
  </si>
  <si>
    <t>Locations marked for deletion action</t>
  </si>
  <si>
    <t>Locations selected successfully</t>
  </si>
  <si>
    <t>TC_ADMIN_225</t>
  </si>
  <si>
    <t>Ensure system requests confirmation before deleting locations</t>
  </si>
  <si>
    <t>Location selected successfully</t>
  </si>
  <si>
    <t>1. Select location
2. Click Delete button</t>
  </si>
  <si>
    <t>Existing location</t>
  </si>
  <si>
    <t>TC_ADMIN_226</t>
  </si>
  <si>
    <t>Verify location is deleted successfully after confirmation</t>
  </si>
  <si>
    <t>Ensure selected location is removed correctly after confirmation</t>
  </si>
  <si>
    <t>Location deleted successfully</t>
  </si>
  <si>
    <t>TC_ADMIN_227</t>
  </si>
  <si>
    <t>Verify deleted location no longer appears in table</t>
  </si>
  <si>
    <t>Ensure deleted location disappears immediately after deletion</t>
  </si>
  <si>
    <t>1. Delete location
2. Observe records table</t>
  </si>
  <si>
    <t>Deleted location</t>
  </si>
  <si>
    <t>Deleted location removed immediately from table</t>
  </si>
  <si>
    <t>Location removed successfully</t>
  </si>
  <si>
    <t>TC_ADMIN_228</t>
  </si>
  <si>
    <t>Verify success message appears after deleting location</t>
  </si>
  <si>
    <t>1. Delete location
2. Observe notification message</t>
  </si>
  <si>
    <t>TC_ADMIN_229</t>
  </si>
  <si>
    <t>Verify deleted location does not reappear after refresh</t>
  </si>
  <si>
    <t>Ensure deleted location is permanently removed from table</t>
  </si>
  <si>
    <t>1. Delete location
2. Refresh browser page
3. Search for deleted record</t>
  </si>
  <si>
    <t>Location: Cairo HQ</t>
  </si>
  <si>
    <t>Deleted location should not appear again after refresh</t>
  </si>
  <si>
    <t>Deleted location remained deleted successfully</t>
  </si>
  <si>
    <t>TC_ADMIN_230</t>
  </si>
  <si>
    <t>Verify location is not deleted before confirmation</t>
  </si>
  <si>
    <t>Existing location selected</t>
  </si>
  <si>
    <t>Location should remain unchanged after canceling deletion</t>
  </si>
  <si>
    <t>Location remains available in table</t>
  </si>
  <si>
    <t>Location remained available successfully</t>
  </si>
  <si>
    <t>TC_ADMIN_231</t>
  </si>
  <si>
    <t>Verify Admin can delete single location successfully</t>
  </si>
  <si>
    <t>Ensure selected location is deleted correctly after confirmation</t>
  </si>
  <si>
    <t>1. Select location
2. Click Delete button
3. Confirm deletion</t>
  </si>
  <si>
    <t>Selected location deleted successfully and removed from list</t>
  </si>
  <si>
    <t>TC_ADMIN_232</t>
  </si>
  <si>
    <t>Verify Admin can select multiple locations using checkboxes</t>
  </si>
  <si>
    <t>Ensure multiple locations can be selected correctly for bulk deletion</t>
  </si>
  <si>
    <t>Multiple locations available</t>
  </si>
  <si>
    <t>Cairo HQ
Alexandria Branch
Giza Office</t>
  </si>
  <si>
    <t>Multiple locations selected successfully</t>
  </si>
  <si>
    <t>TC_ADMIN_233</t>
  </si>
  <si>
    <t>Verify canceling deletion preserves location record</t>
  </si>
  <si>
    <t>Ensure selected location remains available after canceling delete operation</t>
  </si>
  <si>
    <t>Admin logged into system, At least one location exists, Delete confirmation dialog opened</t>
  </si>
  <si>
    <t>1. Select location
2. Click Delete
3. Click Cancel</t>
  </si>
  <si>
    <t>Location should remain available in locations list</t>
  </si>
  <si>
    <t>Location record preserved</t>
  </si>
  <si>
    <t>TC_ADMIN_234</t>
  </si>
  <si>
    <t>Verify confirmation popup closes on cancellation</t>
  </si>
  <si>
    <t>Ensure delete confirmation dialog is dismissed when Cancel is selected</t>
  </si>
  <si>
    <t>Delete confirmation dialog displayed</t>
  </si>
  <si>
    <t>1. Select location_x000D_
2. Click Delete_x000D_
3. Click Cancel</t>
  </si>
  <si>
    <t>Confirmation dialog closes successfully</t>
  </si>
  <si>
    <t>User returned to Locations page</t>
  </si>
  <si>
    <t>Dialog closed successfully</t>
  </si>
  <si>
    <t>TC_ADMIN_235</t>
  </si>
  <si>
    <t>Verify cancelled deletion does not affect stored location</t>
  </si>
  <si>
    <t>Ensure location still exists after page refresh when deletion was cancelled</t>
  </si>
  <si>
    <t>Deletion cancelled successfully</t>
  </si>
  <si>
    <t>1. Select location_x000D_
2. Click Delete_x000D_
3. Click Cancel_x000D_
4. Refresh page_x000D_
5. Search for location</t>
  </si>
  <si>
    <t>Record retained successfully</t>
  </si>
  <si>
    <t>TC_ADMIN_236</t>
  </si>
  <si>
    <t>Verify location search using Name field</t>
  </si>
  <si>
    <t>Ensure Admin can search locations by name</t>
  </si>
  <si>
    <t>Admin logged into system, Locations page opened, Location records exist</t>
  </si>
  <si>
    <t>1. Enter Location Name_x000D_
2. Click Search</t>
  </si>
  <si>
    <t>Matching location records displayed successfully</t>
  </si>
  <si>
    <t>Filtered results displayed</t>
  </si>
  <si>
    <t>Matching records displayed successfully</t>
  </si>
  <si>
    <t>TC_ADMIN_237</t>
  </si>
  <si>
    <t>Verify location search using City field</t>
  </si>
  <si>
    <t>Ensure Admin can filter locations by city</t>
  </si>
  <si>
    <t>1. Enter City_x000D_
2. Click Search</t>
  </si>
  <si>
    <t>Only matching city records displayed</t>
  </si>
  <si>
    <t>TC_ADMIN_238</t>
  </si>
  <si>
    <t>Verify location search using Country field</t>
  </si>
  <si>
    <t>Ensure Admin can filter locations by country</t>
  </si>
  <si>
    <t>1. Select Country_x000D_
2. Click Search</t>
  </si>
  <si>
    <t>Only matching country records displayed</t>
  </si>
  <si>
    <t>TC_ADMIN_239</t>
  </si>
  <si>
    <t>Verify combined search criteria functionality</t>
  </si>
  <si>
    <t>Ensure system applies multiple filters simultaneously</t>
  </si>
  <si>
    <t>1. Enter Name_x000D_
2. Enter City_x000D_
3. Select Country_x000D_
4. Click Search</t>
  </si>
  <si>
    <t>Name: Cairo HQ_x000D_
City: Cairo_x000D_
Country: Egypt</t>
  </si>
  <si>
    <t>Only records matching all entered criteria displayed</t>
  </si>
  <si>
    <t>Combined filter results displayed</t>
  </si>
  <si>
    <t>Results displayed successfully</t>
  </si>
  <si>
    <t>TC_ADMIN_240</t>
  </si>
  <si>
    <t>Verify search updates displayed records</t>
  </si>
  <si>
    <t>Ensure results update when search criteria changes</t>
  </si>
  <si>
    <t>Search results already displayed</t>
  </si>
  <si>
    <t>1. Search using first criteria_x000D_
2. Modify criteria_x000D_
3. Click Search again</t>
  </si>
  <si>
    <t>Search 1: Cairo_x000D_
Search 2: Alexandria</t>
  </si>
  <si>
    <t>Results refreshed according to latest search criteria</t>
  </si>
  <si>
    <t>Updated results displayed</t>
  </si>
  <si>
    <t>Results refreshed successfully</t>
  </si>
  <si>
    <t>TC_ADMIN_241</t>
  </si>
  <si>
    <t>Verify search works regardless of text case</t>
  </si>
  <si>
    <t>Ensure search returns correct results using uppercase/lowercase values</t>
  </si>
  <si>
    <t>Location exists</t>
  </si>
  <si>
    <t>1. Enter search value with different letter case_x000D_
2. Click Search</t>
  </si>
  <si>
    <t>cairo hq / CAIRO HQ</t>
  </si>
  <si>
    <t>Matching records displayed regardless of text case</t>
  </si>
  <si>
    <t>Search executed successfully</t>
  </si>
  <si>
    <t>TC_ADMIN_242</t>
  </si>
  <si>
    <t>Verify Reset button clears applied search filters</t>
  </si>
  <si>
    <t>Ensure all search criteria are removed when Reset is clicked</t>
  </si>
  <si>
    <t>Filters applied successfully</t>
  </si>
  <si>
    <t>1. Enter search criteria_x000D_
2. Click Search_x000D_
3. Click Reset</t>
  </si>
  <si>
    <t>All search fields cleared successfully</t>
  </si>
  <si>
    <t>Filters removed successfully</t>
  </si>
  <si>
    <t>Filters cleared successfully</t>
  </si>
  <si>
    <t>TC_ADMIN_243</t>
  </si>
  <si>
    <t>Verify all locations are displayed after reset</t>
  </si>
  <si>
    <t>Ensure complete locations list is restored after resetting filters</t>
  </si>
  <si>
    <t>Filtered search results displayed</t>
  </si>
  <si>
    <t>1. Apply search filters_x000D_
2. Click Search_x000D_
3. Click Reset</t>
  </si>
  <si>
    <t>All locations displayed again</t>
  </si>
  <si>
    <t>Full records list displayed</t>
  </si>
  <si>
    <t>All locations displayed successfully</t>
  </si>
  <si>
    <t>TC_ADMIN_244</t>
  </si>
  <si>
    <t>Verify reset works after multiple search filters</t>
  </si>
  <si>
    <t>Ensure reset removes all applied filter combinations</t>
  </si>
  <si>
    <t>Multiple filters applied</t>
  </si>
  <si>
    <t>1. Enter Name_x000D_
2. Enter City_x000D_
3. Select Country_x000D_
4. Click Search_x000D_
5. Click Reset</t>
  </si>
  <si>
    <t>All filter fields cleared and full list restored</t>
  </si>
  <si>
    <t>Search criteria removed successfully</t>
  </si>
  <si>
    <t>Reset executed successfully</t>
  </si>
  <si>
    <t>TC_ADMIN_245</t>
  </si>
  <si>
    <t>Verify search results are removed after reset</t>
  </si>
  <si>
    <t>Ensure filtered results no longer remain after reset action</t>
  </si>
  <si>
    <t>Search results displayed</t>
  </si>
  <si>
    <t>1. Perform search_x000D_
2. Click Reset</t>
  </si>
  <si>
    <t>Filtered results removed and default list displayed</t>
  </si>
  <si>
    <t>Default view restored successfully</t>
  </si>
  <si>
    <t>Default records displayed successfully</t>
  </si>
  <si>
    <t>TC_ADMIN_246</t>
  </si>
  <si>
    <t>Verify country dropdown displays all available countries</t>
  </si>
  <si>
    <t>Ensure dropdown loads full list of available countries when opened</t>
  </si>
  <si>
    <t>Admin logged into system, Add/Edit Location form opened</t>
  </si>
  <si>
    <t>1. Open Country dropdown</t>
  </si>
  <si>
    <t>Available Countries List</t>
  </si>
  <si>
    <t>All countries are displayed successfully in dropdown</t>
  </si>
  <si>
    <t>Countries list displayed</t>
  </si>
  <si>
    <t>Countries displayed successfully</t>
  </si>
  <si>
    <t>TC_ADMIN_247</t>
  </si>
  <si>
    <t>Verify country dropdown allows single selection only</t>
  </si>
  <si>
    <t>Ensure only one country can be selected at a time</t>
  </si>
  <si>
    <t>Add/Edit Location form opened</t>
  </si>
  <si>
    <t>1. Open Country dropdown_x000D_
2. Select Country_x000D_
3. Select another Country</t>
  </si>
  <si>
    <t>Egypt / Saudi Arabia</t>
  </si>
  <si>
    <t>Only last selected country remains selected</t>
  </si>
  <si>
    <t>Single selection enforced</t>
  </si>
  <si>
    <t>Selection updated correctly</t>
  </si>
  <si>
    <t>TC_ADMIN_248</t>
  </si>
  <si>
    <t>Verify selected country is displayed in input field</t>
  </si>
  <si>
    <t>Ensure chosen country appears correctly in field after selection</t>
  </si>
  <si>
    <t>Country dropdown opened</t>
  </si>
  <si>
    <t>1. Open dropdown
2. Select Country</t>
  </si>
  <si>
    <t>Selected country is shown in field correctly</t>
  </si>
  <si>
    <t>Selected value visible</t>
  </si>
  <si>
    <t>Selection displayed correctly</t>
  </si>
  <si>
    <t>TC_ADMIN_249</t>
  </si>
  <si>
    <t>Verify country selection is saved correctly on form submission</t>
  </si>
  <si>
    <t>Ensure selected country is stored with location data</t>
  </si>
  <si>
    <t>Valid location form opened with country selected</t>
  </si>
  <si>
    <t>1. Select Country_x000D_
2. Fill other fields_x000D_
3. Click Save</t>
  </si>
  <si>
    <t>Location saved with correct country value</t>
  </si>
  <si>
    <t>Country stored in system</t>
  </si>
  <si>
    <t>Country saved successfully</t>
  </si>
  <si>
    <t>TC_ADMIN_250</t>
  </si>
  <si>
    <t>Verify country selection persists after reopening edit form</t>
  </si>
  <si>
    <t>Ensure saved country remains selected when editing location</t>
  </si>
  <si>
    <t>Existing location with country saved</t>
  </si>
  <si>
    <t>1. Open Edit Location_x000D_
2. Observe Country field</t>
  </si>
  <si>
    <t>Saved country is pre-selected in dropdown</t>
  </si>
  <si>
    <t>Existing data loaded</t>
  </si>
  <si>
    <t>Country value persisted successfully</t>
  </si>
  <si>
    <t>TC_ADMIN_251</t>
  </si>
  <si>
    <t>Verify country dropdown handles empty or no available countries</t>
  </si>
  <si>
    <t>Ensure system handles empty dropdown state gracefully</t>
  </si>
  <si>
    <t>No countries configured in system</t>
  </si>
  <si>
    <t>System shows empty state or disabled dropdown</t>
  </si>
  <si>
    <t>No options available handled correctly</t>
  </si>
  <si>
    <t>System handled empty state</t>
  </si>
  <si>
    <t>TC_ADMIN_252</t>
  </si>
  <si>
    <t>Verify search/filter inside country dropdown works if available</t>
  </si>
  <si>
    <t>Ensure user can search within dropdown options</t>
  </si>
  <si>
    <t>Dropdown supports search functionality</t>
  </si>
  <si>
    <t>1. Open Country dropdown_x000D_
2. Type country name</t>
  </si>
  <si>
    <t>Egypt</t>
  </si>
  <si>
    <t>Matching countries are filtered correctly</t>
  </si>
  <si>
    <t>Filtered dropdown results shown</t>
  </si>
  <si>
    <t>Search works successfully</t>
  </si>
  <si>
    <t>TC_ADMIN_253</t>
  </si>
  <si>
    <t>Verify No Records Found is displayed when no locations exist</t>
  </si>
  <si>
    <t>Ensure system shows empty state when database has no locations</t>
  </si>
  <si>
    <t>No locations exist in system</t>
  </si>
  <si>
    <t>1. Open Locations page</t>
  </si>
  <si>
    <t>No Records Found message is displayed</t>
  </si>
  <si>
    <t>Empty state shown</t>
  </si>
  <si>
    <t>No Records Found displayed successfully</t>
  </si>
  <si>
    <t>TC_ADMIN_254</t>
  </si>
  <si>
    <t>Verify No Records Found is displayed for invalid search results</t>
  </si>
  <si>
    <t>Ensure system shows empty state when search returns no match</t>
  </si>
  <si>
    <t>Locations exist but no matching data</t>
  </si>
  <si>
    <t>1. Enter invalid search_x000D_
2. Click Search</t>
  </si>
  <si>
    <t>Name: XYZ999</t>
  </si>
  <si>
    <t>No Records Found message appears</t>
  </si>
  <si>
    <t>Empty result state shown</t>
  </si>
  <si>
    <t>TC_ADMIN_255</t>
  </si>
  <si>
    <t>Verify No Records Found persists after reset from empty search</t>
  </si>
  <si>
    <t>Ensure reset returns full list after empty search state</t>
  </si>
  <si>
    <t>Search returns no results</t>
  </si>
  <si>
    <t>1. Search invalid data_x000D_
2. Click Reset</t>
  </si>
  <si>
    <t>Invalid filters</t>
  </si>
  <si>
    <t>Full locations list is restored</t>
  </si>
  <si>
    <t>Reset clears empty state</t>
  </si>
  <si>
    <t>All records displayed successfully</t>
  </si>
  <si>
    <t>TC_ADMIN_256</t>
  </si>
  <si>
    <t>US_11</t>
  </si>
  <si>
    <t>Verify enable edit mode toggle</t>
  </si>
  <si>
    <t>Ensure that the system successfully completes the 'Edit toggle activates modify buttons' process, as users must be able to execute this business logic without errors.</t>
  </si>
  <si>
    <t>Admin is logged in and navigates to Admin &gt; Company Structure.</t>
  </si>
  <si>
    <t>1. Click Edit toggle</t>
  </si>
  <si>
    <t>Action: Enable Edit</t>
  </si>
  <si>
    <t>The 'Verify enable edit mode toggle' action is executed successfully without errors, UI reflects changes, and backend validates input.</t>
  </si>
  <si>
    <t>As expected: The action 'Verify enable edit mode toggle' was completed successfully.</t>
  </si>
  <si>
    <t>TC_ADMIN_257</t>
  </si>
  <si>
    <t>Verify add root node</t>
  </si>
  <si>
    <t>Ensure that the system successfully completes the 'adding top-level company node' process, as users must be able to execute this business logic without errors.</t>
  </si>
  <si>
    <t>1. Click + on root
2. Save</t>
  </si>
  <si>
    <t>Name: Global HQ</t>
  </si>
  <si>
    <t>The 'Verify add root node' action is executed successfully without errors, UI reflects changes, and backend validates input.</t>
  </si>
  <si>
    <t>System state updated for module CS.</t>
  </si>
  <si>
    <t>As expected: The action 'Verify add root node' was completed successfully.</t>
  </si>
  <si>
    <t>TC_ADMIN_258</t>
  </si>
  <si>
    <t>Verify add sub-unit node</t>
  </si>
  <si>
    <t>Ensure that the system successfully completes the 'adding child node to department' process, as users must be able to execute this business logic without errors.</t>
  </si>
  <si>
    <t>1. Click + on Dept
2. Save</t>
  </si>
  <si>
    <t>Name: QA Team</t>
  </si>
  <si>
    <t>The 'Verify add sub-unit node' action is executed successfully without errors, UI reflects changes, and backend validates input.</t>
  </si>
  <si>
    <t>As expected: The action 'Verify add sub-unit node' was completed successfully.</t>
  </si>
  <si>
    <t>TC_ADMIN_259</t>
  </si>
  <si>
    <t>Verify add node empty name</t>
  </si>
  <si>
    <t>Ensure that the system successfully completes the 'validation for missing unit name' process, as users must be able to execute this business logic without errors.</t>
  </si>
  <si>
    <t>1. Click +
2. Leave name blank
3. Save</t>
  </si>
  <si>
    <t>The 'Verify add node empty name' action is executed successfully without errors, UI reflects changes, and backend validates input.</t>
  </si>
  <si>
    <t>As expected: The action 'Verify add node empty name' was completed successfully.</t>
  </si>
  <si>
    <t>TC_ADMIN_260</t>
  </si>
  <si>
    <t>Verify add node duplicate id</t>
  </si>
  <si>
    <t>Ensure that the system successfully completes the 'validation for duplicate Unit ID' process, as users must be able to execute this business logic without errors.</t>
  </si>
  <si>
    <t>1. Click +
2. Enter existing ID</t>
  </si>
  <si>
    <t>Unit ID: ENG-01</t>
  </si>
  <si>
    <t>The 'Verify add node duplicate id' action is executed successfully without errors, UI reflects changes, and backend validates input.</t>
  </si>
  <si>
    <t>Failed: The system encountered an error during 'Verify add node duplicate id'. Refer to related bug report.</t>
  </si>
  <si>
    <t>TC_ADMIN_261</t>
  </si>
  <si>
    <t>Verify add node special chars</t>
  </si>
  <si>
    <t>Ensure that the system successfully completes the 'unit name handles special characters' process, as users must be able to execute this business logic without errors.</t>
  </si>
  <si>
    <t>1. Enter 'R&amp;D Dept.'
2. Save</t>
  </si>
  <si>
    <t>Name: R&amp;D Dept.</t>
  </si>
  <si>
    <t>The 'Verify add node special chars' action is executed successfully without errors, UI reflects changes, and backend validates input.</t>
  </si>
  <si>
    <t>As expected: The action 'Verify add node special chars' was completed successfully.</t>
  </si>
  <si>
    <t>TC_ADMIN_262</t>
  </si>
  <si>
    <t>Verify add node long description</t>
  </si>
  <si>
    <t>Ensure that the system successfully completes the 'description handles 400 chars' process, as users must be able to execute this business logic without errors.</t>
  </si>
  <si>
    <t>1. Enter 400 chars in desc
2. Save</t>
  </si>
  <si>
    <t>Desc: 400 chars...</t>
  </si>
  <si>
    <t>The 'Verify add node long description' action is executed successfully without errors, UI reflects changes, and backend validates input.</t>
  </si>
  <si>
    <t>As expected: The action 'Verify add node long description' was completed successfully.</t>
  </si>
  <si>
    <t>TC_ADMIN_263</t>
  </si>
  <si>
    <t>Verify edit node name</t>
  </si>
  <si>
    <t>Ensure that the system successfully completes the 'renaming an organization unit' process, as users must be able to execute this business logic without errors.</t>
  </si>
  <si>
    <t>1. Click Edit on node
2. Change name</t>
  </si>
  <si>
    <t>Name: Testing Team</t>
  </si>
  <si>
    <t>The 'Verify edit node name' action is executed successfully without errors, UI reflects changes, and backend validates input.</t>
  </si>
  <si>
    <t>As expected: The action 'Verify edit node name' was completed successfully.</t>
  </si>
  <si>
    <t>TC_ADMIN_264</t>
  </si>
  <si>
    <t>Verify edit node description</t>
  </si>
  <si>
    <t>Ensure that the system successfully completes the 'updating the unit description' process, as users must be able to execute this business logic without errors.</t>
  </si>
  <si>
    <t>1. Click Edit
2. Change desc</t>
  </si>
  <si>
    <t>Desc: New Desc</t>
  </si>
  <si>
    <t>The 'Verify edit node description' action is executed successfully without errors, UI reflects changes, and backend validates input.</t>
  </si>
  <si>
    <t>As expected: The action 'Verify edit node description' was completed successfully.</t>
  </si>
  <si>
    <t>TC_ADMIN_265</t>
  </si>
  <si>
    <t>Verify edit node id</t>
  </si>
  <si>
    <t>Ensure that the system successfully completes the 'modifying the Unit ID' process, as users must be able to execute this business logic without errors.</t>
  </si>
  <si>
    <t>1. Click Edit
2. Change ID</t>
  </si>
  <si>
    <t>Unit ID: QA-02</t>
  </si>
  <si>
    <t>The 'Verify edit node id' action is executed successfully without errors, UI reflects changes, and backend validates input.</t>
  </si>
  <si>
    <t>As expected: The action 'Verify edit node id' was completed successfully.</t>
  </si>
  <si>
    <t>TC_ADMIN_266</t>
  </si>
  <si>
    <t>Verify delete leaf node</t>
  </si>
  <si>
    <t>Ensure that the system successfully completes the 'deleting a unit with no children' process, as users must be able to execute this business logic without errors.</t>
  </si>
  <si>
    <t>1. Click Delete on leaf node
2. Confirm</t>
  </si>
  <si>
    <t>Action: Delete Leaf</t>
  </si>
  <si>
    <t>The 'Verify delete leaf node' action is executed successfully without errors, UI reflects changes, and backend validates input.</t>
  </si>
  <si>
    <t>As expected: The action 'Verify delete leaf node' was completed successfully.</t>
  </si>
  <si>
    <t>TC_ADMIN_267</t>
  </si>
  <si>
    <t>Verify delete parent node</t>
  </si>
  <si>
    <t>Ensure that the system successfully completes the 'validation when deleting unit with children' process, as users must be able to execute this business logic without errors.</t>
  </si>
  <si>
    <t>1. Click Delete on parent node</t>
  </si>
  <si>
    <t>Action: Delete Parent</t>
  </si>
  <si>
    <t>The 'Verify delete parent node' action is executed successfully without errors, UI reflects changes, and backend validates input.</t>
  </si>
  <si>
    <t>Failed: The system encountered an error during 'Verify delete parent node'. Refer to related bug report.</t>
  </si>
  <si>
    <t>TC_ADMIN_268</t>
  </si>
  <si>
    <t>Verify cancel node addition</t>
  </si>
  <si>
    <t>Ensure that the system successfully completes the 'Cancel button closes dialog' process, as users must be able to execute this business logic without errors.</t>
  </si>
  <si>
    <t>1. Click +
2. Click Cancel</t>
  </si>
  <si>
    <t>The 'Verify cancel node addition' action is executed successfully without errors, UI reflects changes, and backend validates input.</t>
  </si>
  <si>
    <t>As expected: The action 'Verify cancel node addition' was completed successfully.</t>
  </si>
  <si>
    <t>TC_ADMIN_269</t>
  </si>
  <si>
    <t>Verify expand tree node</t>
  </si>
  <si>
    <t>Ensure that the system successfully completes the 'clicking + expands child units' process, as users must be able to execute this business logic without errors.</t>
  </si>
  <si>
    <t>1. Click + icon on tree view</t>
  </si>
  <si>
    <t>Action: Expand</t>
  </si>
  <si>
    <t>The 'Verify expand tree node' action is executed successfully without errors, UI reflects changes, and backend validates input.</t>
  </si>
  <si>
    <t>As expected: The action 'Verify expand tree node' was completed successfully.</t>
  </si>
  <si>
    <t>TC_ADMIN_270</t>
  </si>
  <si>
    <t>Verify collapse tree node</t>
  </si>
  <si>
    <t>Ensure that the system successfully completes the 'clicking - collapses child units' process, as users must be able to execute this business logic without errors.</t>
  </si>
  <si>
    <t>1. Click - icon on tree view</t>
  </si>
  <si>
    <t>Action: Collapse</t>
  </si>
  <si>
    <t>The 'Verify collapse tree node' action is executed successfully without errors, UI reflects changes, and backend validates input.</t>
  </si>
  <si>
    <t>As expected: The action 'Verify collapse tree node' was completed successfully.</t>
  </si>
  <si>
    <t>TC_ADMIN_271</t>
  </si>
  <si>
    <t>Verify max depth limit</t>
  </si>
  <si>
    <t>Ensure that the system successfully completes the 'system handles 10-level deep structure' process, as users must be able to execute this business logic without errors.</t>
  </si>
  <si>
    <t>1. Create 10 nested children</t>
  </si>
  <si>
    <t>Action: Nest 10</t>
  </si>
  <si>
    <t>The 'Verify max depth limit' action is executed successfully without errors, UI reflects changes, and backend validates input.</t>
  </si>
  <si>
    <t>As expected: The action 'Verify max depth limit' was completed successfully.</t>
  </si>
  <si>
    <t>TC_ADMIN_272</t>
  </si>
  <si>
    <t>Verify drag and drop node</t>
  </si>
  <si>
    <t>Ensure that the system successfully completes the 'rearranging structure via drag-drop' process, as users must be able to execute this business logic without errors.</t>
  </si>
  <si>
    <t>1. Drag QA node under HR node</t>
  </si>
  <si>
    <t>Action: Drag Drop</t>
  </si>
  <si>
    <t>The 'Verify drag and drop node' action is executed successfully without errors, UI reflects changes, and backend validates input.</t>
  </si>
  <si>
    <t>Failed: The system encountered an error during 'Verify drag and drop node'. Refer to related bug report.</t>
  </si>
  <si>
    <t>TC_ADMIN_273</t>
  </si>
  <si>
    <t>Verify xss in unit name</t>
  </si>
  <si>
    <t>Ensure that the system successfully completes the 'unit name sanitization in tree view' process, as users must be able to execute this business logic without errors.</t>
  </si>
  <si>
    <t>1. Enter &lt;img src=x onerror=alert(1)&gt;</t>
  </si>
  <si>
    <t>Name: XSS Payload</t>
  </si>
  <si>
    <t>The 'Verify xss in unit name' action is executed successfully without errors, UI reflects changes, and backend validates input.</t>
  </si>
  <si>
    <t>As expected: The action 'Verify xss in unit name' was completed successfully.</t>
  </si>
  <si>
    <t>TC_ADMIN_274</t>
  </si>
  <si>
    <t>Verify view mode restrictions</t>
  </si>
  <si>
    <t>Ensure that the system successfully completes the 'add/edit/delete disabled in View mode' process, as users must be able to execute this business logic without errors.</t>
  </si>
  <si>
    <t>1. Disable Edit toggle</t>
  </si>
  <si>
    <t>Action: View Mode</t>
  </si>
  <si>
    <t>The 'Verify view mode restrictions' action is executed successfully without errors, UI reflects changes, and backend validates input.</t>
  </si>
  <si>
    <t>As expected: The action 'Verify view mode restrictions' was completed successfully.</t>
  </si>
  <si>
    <t>TC_ADMIN_275</t>
  </si>
  <si>
    <t>Verify responsive tree layout</t>
  </si>
  <si>
    <t>Ensure that the system successfully completes the 'structure tree renders on mobile' process, as users must be able to execute this business logic without errors.</t>
  </si>
  <si>
    <t>1. Resize window to 375px</t>
  </si>
  <si>
    <t>The 'Verify responsive tree layout' action is executed successfully without errors, UI reflects changes, and backend validates input.</t>
  </si>
  <si>
    <t>As expected: The action 'Verify responsive tree layout' was completed successfully.</t>
  </si>
  <si>
    <t>TC_ADMIN_276</t>
  </si>
  <si>
    <t>Verify long unit name overflow</t>
  </si>
  <si>
    <t>Ensure that the system successfully completes the 'UI handles extremely long names' process, as users must be able to execute this business logic without errors.</t>
  </si>
  <si>
    <t>1. Create node with 100 char name</t>
  </si>
  <si>
    <t>Name: 100 chars...</t>
  </si>
  <si>
    <t>The 'Verify long unit name overflow' action is executed successfully without errors, UI reflects changes, and backend validates input.</t>
  </si>
  <si>
    <t>Failed: The system encountered an error during 'Verify long unit name overflow'. Refer to related bug report.</t>
  </si>
  <si>
    <t>TC_ADMIN_277</t>
  </si>
  <si>
    <t>Verify parent-child mapping</t>
  </si>
  <si>
    <t>Ensure that the system successfully completes the 'DB linkage translates to UI lines' process, as users must be able to execute this business logic without errors.</t>
  </si>
  <si>
    <t>1. Inspect tree connector lines</t>
  </si>
  <si>
    <t>Action: Inspect Lines</t>
  </si>
  <si>
    <t>The 'Verify parent-child mapping' action is executed successfully without errors, UI reflects changes, and backend validates input.</t>
  </si>
  <si>
    <t>As expected: The action 'Verify parent-child mapping' was completed successfully.</t>
  </si>
  <si>
    <t>TC_ADMIN_278</t>
  </si>
  <si>
    <t>Verify clear node description</t>
  </si>
  <si>
    <t>Ensure that the system successfully completes the 'saving node with cleared description' process, as users must be able to execute this business logic without errors.</t>
  </si>
  <si>
    <t>1. Edit node
2. Delete desc
3. Save</t>
  </si>
  <si>
    <t>Desc: empty</t>
  </si>
  <si>
    <t>The 'Verify clear node description' action is executed successfully without errors, UI reflects changes, and backend validates input.</t>
  </si>
  <si>
    <t>As expected: The action 'Verify clear node description' was completed successfully.</t>
  </si>
  <si>
    <t>TC_ADMIN_279</t>
  </si>
  <si>
    <t>Verify delete warning message</t>
  </si>
  <si>
    <t>Ensure that the system successfully completes the 'prompt accurately names the unit' process, as users must be able to execute this business logic without errors.</t>
  </si>
  <si>
    <t>1. Click Delete</t>
  </si>
  <si>
    <t>Action: Check Modal</t>
  </si>
  <si>
    <t>The 'Verify delete warning message' action is executed successfully without errors, UI reflects changes, and backend validates input.</t>
  </si>
  <si>
    <t>As expected: The action 'Verify delete warning message' was completed successfully.</t>
  </si>
  <si>
    <t>TC_ADMIN_280</t>
  </si>
  <si>
    <t>Verify save toast message</t>
  </si>
  <si>
    <t>Ensure that the system successfully completes the ''Successfully Saved' toast appears' process, as users must be able to execute this business logic without errors.</t>
  </si>
  <si>
    <t>1. Save node</t>
  </si>
  <si>
    <t>Action: Check Toast</t>
  </si>
  <si>
    <t>The 'Verify save toast message' action is executed successfully without errors, UI reflects changes, and backend validates input.</t>
  </si>
  <si>
    <t>As expected: The action 'Verify save toast message' was completed successfully.</t>
  </si>
  <si>
    <t>TC_ADMIN_281</t>
  </si>
  <si>
    <t>US_12</t>
  </si>
  <si>
    <t>Verify Admin can view the list of skills with Name and Description.</t>
  </si>
  <si>
    <t>Ensure that when an Admin navigates to the Skills configuration page, a structured list displays all defined employee skills with their respective names and descriptions.</t>
  </si>
  <si>
    <t>User is logged into the OrangeHRM demo website with Admin credentials.</t>
  </si>
  <si>
    <t>1. Click on the Admin module from the primary side navigation panel.
2. Click on the Qualifications dropdown in the top navigation bar.
3. Select Skills from the dropdown menu list.
4. Inspect the records grid/table layout.</t>
  </si>
  <si>
    <t>Navigation Path: Admin &gt; Qualifications &gt; Skills</t>
  </si>
  <si>
    <t>The Skills page loads successfully. The data table displays all saved skills, where each record row clearly exhibits a Skill Name column and a Description column.</t>
  </si>
  <si>
    <t xml:space="preserve">The page loaded successfully, and the skills are successfully displayed </t>
  </si>
  <si>
    <t>TC_ADMIN_282</t>
  </si>
  <si>
    <t>Verify successful creation of a new skill with optional description.</t>
  </si>
  <si>
    <t>Ensure that an Admin can add a brand new skill to the database and verify its subsequent visibility in the summary list.</t>
  </si>
  <si>
    <t>User is on the Admin &gt; Qualifications &gt; Skills page.</t>
  </si>
  <si>
    <t>1. Click on the + Add button located above the records table.
2. Enter a unique name into the Name input text field.
3. Enter text into the Description text area box.
4. Click the Save button.</t>
  </si>
  <si>
    <t>Name: Manual Testing QA
Description: Proficient in writing test cases using templates.</t>
  </si>
  <si>
    <t>The skill is created. A green "Successfully Saved" toast notification slides into view, the entry pane closes, and Manual Testing QA appears as an active row in the records list.</t>
  </si>
  <si>
    <t>A new skill entity is permanently appended to the qualification options database.</t>
  </si>
  <si>
    <t>The green notification is displayed, and the skill is created successfully</t>
  </si>
  <si>
    <t>TC_ADMIN_283</t>
  </si>
  <si>
    <t>Verify form validation error when mandatory Skill Name is omitted.</t>
  </si>
  <si>
    <t>Ensures that the system flags a validation failure and prevents submission if the Admin attempts to save a skill configuration with an empty name text block.</t>
  </si>
  <si>
    <t>User is on the Skills page and has clicked the + Add button.</t>
  </si>
  <si>
    <t>1. Leave the Name input field completely blank ("").
2. Add optional data inside the Description box.
3. Click the Save button.</t>
  </si>
  <si>
    <t>Name: [Blank]
Description: Attempting entry without a mandatory title name.</t>
  </si>
  <si>
    <t>The form submission is blocked. A red validation error text label reading "Required" must display directly underneath the blank Name input field.</t>
  </si>
  <si>
    <t>The configuration window remains active; no blank records are saved to the system.</t>
  </si>
  <si>
    <t>The red error appeared, and the "Required" message is displayed successfully</t>
  </si>
  <si>
    <t>TC_ADMIN_284</t>
  </si>
  <si>
    <t>Verify Admin can successfully update and save modifications to an existing skill.</t>
  </si>
  <si>
    <t>Ensure that altering the textual parameters of a previously saved skill updates the database and reflects immediately on the UI grid list.</t>
  </si>
  <si>
    <t>User is on the Skills list page, and a skill named Manual Testing QA exists.</t>
  </si>
  <si>
    <t>1. Locate the Manual Testing QA row item in the table.
2. Click its corresponding Edit (pencil icon) button on the right margin.
3. Modify the Name field text string.
4. Modify the content inside the Description textbox.
5. Click the Save button.</t>
  </si>
  <si>
    <t>Updated Name: Automation &amp; Manual Testing QA
Updated Description: Expertise covering manual scripts and automated execution suites.</t>
  </si>
  <si>
    <t>The changes save successfully. A "Successfully Updated" transient alert pops up, and the table dynamically updates to display Automation &amp; Manual Testing QA with its fresh description metadata.</t>
  </si>
  <si>
    <t>The target skill item profile parameters are updated in the live system layout.</t>
  </si>
  <si>
    <t>The skill is edited and updated successfully</t>
  </si>
  <si>
    <t>TC_ADMIN_285</t>
  </si>
  <si>
    <t>Verify that a single skill item can be removed permanently following confirmation.</t>
  </si>
  <si>
    <t>Ensure that selecting a single skill row trash icon prompts a defensive modal and completely drops the entity upon verification.</t>
  </si>
  <si>
    <t>User is on the Skills list page; an old or temporary test skill item exists in the grid row collection.</t>
  </si>
  <si>
    <t>1. Identify the target skill row item inside the data matrix.
2. Click on its direct inline Delete (trash bin icon) button item.
3. When the confirmation window overlay panel appears asking "Are you sure?", click Yes, Delete.</t>
  </si>
  <si>
    <t>Target Selection: Automation &amp; Manual Testing QA Skill</t>
  </si>
  <si>
    <t>The confirmation message displays immediately. Upon confirmation, a "Successfully Deleted" pop-up message appears, and the selected row item disappears from the table workspace list view.</t>
  </si>
  <si>
    <t>The skill index row item is fully dropped from system records.</t>
  </si>
  <si>
    <t>The message is displayed, and the skill is deleted successfully</t>
  </si>
  <si>
    <t>TC_ADMIN_286</t>
  </si>
  <si>
    <t>Verify mass-deletion feature using master list selection checkboxes.</t>
  </si>
  <si>
    <t>Validates batch row purge behavior when selecting multiple individual checkboxes and activating the collective "Delete Selected" global tool icon.</t>
  </si>
  <si>
    <t>User is on the Skills list page; multiple mock validation skill records exist in the table.</t>
  </si>
  <si>
    <t>1. Click on the select checkboxes located on the leftmost boundary column for multiple rows.
2. Verify that the primary Delete Selected button appears above the table header area.
3. Click the global Delete Selected button component.
4. Confirm the operation on the warning dialog popup overlay block by hitting Yes, Delete.</t>
  </si>
  <si>
    <t>Selection Targets: Checkboxes checked for rows index items 1, 3, and 5.</t>
  </si>
  <si>
    <t>The global delete tool executes effectively. All checked items vanish simultaneously after confirming, and a "Successfully Deleted" notification displays.</t>
  </si>
  <si>
    <t>Multiple target structural entities are concurrently purged from the configuration index.</t>
  </si>
  <si>
    <t>The message is displayed, and the skills are deleted successfully</t>
  </si>
  <si>
    <t>TC_ADMIN_287</t>
  </si>
  <si>
    <t>Verify canceling a deletion operation retains the skill data record intact.</t>
  </si>
  <si>
    <t>Tests the fallback escape hatch of the verification module to ensure no accidental deletion takes place if an action gets dismissed.</t>
  </si>
  <si>
    <t>User is on the Skills list page containing active items.</t>
  </si>
  <si>
    <t>1. Click on the Delete (trash icon) element for any active row item entry.
2. Once the safety choice block banner dialogue displays, select the No, Cancel button option.</t>
  </si>
  <si>
    <t xml:space="preserve">Target Item: Any existing item row </t>
  </si>
  <si>
    <t>The warning dialogue panel immediately closes, the deletion execution pipeline aborts, and the chosen skill record remains visible in the row summary data table list.</t>
  </si>
  <si>
    <t>Record data values remain secure and un-mutated in the data tables.</t>
  </si>
  <si>
    <t>The deletion is canceled and nothing changed</t>
  </si>
  <si>
    <t>TC_ADMIN_288</t>
  </si>
  <si>
    <t>Verify unique constraint enforcement prevents saving a duplicate skill name.</t>
  </si>
  <si>
    <t>Ensures the application data layers check for name conflicts, preventing redundant item creation and displaying an explicitly clear warning message.</t>
  </si>
  <si>
    <t>User is on the Skills page, and a skill named Java Programming already exists in the system database index.</t>
  </si>
  <si>
    <t>1. Click on the + Add button element.
2. Type Java Programming inside the Name input string container box.
3. Hit the Save option click point.</t>
  </si>
  <si>
    <t>Name: Java Programming (Exact match duplicate)</t>
  </si>
  <si>
    <t>The system rejects the save action. A validation prompt text label reading "Already exists" displays in red directly beneath the Name field box container to warn the operator.</t>
  </si>
  <si>
    <t>Duplicate entry generation fails; name constraints remain uniquely singular.</t>
  </si>
  <si>
    <t>The red  "Already exists" message appeared successfully, and nothing happen after clicking the save button</t>
  </si>
  <si>
    <t>TC_ADMIN_289</t>
  </si>
  <si>
    <t>Verify character boundary restriction limitations on the Description field.</t>
  </si>
  <si>
    <t>Ensure that string length bounds over the optional description container, ensuring characters block or fail validation if they cross max database constraints (e.g., 200 or 250 limit marks).</t>
  </si>
  <si>
    <t>User is on the Skills creation page overlay structure panel.</t>
  </si>
  <si>
    <t>1. Supply a valid string configuration inside the Name input zone box.
2. Paste a long text string that exceeds standard limit boundaries (e.g., a 400-character test string) into the Description text area block.
3. Observe input field length behavior or try clicking the Save action button.</t>
  </si>
  <si>
    <t>Name: Python
Description: A 400-character long dummy text string value sequence.</t>
  </si>
  <si>
    <t>The field should either restrict input typing immediately at the maximum boundary index threshold (preventing additional letters), or let the data insert, but throw a red format warning flag reading "Should not exceed 400 characters" upon hitting Save.</t>
  </si>
  <si>
    <t>Over-sized string layouts are filtered out by UI/UX logic controls.</t>
  </si>
  <si>
    <t>The red "
Should not exceed 400 characters" message appeared and nothing happened after clicking the save button</t>
  </si>
  <si>
    <t>TC_ADMIN_290</t>
  </si>
  <si>
    <t>Verify UI placeholder state when the skills summary index data repository is empty.</t>
  </si>
  <si>
    <t>Verifies gracefully handled UI representation when zero skills match or exist in the system, preventing blank white spaces or unhandled application exceptions</t>
  </si>
  <si>
    <t>All skill entities are completely absent or cleared out from the organizational server profile registry collection.</t>
  </si>
  <si>
    <t>1. Click on Admin side-nav option item link.
2. Access Qualifications &gt; Skills using standard navigation menus.
3. Look directly at the data grid rows container section layout box area.</t>
  </si>
  <si>
    <t>System State: No skill rows populated in database.</t>
  </si>
  <si>
    <t>The summary table area scales cleanly. Instead of rendering empty column matrices, a unified row item or cell presents an explicit label reading exactly: "No Records Found".</t>
  </si>
  <si>
    <t>System status displays an empty layout feedback state properly.</t>
  </si>
  <si>
    <t>A blue message saying "No records found" and The label is displayed successfully</t>
  </si>
  <si>
    <t>TC_ADMIN_291</t>
  </si>
  <si>
    <t>US_13</t>
  </si>
  <si>
    <t>Verify Admin can navigate to education level page</t>
  </si>
  <si>
    <t>Ensure Admin can access education levels page from Admin module navigation menu</t>
  </si>
  <si>
    <t>1. Navigate to Admin module
2. Click education levels option</t>
  </si>
  <si>
    <t>System redirects Admin to education levels page successfully</t>
  </si>
  <si>
    <t>education levels page displayed successfully</t>
  </si>
  <si>
    <t>education level page opened successfully</t>
  </si>
  <si>
    <t>TC_ADMIN_292</t>
  </si>
  <si>
    <t>Verify education levels records table is displayed</t>
  </si>
  <si>
    <t>Ensure education levels table appears correctly after page load</t>
  </si>
  <si>
    <t>User on education levels page</t>
  </si>
  <si>
    <t>1. Open education levels page
2. Observe records table</t>
  </si>
  <si>
    <t>education levels table displayed successfully</t>
  </si>
  <si>
    <t>TC_ADMIN_293</t>
  </si>
  <si>
    <t>Verify education level Name column is displayed correctly</t>
  </si>
  <si>
    <t>Ensure table contains education level Name column</t>
  </si>
  <si>
    <t>education levels page opened</t>
  </si>
  <si>
    <t>TC_ADMIN_294</t>
  </si>
  <si>
    <t>Verify existing education level records appear in table</t>
  </si>
  <si>
    <t>Ensure previously created education levels are displayed correctly</t>
  </si>
  <si>
    <t>Existingeducation level records available</t>
  </si>
  <si>
    <t>1. Open education levels page
2. Observe records list</t>
  </si>
  <si>
    <t>Existing education levels displayed correctly in table</t>
  </si>
  <si>
    <t>Existing education levels displayed successfully</t>
  </si>
  <si>
    <t>TC_ADMIN_295</t>
  </si>
  <si>
    <t>Verify Add button opens Add  education level form</t>
  </si>
  <si>
    <t>User on  education level page</t>
  </si>
  <si>
    <t>Add  education level form opens successfully</t>
  </si>
  <si>
    <t>TC_ADMIN_296</t>
  </si>
  <si>
    <t>1. Leave education level Name empty
2. Click Save</t>
  </si>
  <si>
    <t>TC_ADMIN_297</t>
  </si>
  <si>
    <t>Verify validation error is cleared after entering valid  education level Name</t>
  </si>
  <si>
    <t>1. Leave field empty
2. Click Save
3. Enter valid  education level Name</t>
  </si>
  <si>
    <t>education level Name: Internship</t>
  </si>
  <si>
    <t>TC_ADMIN_298</t>
  </si>
  <si>
    <t>Verify  education level is created successfully with valid data</t>
  </si>
  <si>
    <t>Ensure valid  education level data is saved correctly</t>
  </si>
  <si>
    <t>1. Enter valid reporting method name
2. Click Save</t>
  </si>
  <si>
    <t xml:space="preserve"> education level Name: Direct Manager
 Review</t>
  </si>
  <si>
    <t xml:space="preserve"> education level created successfully</t>
  </si>
  <si>
    <t>TC_ADMIN_299</t>
  </si>
  <si>
    <t>Verify new  education level appears immediately in table</t>
  </si>
  <si>
    <t>education level created successfully</t>
  </si>
  <si>
    <t>1. Save new education level
2. Observe records table</t>
  </si>
  <si>
    <t>New education level displayed immediately in table</t>
  </si>
  <si>
    <t>TC_ADMIN_300</t>
  </si>
  <si>
    <t>Verify success message appears after adding education level</t>
  </si>
  <si>
    <t>1. Create education level
2. Observe notification</t>
  </si>
  <si>
    <t>Valid education level</t>
  </si>
  <si>
    <t>TC_ADMIN_301</t>
  </si>
  <si>
    <t>Verify system handles special characters in education level names correctly</t>
  </si>
  <si>
    <t>Admin on Add education level form</t>
  </si>
  <si>
    <t>1. Click Add button
2. Enter education level name with special characters
3. Click Save
4. Observe table and UI behavior</t>
  </si>
  <si>
    <t>education level Name:
"@@@###%%%HR_Method!!!"</t>
  </si>
  <si>
    <t>Special characters caused UI layout issues in Reporting Methods table</t>
  </si>
  <si>
    <t>TC_ADMIN_302</t>
  </si>
  <si>
    <t>Verify system prevents duplicate education level</t>
  </si>
  <si>
    <t>Ensure duplicate education level names cannot be added</t>
  </si>
  <si>
    <t>Existing reporting method available</t>
  </si>
  <si>
    <t>1. Click Add button
2. Enter existing education level name
3. Click Save</t>
  </si>
  <si>
    <t>education level Name: HR Approval</t>
  </si>
  <si>
    <t>System prevents duplicate education level creation</t>
  </si>
  <si>
    <t>Duplicate education levelwas not created</t>
  </si>
  <si>
    <t>TC_ADMIN_303</t>
  </si>
  <si>
    <t>Verify duplicate education level are not created on double Save click</t>
  </si>
  <si>
    <t>Add education level form opened</t>
  </si>
  <si>
    <t>1. Enter valid education level data
2. Double-click Save button rapidly
3. Observe education level table</t>
  </si>
  <si>
    <t>education level Name: Operations Approval</t>
  </si>
  <si>
    <t>Only one education level record should be created</t>
  </si>
  <si>
    <t>Only one education level record created successfully</t>
  </si>
  <si>
    <t>No</t>
  </si>
  <si>
    <t>TC_ADMIN_304</t>
  </si>
  <si>
    <t>Verify Edit form opens successfully for selectededucation level</t>
  </si>
  <si>
    <t>Ensure Edit form loads correctly with existingeducation level data</t>
  </si>
  <si>
    <t>1. Select existingeducation level
2. Click Edit button</t>
  </si>
  <si>
    <t>Edit form displayed with existingeducation level data</t>
  </si>
  <si>
    <t>TC_ADMIN_305</t>
  </si>
  <si>
    <t>TC_ADMIN_306</t>
  </si>
  <si>
    <t>Verify admin can updateeducation level details</t>
  </si>
  <si>
    <t>1. Modifyeducation level details
2. Click Save</t>
  </si>
  <si>
    <t>TC_ADMIN_307</t>
  </si>
  <si>
    <t>Verify updatededucation level appears immediately in table</t>
  </si>
  <si>
    <t>1. Updateeducation level
2. Return to records table</t>
  </si>
  <si>
    <t>Updatededucation level</t>
  </si>
  <si>
    <t>TC_ADMIN_308</t>
  </si>
  <si>
    <t>Verify success message appears after updatingeducation level</t>
  </si>
  <si>
    <t>1. Editeducation level
2. Save changes
3. Observe notification message</t>
  </si>
  <si>
    <t>TC_ADMIN_309</t>
  </si>
  <si>
    <t>Ensure system preserves data integrity when user refreshes the page while editing aeducation level</t>
  </si>
  <si>
    <t>1. Open Edit form for aeducation level
2. Modifyeducation level name
3. Do not click Save
4. Refresh browser page (F5)
5. Return toeducation level table
6. Open edited record again</t>
  </si>
  <si>
    <t>Original reporting method data remains unchanged and stable</t>
  </si>
  <si>
    <t>education level data became corrupted after page refresh during edit process</t>
  </si>
  <si>
    <t>TC_ADMIN_310</t>
  </si>
  <si>
    <t>Verifyeducation level  records can be selected using checkboxes</t>
  </si>
  <si>
    <t>Existingeducation level available</t>
  </si>
  <si>
    <t>TC_ADMIN_311</t>
  </si>
  <si>
    <t>1. Selecteducation level
2. Click Delete button</t>
  </si>
  <si>
    <t>Existingeducation level</t>
  </si>
  <si>
    <t>TC_ADMIN_312</t>
  </si>
  <si>
    <t>Verify education level  is deleted successfully after confirmation</t>
  </si>
  <si>
    <t>Existing education level</t>
  </si>
  <si>
    <t>education level deleted successfully</t>
  </si>
  <si>
    <t>TC_ADMIN_313</t>
  </si>
  <si>
    <t>Verify deleted education level no longer appears in table</t>
  </si>
  <si>
    <t>1. Delete education level
2. Observe records table</t>
  </si>
  <si>
    <t>Deleted education level</t>
  </si>
  <si>
    <t>TC_ADMIN_314</t>
  </si>
  <si>
    <t>Verify success message appears after deleting education level</t>
  </si>
  <si>
    <t>1. Delete education level
2. Observe notification message</t>
  </si>
  <si>
    <t>TC_ADMIN_315</t>
  </si>
  <si>
    <t>Verify deleted education level does not reappear after refresh</t>
  </si>
  <si>
    <t>Existing education level available</t>
  </si>
  <si>
    <t>1. Delete education level
2. Refresh browser page
3. Search for deleted record</t>
  </si>
  <si>
    <t>education level: Part-Time</t>
  </si>
  <si>
    <t>Deleted education level should not appear again after refresh</t>
  </si>
  <si>
    <t>Deleted education level remained deleted successfully</t>
  </si>
  <si>
    <t>TC_ADMIN_316</t>
  </si>
  <si>
    <t>Verify education level  is not deleted before confirmation</t>
  </si>
  <si>
    <t>Existing education level selected</t>
  </si>
  <si>
    <t>TC_ADMIN_317</t>
  </si>
  <si>
    <t>Verify Admin can delete single education level successfully</t>
  </si>
  <si>
    <t>Ensure selected education level is deleted correctly after</t>
  </si>
  <si>
    <t>1. Select education level
2. Click Delete button
3. Confirm deletion</t>
  </si>
  <si>
    <t>Eeducation level: Part-Time</t>
  </si>
  <si>
    <t>Selected education level deleted successfully and removed from list</t>
  </si>
  <si>
    <t>TC_ADMIN_318</t>
  </si>
  <si>
    <t>Verify Admin can select multiple education level using checkboxes</t>
  </si>
  <si>
    <t>Multiple education level available</t>
  </si>
  <si>
    <t>Multiple education level selected successfully</t>
  </si>
  <si>
    <t>TC_ADMIN_319</t>
  </si>
  <si>
    <t>TC_ADMIN_320</t>
  </si>
  <si>
    <t>TC_ADMIN_321</t>
  </si>
  <si>
    <t>US_14</t>
  </si>
  <si>
    <t>Verify Admin can navigate to license page</t>
  </si>
  <si>
    <t>Ensure Admin can access license page from Admin module navigation menu</t>
  </si>
  <si>
    <t>1. Navigate to Admin module
2. Click license option</t>
  </si>
  <si>
    <t>System redirects Admin to license page successfully</t>
  </si>
  <si>
    <t>license page displayed successfully</t>
  </si>
  <si>
    <t>license page opened successfully</t>
  </si>
  <si>
    <t>TC_ADMIN_322</t>
  </si>
  <si>
    <t>Verify license records table is displayed</t>
  </si>
  <si>
    <t>Ensure license table appears correctly after page load</t>
  </si>
  <si>
    <t>User on license page</t>
  </si>
  <si>
    <t>1. Open license page
2. Observe records table</t>
  </si>
  <si>
    <t>license table displayed successfully</t>
  </si>
  <si>
    <t>TC_ADMIN_323</t>
  </si>
  <si>
    <t>Verify license Name column is displayed correctly</t>
  </si>
  <si>
    <t>Ensure table contains license Name column</t>
  </si>
  <si>
    <t>license page opened</t>
  </si>
  <si>
    <t>TC_ADMIN_324</t>
  </si>
  <si>
    <t>Verify existing license records appear in table</t>
  </si>
  <si>
    <t>Ensure previously created license are displayed correctly</t>
  </si>
  <si>
    <t>Existing license records available</t>
  </si>
  <si>
    <t>1. Open license page
2. Observe records list</t>
  </si>
  <si>
    <t>Existing license displayed correctly in table</t>
  </si>
  <si>
    <t>Existing license displayed successfully</t>
  </si>
  <si>
    <t>TC_ADMIN_325</t>
  </si>
  <si>
    <t>Verify Add button opens Add license form</t>
  </si>
  <si>
    <t>Add license form opens successfully</t>
  </si>
  <si>
    <t>TC_ADMIN_326</t>
  </si>
  <si>
    <t>1. Leave license Name empty
2. Click Save</t>
  </si>
  <si>
    <t>TC_ADMIN_327</t>
  </si>
  <si>
    <t>Verify validation error is cleared after entering valid license Name</t>
  </si>
  <si>
    <t>1. Leave field empty
2. Click Save
3. Enter valid license Name</t>
  </si>
  <si>
    <t>license Name: Internship</t>
  </si>
  <si>
    <t>TC_ADMIN_328</t>
  </si>
  <si>
    <t>Verify license is created successfully with valid data</t>
  </si>
  <si>
    <t>Ensure valid license data is saved correctly</t>
  </si>
  <si>
    <t>license Name: Direct Manager
 Review</t>
  </si>
  <si>
    <t>license created successfully</t>
  </si>
  <si>
    <t>TC_ADMIN_329</t>
  </si>
  <si>
    <t>Verify new license appears immediately in table</t>
  </si>
  <si>
    <t>1. Save new license
2. Observe records table</t>
  </si>
  <si>
    <t>New license displayed immediately in table</t>
  </si>
  <si>
    <t>TC_ADMIN_330</t>
  </si>
  <si>
    <t>Verify success message appears after adding license</t>
  </si>
  <si>
    <t>1. Create license
2. Observe notification</t>
  </si>
  <si>
    <t>Valid license</t>
  </si>
  <si>
    <t>TC_ADMIN_331</t>
  </si>
  <si>
    <t>Verify system handles special characters in license names correctly</t>
  </si>
  <si>
    <t>Admin on Add license form</t>
  </si>
  <si>
    <t>1. Click Add button
2. Enter license name with special characters
3. Click Save
4. Observe table and UI behavior</t>
  </si>
  <si>
    <t>license Name:
"@@@###%%%HR_Method!!!"</t>
  </si>
  <si>
    <t>Special characters caused UI layout issues in license table</t>
  </si>
  <si>
    <t>TC_ADMIN_332</t>
  </si>
  <si>
    <t>Verify system prevents duplicate license</t>
  </si>
  <si>
    <t>Ensure duplicate license names cannot be added</t>
  </si>
  <si>
    <t>1. Click Add button
2. Enter existing license name
3. Click Save</t>
  </si>
  <si>
    <t>license Name: HR Approval</t>
  </si>
  <si>
    <t>System prevents duplicate license creation</t>
  </si>
  <si>
    <t>Duplicate license was not created</t>
  </si>
  <si>
    <t>TC_ADMIN_333</t>
  </si>
  <si>
    <t>Verify duplicate license are not created on double Save click</t>
  </si>
  <si>
    <t>Add license form opened</t>
  </si>
  <si>
    <t>1. Enter valid license data
2. Double-click Save button rapidly
3. Observe license table</t>
  </si>
  <si>
    <t>license Name: Operations Approval</t>
  </si>
  <si>
    <t>Only one license record should be created</t>
  </si>
  <si>
    <t>Only one license record created successfully</t>
  </si>
  <si>
    <t>TC_ADMIN_334</t>
  </si>
  <si>
    <t>Verify Edit form opens successfully for selected license</t>
  </si>
  <si>
    <t>Ensure Edit form loads correctly with existing license data</t>
  </si>
  <si>
    <t>1. Select existing license
2. Click Edit button</t>
  </si>
  <si>
    <t>Existing license: Craft Workers</t>
  </si>
  <si>
    <t>Edit form displayed with existinglicense data</t>
  </si>
  <si>
    <t>TC_ADMIN_335</t>
  </si>
  <si>
    <t>Existing license available</t>
  </si>
  <si>
    <t>TC_ADMIN_336</t>
  </si>
  <si>
    <t>Verify admin can update license details</t>
  </si>
  <si>
    <t>1. Modify license details
2. Click Save</t>
  </si>
  <si>
    <t>TC_ADMIN_337</t>
  </si>
  <si>
    <t>Verify updated license appears immediately in table</t>
  </si>
  <si>
    <t>1. Update license
2. Return to records table</t>
  </si>
  <si>
    <t>Updated license</t>
  </si>
  <si>
    <t>TC_ADMIN_338</t>
  </si>
  <si>
    <t>Verify success message appears after updating license</t>
  </si>
  <si>
    <t>1. Editlicense
2. Save changes
3. Observe notification message</t>
  </si>
  <si>
    <t>TC_ADMIN_339</t>
  </si>
  <si>
    <t>Ensure system preserves data integrity when user refreshes the page while editing alicense</t>
  </si>
  <si>
    <t>1. Open Edit form for alicense
2. Modifylicense name
3. Do not click Save
4. Refresh browser page (F5)
5. Return tolicense table
6. Open edited record again</t>
  </si>
  <si>
    <t>Original license data remains unchanged and stable</t>
  </si>
  <si>
    <t>license data became corrupted after page refresh during edit process</t>
  </si>
  <si>
    <t>TC_ADMIN_340</t>
  </si>
  <si>
    <t>Verify license  records can be selected using checkboxes</t>
  </si>
  <si>
    <t>TC_ADMIN_341</t>
  </si>
  <si>
    <t>1. Selectlicense
2. Click Delete button</t>
  </si>
  <si>
    <t>Existing license</t>
  </si>
  <si>
    <t>TC_ADMIN_342</t>
  </si>
  <si>
    <t>Verify license  is deleted successfully after confirmation</t>
  </si>
  <si>
    <t>license deleted successfully</t>
  </si>
  <si>
    <t>TC_ADMIN_343</t>
  </si>
  <si>
    <t>Verify deleted license no longer appears in table</t>
  </si>
  <si>
    <t>1. Delete license
2. Observe records table</t>
  </si>
  <si>
    <t>Deleted license</t>
  </si>
  <si>
    <t>TC_ADMIN_344</t>
  </si>
  <si>
    <t>Verify success message appears after deleting license</t>
  </si>
  <si>
    <t>1. Delete license
2. Observe notification message</t>
  </si>
  <si>
    <t>TC_ADMIN_345</t>
  </si>
  <si>
    <t>Verify deleted license does not reappear after refresh</t>
  </si>
  <si>
    <t>1. Delete license
2. Refresh browser page
3. Search for deleted record</t>
  </si>
  <si>
    <t>license: Part-Time</t>
  </si>
  <si>
    <t>Deleted license should not appear again after refresh</t>
  </si>
  <si>
    <t>Deleted license remained deleted successfully</t>
  </si>
  <si>
    <t>TC_ADMIN_346</t>
  </si>
  <si>
    <t>Verify license  is not deleted before confirmation</t>
  </si>
  <si>
    <t>Existing license selected</t>
  </si>
  <si>
    <t>TC_ADMIN_347</t>
  </si>
  <si>
    <t>Verify Admin can delete single license successfully</t>
  </si>
  <si>
    <t>Ensure selected license is deleted correctly after</t>
  </si>
  <si>
    <t>1. Select license
2. Click Delete button
3. Confirm deletion</t>
  </si>
  <si>
    <t>Selected license deleted successfully and removed from list</t>
  </si>
  <si>
    <t>TC_ADMIN_348</t>
  </si>
  <si>
    <t>Verify Admin can select multiple license using checkboxes</t>
  </si>
  <si>
    <t>Multiple license available</t>
  </si>
  <si>
    <t>Multiple license selected successfully</t>
  </si>
  <si>
    <t>TC_ADMIN_349</t>
  </si>
  <si>
    <t>Verify “No Records Found” message appears when no license exist</t>
  </si>
  <si>
    <t>No license records available in system</t>
  </si>
  <si>
    <t>1. Navigate to license page
2. Observe records table area</t>
  </si>
  <si>
    <t>TC_ADMIN_350</t>
  </si>
  <si>
    <t>Ensure UI remains readable and properly aligned when nolicenseexist</t>
  </si>
  <si>
    <t>license table empty</t>
  </si>
  <si>
    <t>1. Open license page with no records
2. Observe table and layout structure</t>
  </si>
  <si>
    <t>TC_ADMIN_351</t>
  </si>
  <si>
    <t>US_15</t>
  </si>
  <si>
    <t>Verify Languages page loads successfully</t>
  </si>
  <si>
    <t>Verify admin can open Languages page</t>
  </si>
  <si>
    <t>1. Login as Admin 
2. Navigate to Admin → Qualifications → Languages</t>
  </si>
  <si>
    <t>Languages page displayed successfully</t>
  </si>
  <si>
    <t>Languages page displayed
 successfully</t>
  </si>
  <si>
    <t>TC_ADMIN_352</t>
  </si>
  <si>
    <t>Verify languages displayed in table</t>
  </si>
  <si>
    <t>Verify all languages displayed in table format</t>
  </si>
  <si>
    <t>On Languages page</t>
  </si>
  <si>
    <t>Observe languages table</t>
  </si>
  <si>
    <t>Existing language records</t>
  </si>
  <si>
    <t>Languages displayed in tabular format</t>
  </si>
  <si>
    <t>TC_ADMIN_353</t>
  </si>
  <si>
    <t>Verify table columns</t>
  </si>
  <si>
    <t xml:space="preserve">Verify correct data displayed in columns </t>
  </si>
  <si>
    <t>Check table headers and it's data</t>
  </si>
  <si>
    <t>Proper headers displayed (Language Name and Actions.)</t>
  </si>
  <si>
    <t>TC_ADMIN_354</t>
  </si>
  <si>
    <t>Verify pagination works correctly if records exceed page size</t>
  </si>
  <si>
    <t>Languages count exceeds page size</t>
  </si>
  <si>
    <t>Click next/previous page</t>
  </si>
  <si>
    <t>Multiple records</t>
  </si>
  <si>
    <t>Correct records displayed per page</t>
  </si>
  <si>
    <t>not Correct records displayed per page</t>
  </si>
  <si>
    <t>ازاي failed وهو أصلا عدد اللغات الموجودة قليل</t>
  </si>
  <si>
    <t>TC_ADMIN_355</t>
  </si>
  <si>
    <t xml:space="preserve">return to language page </t>
  </si>
  <si>
    <t>Return to language page after invalid parametar</t>
  </si>
  <si>
    <t>add invalid language parameter</t>
  </si>
  <si>
    <t xml:space="preserve">1. Add invalid language parameter
2. click save </t>
  </si>
  <si>
    <t>" englishz"</t>
  </si>
  <si>
    <t>return to home language page</t>
  </si>
  <si>
    <t>in language page</t>
  </si>
  <si>
    <t>Didn't return to the home language page stuck in infinity load</t>
  </si>
  <si>
    <t>what infinite loop????</t>
  </si>
  <si>
    <t>TC_ADMIN_356</t>
  </si>
  <si>
    <t>Add new language successfully</t>
  </si>
  <si>
    <t>Verify admin can add new language</t>
  </si>
  <si>
    <t>1. Click Add
 2. add language name
 3. Click Save</t>
  </si>
  <si>
    <t xml:space="preserve">
العربيه</t>
  </si>
  <si>
    <t>Success message displayed and language added</t>
  </si>
  <si>
    <t>New language saved</t>
  </si>
  <si>
    <t>TC_ADMIN_357</t>
  </si>
  <si>
    <t>Verify added language appears in list</t>
  </si>
  <si>
    <t>Verify newly added language visible in table</t>
  </si>
  <si>
    <t>Language added</t>
  </si>
  <si>
    <t>Search/observe list</t>
  </si>
  <si>
    <t>Added language appears in list</t>
  </si>
  <si>
    <t>TC_ADMIN_358</t>
  </si>
  <si>
    <t>Verify Save button functionality</t>
  </si>
  <si>
    <t>Verify Save button submits valid form</t>
  </si>
  <si>
    <t>Add page open</t>
  </si>
  <si>
    <t>1. Enter valid data 
2. Click Save</t>
  </si>
  <si>
    <t>Form saved successfully</t>
  </si>
  <si>
    <t>Data stored</t>
  </si>
  <si>
    <t>language saved successfully</t>
  </si>
  <si>
    <t>TC_ADMIN_359</t>
  </si>
  <si>
    <t>Verify add button functionality</t>
  </si>
  <si>
    <t>Verify add button open add page</t>
  </si>
  <si>
    <t>click add buttom</t>
  </si>
  <si>
    <t>Open add page</t>
  </si>
  <si>
    <t>in add page</t>
  </si>
  <si>
    <t>TC_ADMIN_360</t>
  </si>
  <si>
    <t>Verify script injection prevention</t>
  </si>
  <si>
    <t>Verify XSS payload blocked</t>
  </si>
  <si>
    <t>Add form open</t>
  </si>
  <si>
    <t>1. Enter script payload 
2. Save</t>
  </si>
  <si>
    <t>&lt;script&gt;alert(1)&lt;/script&gt;</t>
  </si>
  <si>
    <t>ignore script</t>
  </si>
  <si>
    <t>save language as"&lt;script&gt;alert(1)&lt;/script&gt;"</t>
  </si>
  <si>
    <t>TC_ADMIN_361</t>
  </si>
  <si>
    <t>Verify max character length validation</t>
  </si>
  <si>
    <t>Verify language name length restrictions</t>
  </si>
  <si>
    <t>1. Enter 120+ chars
2. Save</t>
  </si>
  <si>
    <t>Very long string</t>
  </si>
  <si>
    <t xml:space="preserve">Should not exceed 120 characters
</t>
  </si>
  <si>
    <t>Should not exceed 120 characters</t>
  </si>
  <si>
    <t>TC_ADMIN_362</t>
  </si>
  <si>
    <t>Verify required field validation</t>
  </si>
  <si>
    <t>Verify empty language name not allowed</t>
  </si>
  <si>
    <t>On Add Language form</t>
  </si>
  <si>
    <t>1. click add
2. donot write langauge
3. click save</t>
  </si>
  <si>
    <t>Validation error displayed</t>
  </si>
  <si>
    <t>Form not submitted</t>
  </si>
  <si>
    <t>TC_ADMIN_363</t>
  </si>
  <si>
    <t>Verify validation message text</t>
  </si>
  <si>
    <t>Verify validation message correctness</t>
  </si>
  <si>
    <t>On Add page</t>
  </si>
  <si>
    <t>1. Click Save without data</t>
  </si>
  <si>
    <t>TC_ADMIN_364</t>
  </si>
  <si>
    <t>Prevent duplicate language creation</t>
  </si>
  <si>
    <t>Verify duplicate language cannot be added</t>
  </si>
  <si>
    <t>Existing language available</t>
  </si>
  <si>
    <t>1. Enter existing language name 
2. Save</t>
  </si>
  <si>
    <t>arabic , arabic</t>
  </si>
  <si>
    <t>didnot save arabic in second time
Display massage  "Already exists"</t>
  </si>
  <si>
    <t>Data didn't save</t>
  </si>
  <si>
    <t>didnot save arabic egypt in second time</t>
  </si>
  <si>
    <t>TC_ADMIN_365</t>
  </si>
  <si>
    <t>Prevent duplicate language creation with different language</t>
  </si>
  <si>
    <t>Prevent duplicate same language with different language</t>
  </si>
  <si>
    <t xml:space="preserve">1. add language "arabic"
2. click save
3. click add
4. add new language "العربيه"
5. click save </t>
  </si>
  <si>
    <t>arabic , العربيه</t>
  </si>
  <si>
    <t>didnot save "العربيه" in second time
Display massage  "Already exists"</t>
  </si>
  <si>
    <t>TC_ADMIN_366</t>
  </si>
  <si>
    <t>Verify duplicate error message</t>
  </si>
  <si>
    <t>Verify proper duplicate warning shown</t>
  </si>
  <si>
    <t>Existing record exists</t>
  </si>
  <si>
    <t>1. Attempt duplicate creation</t>
  </si>
  <si>
    <t>Arabic</t>
  </si>
  <si>
    <t>“Already Exists” message displayed</t>
  </si>
  <si>
    <t>No duplicate record</t>
  </si>
  <si>
    <t>TC_ADMIN_367</t>
  </si>
  <si>
    <t>Verify duplicate check is case insensitive</t>
  </si>
  <si>
    <t>Verify system blocks same name with different case</t>
  </si>
  <si>
    <t>Existing “English” exists</t>
  </si>
  <si>
    <t>1. Add “english”</t>
  </si>
  <si>
    <t>english</t>
  </si>
  <si>
    <t>Duplicate prevented</t>
  </si>
  <si>
    <t>No new record</t>
  </si>
  <si>
    <t>TC_ADMIN_368</t>
  </si>
  <si>
    <t>Duplicate without space</t>
  </si>
  <si>
    <t>duplicate same languaage but with space in start</t>
  </si>
  <si>
    <t xml:space="preserve">1. add language "english"
2. click save
3. click add
4. add new language " english"
5. click save </t>
  </si>
  <si>
    <t>"english" ," english"</t>
  </si>
  <si>
    <t>didnot save "invalid parameter"</t>
  </si>
  <si>
    <t>return to language page</t>
  </si>
  <si>
    <t>TC_ADMIN_369</t>
  </si>
  <si>
    <t>Edit existing language successfully</t>
  </si>
  <si>
    <t>Verify admin can edit language</t>
  </si>
  <si>
    <t>Existing language exists</t>
  </si>
  <si>
    <t>1. Select language 
2. Edit name
3. Save</t>
  </si>
  <si>
    <t>English → French</t>
  </si>
  <si>
    <t>Language updated</t>
  </si>
  <si>
    <t>TC_ADMIN_370</t>
  </si>
  <si>
    <t>Verify updated language displayed</t>
  </si>
  <si>
    <t>Verify edited language shown in list</t>
  </si>
  <si>
    <t>Search/view updated record</t>
  </si>
  <si>
    <t>French</t>
  </si>
  <si>
    <t>Updated value displayed</t>
  </si>
  <si>
    <t>TC_ADMIN_371</t>
  </si>
  <si>
    <t>Verify edit form loads existing data</t>
  </si>
  <si>
    <t>Verify edit form pre-populated correctly</t>
  </si>
  <si>
    <t>Existing language selected to edit</t>
  </si>
  <si>
    <t>Open edit form</t>
  </si>
  <si>
    <t>Existing language</t>
  </si>
  <si>
    <t>give massage this language exisit</t>
  </si>
  <si>
    <t>donot save the daata</t>
  </si>
  <si>
    <t>TC_ADMIN_372</t>
  </si>
  <si>
    <t>Return to language page after edit</t>
  </si>
  <si>
    <t>edit exist language to valid language parameter</t>
  </si>
  <si>
    <t xml:space="preserve">1. edit exist language to valid language parameter
2. click save </t>
  </si>
  <si>
    <t>"arabic" -&gt; "ar"</t>
  </si>
  <si>
    <t>TC_ADMIN_373</t>
  </si>
  <si>
    <t>Delete single language successfully</t>
  </si>
  <si>
    <t>Verify admin can delete one language</t>
  </si>
  <si>
    <t>1. Select language 
2. Click Delete 
3. Confirm</t>
  </si>
  <si>
    <t>Language removed successfully</t>
  </si>
  <si>
    <t>Record deleted</t>
  </si>
  <si>
    <t>TC_ADMIN_374</t>
  </si>
  <si>
    <t>Delete Single language by button</t>
  </si>
  <si>
    <t>Verify admin can delete one language without selection</t>
  </si>
  <si>
    <t>1. click on delete buttom for one language</t>
  </si>
  <si>
    <t>TC_ADMIN_375</t>
  </si>
  <si>
    <t>Verify admin can delete multiple records</t>
  </si>
  <si>
    <t>Multiple languages exist</t>
  </si>
  <si>
    <t>1. Select multiple 
2.Delete 
3. Confirm</t>
  </si>
  <si>
    <t>All selected records deleted</t>
  </si>
  <si>
    <t>Records removed</t>
  </si>
  <si>
    <t>TC_ADMIN_376</t>
  </si>
  <si>
    <t>Verify confirmation massage appears before deletion</t>
  </si>
  <si>
    <t>Language selected</t>
  </si>
  <si>
    <t>Click Delete</t>
  </si>
  <si>
    <t xml:space="preserve">1. Select multiple 
2.Delete </t>
  </si>
  <si>
    <t>popup</t>
  </si>
  <si>
    <t>TC_ADMIN_377</t>
  </si>
  <si>
    <t>Verify cancel deletion functionality</t>
  </si>
  <si>
    <t>Verify deletion cancelled correctly</t>
  </si>
  <si>
    <t>Delete popup displayed</t>
  </si>
  <si>
    <t>Click Cancel</t>
  </si>
  <si>
    <t>No records deleted</t>
  </si>
  <si>
    <t>Records remain unchanged</t>
  </si>
  <si>
    <t>TC_ADMIN_378</t>
  </si>
  <si>
    <t>Cancel adding language</t>
  </si>
  <si>
    <t>Verify Cancel button discards changes</t>
  </si>
  <si>
    <t>Add Language form open</t>
  </si>
  <si>
    <t>1. Enter data  
2. Click Cancel</t>
  </si>
  <si>
    <t>Spanish</t>
  </si>
  <si>
    <t>Changes discarded</t>
  </si>
  <si>
    <t>No record added</t>
  </si>
  <si>
    <t>TC_ADMIN_379</t>
  </si>
  <si>
    <t>Verify redirect after cancel</t>
  </si>
  <si>
    <t>Verify system returns to Languages list page</t>
  </si>
  <si>
    <t>Redirected to Languages list page</t>
  </si>
  <si>
    <t>TC_ADMIN_380</t>
  </si>
  <si>
    <t>US_16</t>
  </si>
  <si>
    <t>Verify Memberships page loads successfully</t>
  </si>
  <si>
    <t>Verify admin can open Memberships page</t>
  </si>
  <si>
    <t>1. Login as Admin_x000D_
2. Navigate to Admin → Qualifications → Memberships</t>
  </si>
  <si>
    <t>Memberships page displayed successfully</t>
  </si>
  <si>
    <t>TC_ADMIN_381</t>
  </si>
  <si>
    <t>Verify memberships displayed in table</t>
  </si>
  <si>
    <t>Verify all memberships displayed in table format</t>
  </si>
  <si>
    <t>On Memberships page</t>
  </si>
  <si>
    <t>2. Observe memberships table</t>
  </si>
  <si>
    <t>Existing membership records</t>
  </si>
  <si>
    <t>Memberships displayed in tabular format</t>
  </si>
  <si>
    <t>TC_ADMIN_382</t>
  </si>
  <si>
    <t>Verify correct data displayed in columns</t>
  </si>
  <si>
    <t>1. Check table headers and data</t>
  </si>
  <si>
    <t>Proper headers displayed (Membership Name and Actions)</t>
  </si>
  <si>
    <t>TC_ADMIN_383</t>
  </si>
  <si>
    <t>Membership count exceeds page size</t>
  </si>
  <si>
    <t>1. Click next/previous page</t>
  </si>
  <si>
    <t>TC_ADMIN_384</t>
  </si>
  <si>
    <t>Return to memberships page after invalid parameter</t>
  </si>
  <si>
    <t>Verify system handles invalid membership parameter safely</t>
  </si>
  <si>
    <t>Add invalid membership parameter</t>
  </si>
  <si>
    <t>1. Add invalid parameter_x000D_
2. Click Save</t>
  </si>
  <si>
    <t>Test@#$%</t>
  </si>
  <si>
    <t>Return to memberships page</t>
  </si>
  <si>
    <t>Memberships page loaded</t>
  </si>
  <si>
    <t>TC_ADMIN_385</t>
  </si>
  <si>
    <t>Add new membership successfully</t>
  </si>
  <si>
    <t>Verify admin can add new membership</t>
  </si>
  <si>
    <t>1. Click Add_x000D_
2. Enter membership name_x000D_
3. Click Save</t>
  </si>
  <si>
    <t>PMI Membership</t>
  </si>
  <si>
    <t>Success message displayed and membership added</t>
  </si>
  <si>
    <t>New membership saved</t>
  </si>
  <si>
    <t>TC_ADMIN_386</t>
  </si>
  <si>
    <t>Verify added membership appears in list</t>
  </si>
  <si>
    <t>Verify newly added membership visible in table</t>
  </si>
  <si>
    <t>Membership added</t>
  </si>
  <si>
    <t>1. Search/observe list</t>
  </si>
  <si>
    <t>Added membership appears in list</t>
  </si>
  <si>
    <t>TC_ADMIN_387</t>
  </si>
  <si>
    <t>1. Enter valid data
2. Click Save</t>
  </si>
  <si>
    <t>IEEE Membership</t>
  </si>
  <si>
    <t>Membership saved successfully</t>
  </si>
  <si>
    <t>TC_ADMIN_388</t>
  </si>
  <si>
    <t>Verify Add button functionality</t>
  </si>
  <si>
    <t>Verify Add button opens Add Membership page</t>
  </si>
  <si>
    <t>Click Add button</t>
  </si>
  <si>
    <t>Open Add Membership page</t>
  </si>
  <si>
    <t>In Add page</t>
  </si>
  <si>
    <t>TC_ADMIN_389</t>
  </si>
  <si>
    <t>1. Enter script payload_x000D_
2. Save</t>
  </si>
  <si>
    <t>Input sanitized or blocked</t>
  </si>
  <si>
    <t>No malicious script executed</t>
  </si>
  <si>
    <t>Input sanitized</t>
  </si>
  <si>
    <t>TC_ADMIN_390</t>
  </si>
  <si>
    <t>Verify membership name length restrictions</t>
  </si>
  <si>
    <t>1. Enter 120+ characters_x000D_
2. Save</t>
  </si>
  <si>
    <t>System should reject excessive length</t>
  </si>
  <si>
    <t>No record saved</t>
  </si>
  <si>
    <t>Validation displayed</t>
  </si>
  <si>
    <t>TC_ADMIN_391</t>
  </si>
  <si>
    <t>Verify empty membership name not allowed</t>
  </si>
  <si>
    <t>On Add Membership form</t>
  </si>
  <si>
    <t>1. Click Add_x000D_
2. Leave Membership Name empty_x000D_
3. Click Save</t>
  </si>
  <si>
    <t>TC_ADMIN_392</t>
  </si>
  <si>
    <t>TC_ADMIN_393</t>
  </si>
  <si>
    <t>Prevent duplicate membership creation</t>
  </si>
  <si>
    <t>Verify duplicate membership cannot be added</t>
  </si>
  <si>
    <t>Existing membership available</t>
  </si>
  <si>
    <t>1. Enter existing membership name_x000D_
2. Save</t>
  </si>
  <si>
    <t>Display 'Already Exists' message</t>
  </si>
  <si>
    <t>TC_ADMIN_394</t>
  </si>
  <si>
    <t>Prevent duplicate membership creation with different case</t>
  </si>
  <si>
    <t>1. Add membership 'pmi membership'_x000D_
2. Save</t>
  </si>
  <si>
    <t>pmi membership</t>
  </si>
  <si>
    <t>TC_ADMIN_395</t>
  </si>
  <si>
    <t>Attempt duplicate creation</t>
  </si>
  <si>
    <t>Already Exists' displayed</t>
  </si>
  <si>
    <t>TC_ADMIN_396</t>
  </si>
  <si>
    <t>Duplicate with leading space</t>
  </si>
  <si>
    <t>Verify system trims spaces before duplicate validation</t>
  </si>
  <si>
    <t>Existing membership exists</t>
  </si>
  <si>
    <t>1. Add ' PMI Membership'_x000D_
2. Save</t>
  </si>
  <si>
    <t xml:space="preserve"> PMI Membership</t>
  </si>
  <si>
    <t>TC_ADMIN_397</t>
  </si>
  <si>
    <t>Edit existing membership successfully</t>
  </si>
  <si>
    <t>Verify admin can edit membership</t>
  </si>
  <si>
    <t>1. Select membership_x000D_
2. Edit name_x000D_
3. Save</t>
  </si>
  <si>
    <t>PMI Membership → IEEE Membership</t>
  </si>
  <si>
    <t>Membership updated</t>
  </si>
  <si>
    <t>TC_ADMIN_398</t>
  </si>
  <si>
    <t>Verify updated membership displayed</t>
  </si>
  <si>
    <t>Verify edited membership shown in list</t>
  </si>
  <si>
    <t>1. Search/view updated record</t>
  </si>
  <si>
    <t>TC_ADMIN_399</t>
  </si>
  <si>
    <t>Existing membership selected</t>
  </si>
  <si>
    <t>1. Open edit form</t>
  </si>
  <si>
    <t>Existing membership</t>
  </si>
  <si>
    <t>Current membership value displayed</t>
  </si>
  <si>
    <t>No changes made</t>
  </si>
  <si>
    <t>TC_ADMIN_400</t>
  </si>
  <si>
    <t>Return to memberships page after edit</t>
  </si>
  <si>
    <t>Verify redirect after successful edit</t>
  </si>
  <si>
    <t>Edit existing membership</t>
  </si>
  <si>
    <t>1. Edit membership_x000D_
2. Click Save</t>
  </si>
  <si>
    <t>Updated data visible</t>
  </si>
  <si>
    <t>TC_ADMIN_401</t>
  </si>
  <si>
    <t>Delete single membership successfully</t>
  </si>
  <si>
    <t>Verify admin can delete one membership</t>
  </si>
  <si>
    <t>1. Select membership_x000D_
2. Click Delete_x000D_
3. Confirm</t>
  </si>
  <si>
    <t>Membership removed successfully</t>
  </si>
  <si>
    <t>TC_ADMIN_402</t>
  </si>
  <si>
    <t>Delete single membership by button</t>
  </si>
  <si>
    <t>Verify delete icon/button works</t>
  </si>
  <si>
    <t>2. Click Delete button for membership</t>
  </si>
  <si>
    <t>TC_ADMIN_403</t>
  </si>
  <si>
    <t>Verify bulk delete functionality</t>
  </si>
  <si>
    <t>Multiple memberships exist</t>
  </si>
  <si>
    <t>1. Select multiple memberships_x000D_
2. Delete_x000D_
3. Confirm</t>
  </si>
  <si>
    <t>TC_ADMIN_404</t>
  </si>
  <si>
    <t>Verify confirmation popup appears before deletion</t>
  </si>
  <si>
    <t>Verify confirmation dialog displayed</t>
  </si>
  <si>
    <t>Membership selected</t>
  </si>
  <si>
    <t>Popup visible</t>
  </si>
  <si>
    <t>TC_ADMIN_405</t>
  </si>
  <si>
    <t>1. Click Cancel</t>
  </si>
  <si>
    <t>TC_ADMIN_406</t>
  </si>
  <si>
    <t>Cancel adding membership</t>
  </si>
  <si>
    <t>Add Membership form open</t>
  </si>
  <si>
    <t>1. Enter data_x000D_
2. Click Cancel</t>
  </si>
  <si>
    <t>Test Membership</t>
  </si>
  <si>
    <t>No membership added</t>
  </si>
  <si>
    <t>TC_ADMIN_407</t>
  </si>
  <si>
    <t>Verify system returns to Memberships list page</t>
  </si>
  <si>
    <t>Redirected to Memberships list page</t>
  </si>
  <si>
    <t>US_17</t>
  </si>
  <si>
    <t>Verify Admin can navigate to Nationalities page</t>
  </si>
  <si>
    <t>Ensure Admin can access Nationalities page from Admin module navigation menu</t>
  </si>
  <si>
    <t>1. Navigate to Admin module
2. Click Nationalities option</t>
  </si>
  <si>
    <t>System redirects Admin to Nationalities page successfully</t>
  </si>
  <si>
    <t>Nationalities page displayed successfully</t>
  </si>
  <si>
    <t>Nationalities page opened successfully</t>
  </si>
  <si>
    <t>TC_ADMIN_408</t>
  </si>
  <si>
    <t>Verify Nationalities records table is displayed</t>
  </si>
  <si>
    <t>Ensure Nationalities table appears correctly after page load</t>
  </si>
  <si>
    <t>User on Nationalities page</t>
  </si>
  <si>
    <t>1. Open Nationalities page
2. Observe records table</t>
  </si>
  <si>
    <t>Nationalities table displayed successfully</t>
  </si>
  <si>
    <t>TC_ADMIN_409</t>
  </si>
  <si>
    <t>Verify Nationalities Name column is displayed correctly</t>
  </si>
  <si>
    <t>Ensure table contains Nationalities Name column</t>
  </si>
  <si>
    <t>Nationalities page opened</t>
  </si>
  <si>
    <t>TC_ADMIN_410</t>
  </si>
  <si>
    <t>Verify existing Nationalities records appear in table</t>
  </si>
  <si>
    <t>Ensure previously created Nationalities are displayed correctly</t>
  </si>
  <si>
    <t>Existing Nationalities records available</t>
  </si>
  <si>
    <t>1. Open Nationalities page
2. Observe records list</t>
  </si>
  <si>
    <t>Existing Nationalities displayed correctly in table</t>
  </si>
  <si>
    <t>Existing Nationalities displayed successfully</t>
  </si>
  <si>
    <t>TC_ADMIN_411</t>
  </si>
  <si>
    <t>Verify Add button opens Add Nationalities form</t>
  </si>
  <si>
    <t>Add Nationalities form opens successfully</t>
  </si>
  <si>
    <t>TC_ADMIN_412</t>
  </si>
  <si>
    <t>1. Leave Nationalities Name empty
2. Click Save</t>
  </si>
  <si>
    <t>TC_ADMIN_413</t>
  </si>
  <si>
    <t>Verify validation error is cleared after entering valid Nationalities Name</t>
  </si>
  <si>
    <t>1. Leave field empty
2. Click Save
3. Enter valid Nationalities Name</t>
  </si>
  <si>
    <t>Nationalities Name: Internship</t>
  </si>
  <si>
    <t>TC_ADMIN_414</t>
  </si>
  <si>
    <t>Verify Nationalities is created successfully with valid data</t>
  </si>
  <si>
    <t>Ensure valid Nationalities data is saved correctly</t>
  </si>
  <si>
    <t>Nationalities Name: Direct Manager
 Review</t>
  </si>
  <si>
    <t>Nationalities created successfully</t>
  </si>
  <si>
    <t>TC_ADMIN_415</t>
  </si>
  <si>
    <t>Verify new Nationalities appears immediately in table</t>
  </si>
  <si>
    <t>1. Save new Nationalities
2. Observe records table</t>
  </si>
  <si>
    <t>New Nationalities displayed immediately in table</t>
  </si>
  <si>
    <t>TC_ADMIN_416</t>
  </si>
  <si>
    <t>Verify success message appears after adding Nationalities</t>
  </si>
  <si>
    <t>1. Create Nationalities
2. Observe notification</t>
  </si>
  <si>
    <t>Valid Nationalities</t>
  </si>
  <si>
    <t>TC_ADMIN_417</t>
  </si>
  <si>
    <t>Verify system handles special characters in Nationalities names correctly</t>
  </si>
  <si>
    <t>Admin on Add Nationalities form</t>
  </si>
  <si>
    <t>1. Click Add button
2. Enter Nationalities name with special characters
3. Click Save
4. Observe table and UI behavior</t>
  </si>
  <si>
    <t>nationality Name:
"@@@###%%%HR_Method!!!"</t>
  </si>
  <si>
    <t>Special characters caused UI layout issues in nationality table</t>
  </si>
  <si>
    <t>TC_ADMIN_418</t>
  </si>
  <si>
    <t>Verify system prevents duplicate nationality</t>
  </si>
  <si>
    <t>Ensure duplicate nationality names cannot be added</t>
  </si>
  <si>
    <t>1. Click Add button
2. Enter existing nationality name
3. Click Save</t>
  </si>
  <si>
    <t>nationality Name: HR Approval</t>
  </si>
  <si>
    <t>System prevents duplicate nationality creation</t>
  </si>
  <si>
    <t>Duplicate nationality was not created</t>
  </si>
  <si>
    <t>TC_ADMIN_419</t>
  </si>
  <si>
    <t>Verify duplicate nationality are not created on double Save click</t>
  </si>
  <si>
    <t>Add nationality form opened</t>
  </si>
  <si>
    <t>1. Enter valid nationality data
2. Double-click Save button rapidly
3. Observe nationality table</t>
  </si>
  <si>
    <t>nationality Name: Operations Approval</t>
  </si>
  <si>
    <t>Only one nationality record should be created</t>
  </si>
  <si>
    <t>Only one nationality record created successfully</t>
  </si>
  <si>
    <t>TC_ADMIN_420</t>
  </si>
  <si>
    <t>Verify Edit form opens successfully for selected nationality</t>
  </si>
  <si>
    <t>Ensure Edit form loads correctly with existing nationality data</t>
  </si>
  <si>
    <t>1. Select existing nationality
2. Click Edit button</t>
  </si>
  <si>
    <t>Existing nationality: Craft Workers</t>
  </si>
  <si>
    <t>Edit form displayed with existingnationality data</t>
  </si>
  <si>
    <t>TC_ADMIN_421</t>
  </si>
  <si>
    <t>Existing nationality available</t>
  </si>
  <si>
    <t>TC_ADMIN_422</t>
  </si>
  <si>
    <t>Verify admin can update nationality details</t>
  </si>
  <si>
    <t>1. Modify nationality details
2. Click Save</t>
  </si>
  <si>
    <t>TC_ADMIN_423</t>
  </si>
  <si>
    <t>Verify updated nationality appears immediately in table</t>
  </si>
  <si>
    <t>1. Update nationality
2. Return to records table</t>
  </si>
  <si>
    <t>Updated nationality</t>
  </si>
  <si>
    <t>TC_ADMIN_424</t>
  </si>
  <si>
    <t>Verify success message appears after updating nationality</t>
  </si>
  <si>
    <t>1. Editnationality
2. Save changes
3. Observe notification message</t>
  </si>
  <si>
    <t>TC_ADMIN_425</t>
  </si>
  <si>
    <t>Ensure system preserves data integrity when user refreshes the page while editing anationality</t>
  </si>
  <si>
    <t>1. Open Edit form for anationality
2. Modifynationality name
3. Do not click Save
4. Refresh browser page (F5)
5. Return tonationality table
6. Open edited record again</t>
  </si>
  <si>
    <t>Original nationality data remains unchanged and stable</t>
  </si>
  <si>
    <t>nationality data became corrupted after page refresh during edit process</t>
  </si>
  <si>
    <t>TC_ADMIN_426</t>
  </si>
  <si>
    <t>Verify nationality  records can be selected using checkboxes</t>
  </si>
  <si>
    <t>TC_ADMIN_427</t>
  </si>
  <si>
    <t>1. Selectnationality
2. Click Delete button</t>
  </si>
  <si>
    <t>Existing nationality</t>
  </si>
  <si>
    <t>TC_ADMIN_428</t>
  </si>
  <si>
    <t>Verify nationality  is deleted successfully after confirmation</t>
  </si>
  <si>
    <t>nationality deleted successfully</t>
  </si>
  <si>
    <t>TC_ADMIN_429</t>
  </si>
  <si>
    <t>Verify deleted nationality no longer appears in table</t>
  </si>
  <si>
    <t>1. Delete nationality
2. Observe records table</t>
  </si>
  <si>
    <t>Deleted nationality</t>
  </si>
  <si>
    <t>TC_ADMIN_430</t>
  </si>
  <si>
    <t>Verify success message appears after deleting nationality</t>
  </si>
  <si>
    <t>1. Delete nationality
2. Observe notification message</t>
  </si>
  <si>
    <t>TC_ADMIN_431</t>
  </si>
  <si>
    <t>Verify deleted nationality does not reappear after refresh</t>
  </si>
  <si>
    <t>1. Delete nationality
2. Refresh browser page
3. Search for deleted record</t>
  </si>
  <si>
    <t>nationality: Part-Time</t>
  </si>
  <si>
    <t>Deleted nationality should not appear again after refresh</t>
  </si>
  <si>
    <t>Deleted nationality remained deleted successfully</t>
  </si>
  <si>
    <t>TC_ADMIN_432</t>
  </si>
  <si>
    <t>Verify nationality  is not deleted before confirmation</t>
  </si>
  <si>
    <t>Existing nationality selected</t>
  </si>
  <si>
    <t>TC_ADMIN_433</t>
  </si>
  <si>
    <t>Verify Admin can delete single nationality successfully</t>
  </si>
  <si>
    <t>Ensure selected nationality is deleted correctly after</t>
  </si>
  <si>
    <t>1. Select nationality
2. Click Delete button
3. Confirm deletion</t>
  </si>
  <si>
    <t>Selected nationality deleted successfully and removed from list</t>
  </si>
  <si>
    <t>TC_ADMIN_434</t>
  </si>
  <si>
    <t>Verify Admin can select multiple nationality using checkboxes</t>
  </si>
  <si>
    <t>Multiple nationality available</t>
  </si>
  <si>
    <t>Multiple nationality selected successfully</t>
  </si>
  <si>
    <t>TC_ADMIN_435</t>
  </si>
  <si>
    <t>Verify “No Records Found” message appears when no nationality exist</t>
  </si>
  <si>
    <t>No nationality records available in system</t>
  </si>
  <si>
    <t>1. Navigate to nationality page
2. Observe records table area</t>
  </si>
  <si>
    <t>TC_ADMIN_436</t>
  </si>
  <si>
    <t>Ensure UI remains readable and properly aligned when nonationalityexist</t>
  </si>
  <si>
    <t>nationality table empty</t>
  </si>
  <si>
    <t>1. Open nationality page with no records
2. Observe table and layout structure</t>
  </si>
  <si>
    <t>TC_ADMIN_437</t>
  </si>
  <si>
    <t>US_018</t>
  </si>
  <si>
    <t>Verify Corporate Branding page loads successfully</t>
  </si>
  <si>
    <t>Verify that Admin can navigate to Corporate Branding page and view current settings</t>
  </si>
  <si>
    <t>Admin is logged in to OrangeHRM system</t>
  </si>
  <si>
    <t>1. Navigate to Admin &gt; Configuration &gt; Corporate Branding
2. Observe the page</t>
  </si>
  <si>
    <t>Valid admin credentials</t>
  </si>
  <si>
    <t>Corporate Branding page loads with Primary Color, Secondary Color, Company Logo, Client Logo, and preview settings visible</t>
  </si>
  <si>
    <t>Page remains visible</t>
  </si>
  <si>
    <t>Page loaded successfully displaying all branding fields</t>
  </si>
  <si>
    <t>TC_ADMIN_438</t>
  </si>
  <si>
    <t>Verify current branding configuration is displayed</t>
  </si>
  <si>
    <t>Verify that existing branding settings are shown on page load</t>
  </si>
  <si>
    <t>Admin is logged in; branding settings previously configured</t>
  </si>
  <si>
    <t>1. Navigate to Admin &gt; Corporate Branding
2. Observe current field values</t>
  </si>
  <si>
    <t>Pre-existing branding data</t>
  </si>
  <si>
    <t>Current branding settings are pre-populated in all input fields</t>
  </si>
  <si>
    <t>Current settings displayed correctly</t>
  </si>
  <si>
    <t>TC_ADMIN_439</t>
  </si>
  <si>
    <t>Upload a valid PNG company logo successfully</t>
  </si>
  <si>
    <t>Verify Admin can upload a valid PNG image as Company Logo</t>
  </si>
  <si>
    <t>Admin is on Corporate Branding page</t>
  </si>
  <si>
    <t>1. Click Upload button for Company Logo
2. Select valid .png file (&lt; 1MB)
3. Click Publish</t>
  </si>
  <si>
    <t>Valid PNG file, size &lt; 1MB</t>
  </si>
  <si>
    <t>Logo uploaded successfully; updated logo displayed in the UI</t>
  </si>
  <si>
    <t>Logo saved in system</t>
  </si>
  <si>
    <t>Logo uploaded and displayed correctly</t>
  </si>
  <si>
    <t>TC_ADMIN_440</t>
  </si>
  <si>
    <t>Upload a valid JPG company logo successfully</t>
  </si>
  <si>
    <t>Verify Admin can upload a valid JPG image as Company Logo</t>
  </si>
  <si>
    <t>1. Click Upload button for Company Logo
2. Select valid .jpg file (&lt; 1MB)
3. Click Publish</t>
  </si>
  <si>
    <t>Valid JPG file, size &lt; 1MB</t>
  </si>
  <si>
    <t>Logo uploaded successfully and displayed across application</t>
  </si>
  <si>
    <t>TC_ADMIN_441</t>
  </si>
  <si>
    <t>Upload a valid client logo successfully</t>
  </si>
  <si>
    <t>Verify Admin can upload a valid image as Client Logo</t>
  </si>
  <si>
    <t>1. Click Upload for Client Logo
2. Select valid .png file
3. Click Publish</t>
  </si>
  <si>
    <t>Client logo uploaded; success confirmation message displayed</t>
  </si>
  <si>
    <t>Client logo saved</t>
  </si>
  <si>
    <t>Client logo uploaded and success message shown</t>
  </si>
  <si>
    <t>TC_ADMIN_442</t>
  </si>
  <si>
    <t>Validate rejection of unsupported PDF file format</t>
  </si>
  <si>
    <t>Verify that uploading a PDF file as logo is rejected with error</t>
  </si>
  <si>
    <t>1. Click Upload for Company Logo
2. Select .pdf file
3. Attempt to upload</t>
  </si>
  <si>
    <t>Invalid PDF file</t>
  </si>
  <si>
    <t>System displays validation error 'File type not supported'; upload prevented</t>
  </si>
  <si>
    <t>No file uploaded</t>
  </si>
  <si>
    <t>Error message displayed; upload rejected</t>
  </si>
  <si>
    <t>TC_ADMIN_443</t>
  </si>
  <si>
    <t>Validate rejection of unsupported TXT file format</t>
  </si>
  <si>
    <t>Verify that uploading a .txt file as logo is rejected</t>
  </si>
  <si>
    <t>1. Click Upload for Company Logo
2. Select .txt file
3. Attempt to upload</t>
  </si>
  <si>
    <t>Invalid TXT file</t>
  </si>
  <si>
    <t>System displays validation error; upload prevented</t>
  </si>
  <si>
    <t>TC_ADMIN_444</t>
  </si>
  <si>
    <t>Validate rejection of oversized image file</t>
  </si>
  <si>
    <t>Verify that uploading an image exceeding allowed size is rejected</t>
  </si>
  <si>
    <t>1. Click Upload for Company Logo
2. Select image file &gt; 1MB
3. Attempt to upload</t>
  </si>
  <si>
    <t>Image file &gt; 1MB</t>
  </si>
  <si>
    <t>System displays error 'File size exceeds allowed limit'; file rejected</t>
  </si>
  <si>
    <t>Error message displayed; oversized file rejected</t>
  </si>
  <si>
    <t>TC_ADMIN_445</t>
  </si>
  <si>
    <t>Change primary color using a valid hex code</t>
  </si>
  <si>
    <t>Verify Admin can change primary theme color with valid hex value</t>
  </si>
  <si>
    <t>1. Click on Primary Color field
2. Enter valid hex code #FF5733
3. Click Publish</t>
  </si>
  <si>
    <t>Hex color: #FF5733</t>
  </si>
  <si>
    <t>Primary color updated; UI theme reflects new color; success message shown</t>
  </si>
  <si>
    <t>New primary color applied</t>
  </si>
  <si>
    <t>Primary color changed successfully; theme updated</t>
  </si>
  <si>
    <t>TC_ADMIN_446</t>
  </si>
  <si>
    <t>Change primary color using the color picker UI</t>
  </si>
  <si>
    <t>Verify Admin can select a primary color using the color picker</t>
  </si>
  <si>
    <t>1. Click Primary Color field
2. Use color picker to select a color
3. Click Publish</t>
  </si>
  <si>
    <t>Color selected via picker</t>
  </si>
  <si>
    <t>Selected color applied; theme updates with new primary color</t>
  </si>
  <si>
    <t>New color applied</t>
  </si>
  <si>
    <t>Color picker works correctly; color saved</t>
  </si>
  <si>
    <t>TC_ADMIN_447</t>
  </si>
  <si>
    <t>Change secondary color using a valid hex code</t>
  </si>
  <si>
    <t>Verify Admin can change the secondary theme color</t>
  </si>
  <si>
    <t>1. Click on Secondary Color field
2. Enter valid hex code
3. Click Publish</t>
  </si>
  <si>
    <t>Hex color: #76BC21</t>
  </si>
  <si>
    <t>Secondary color updated; theme reflects new secondary color</t>
  </si>
  <si>
    <t>New secondary color applied</t>
  </si>
  <si>
    <t>Secondary color changed and applied</t>
  </si>
  <si>
    <t>TC_ADMIN_448</t>
  </si>
  <si>
    <t>Verify Reset to Default restores original branding</t>
  </si>
  <si>
    <t>Verify clicking Reset restores default branding configuration</t>
  </si>
  <si>
    <t>Admin has made changes to branding settings without publishing</t>
  </si>
  <si>
    <t>1. Make changes to Primary Color and logos
2. Click 'Reset to Default' button</t>
  </si>
  <si>
    <t>All branding settings reverted to system default values</t>
  </si>
  <si>
    <t>Default settings restored</t>
  </si>
  <si>
    <t>Reset functionality works; default settings restored</t>
  </si>
  <si>
    <t>TC_ADMIN_449</t>
  </si>
  <si>
    <t>Verify Publish button saves all branding changes</t>
  </si>
  <si>
    <t>Verify clicking Publish saves all branding settings</t>
  </si>
  <si>
    <t>Admin has made valid changes on Corporate Branding page</t>
  </si>
  <si>
    <t>1. Modify Primary Color, Secondary Color, and upload logos
2. Click 'Publish' button</t>
  </si>
  <si>
    <t>Valid color and image data</t>
  </si>
  <si>
    <t>Success message displayed; all branding changes saved and visible across system</t>
  </si>
  <si>
    <t>Changes persisted</t>
  </si>
  <si>
    <t>Publish successful; changes applied and success message shown</t>
  </si>
  <si>
    <t>TC_ADMIN_450</t>
  </si>
  <si>
    <t>Verify Cancel button discards unsaved changes</t>
  </si>
  <si>
    <t>Verify clicking Cancel discards unsaved branding modifications</t>
  </si>
  <si>
    <t>Admin has made changes without clicking Publish</t>
  </si>
  <si>
    <t>1. Modify Primary Color
2. Click 'Cancel' button</t>
  </si>
  <si>
    <t>Unsaved changes discarded; previous branding configuration retained</t>
  </si>
  <si>
    <t>Page reverts to previous settings</t>
  </si>
  <si>
    <t>Cancel works; unsaved changes discarded</t>
  </si>
  <si>
    <t>TC_ADMIN_451</t>
  </si>
  <si>
    <t>Validate rejection of invalid hex color code</t>
  </si>
  <si>
    <t>Verify that entering an invalid hex code for primary color shows validation error</t>
  </si>
  <si>
    <t>1. Click Primary Color field
2. Type invalid value 'ZZZZZZ'
3. Click Publish</t>
  </si>
  <si>
    <t>Invalid hex: ZZZZZZ</t>
  </si>
  <si>
    <t>Validation error message displayed; invalid color not applied</t>
  </si>
  <si>
    <t>Error shown; color unchanged</t>
  </si>
  <si>
    <t>Error message not displayed clearly; color field accepts invalid value</t>
  </si>
  <si>
    <t>مش بيقبل الغلط عادي والرسالة بتظهر</t>
  </si>
  <si>
    <t>TC_ADMIN_452</t>
  </si>
  <si>
    <t>Verify logo preview is shown before publishing</t>
  </si>
  <si>
    <t>Verify that preview of uploaded logo appears before clicking Publish</t>
  </si>
  <si>
    <t>1. Click Upload for Company Logo
2. Select valid image file
3. Observe preview</t>
  </si>
  <si>
    <t>Valid PNG image</t>
  </si>
  <si>
    <t>Logo preview displayed in the preview area before publishing</t>
  </si>
  <si>
    <t>Preview displayed before publishing</t>
  </si>
  <si>
    <t>TC_ADMIN_453</t>
  </si>
  <si>
    <t>Verify real-time preview of theme color changes</t>
  </si>
  <si>
    <t>Verify that changing primary color updates the preview in real time</t>
  </si>
  <si>
    <t>1. Click Primary Color field
2. Select a new color
3. Observe preview section</t>
  </si>
  <si>
    <t>New color selection</t>
  </si>
  <si>
    <t>Preview section updates to reflect newly chosen primary color</t>
  </si>
  <si>
    <t>Preview updates in real-time</t>
  </si>
  <si>
    <t>TC_ADMIN_454</t>
  </si>
  <si>
    <t>Validate rejection of zero-byte image file</t>
  </si>
  <si>
    <t>Verify that uploading an empty (0 byte) image file is rejected</t>
  </si>
  <si>
    <t>1. Click Upload for Company Logo
2. Select 0-byte file
3. Attempt upload</t>
  </si>
  <si>
    <t>0-byte file</t>
  </si>
  <si>
    <t>Error message displayed; empty file rejected</t>
  </si>
  <si>
    <t>Error message shown; file rejected</t>
  </si>
  <si>
    <t>TC_ADMIN_455</t>
  </si>
  <si>
    <t>Verify non-admin cannot access Corporate Branding page</t>
  </si>
  <si>
    <t>Verify non-admin users cannot access the Corporate Branding page</t>
  </si>
  <si>
    <t>Non-admin user is logged in</t>
  </si>
  <si>
    <t>1. Navigate to /web/index.php/admin/addTheme
2. Observe result</t>
  </si>
  <si>
    <t>Non-admin credentials</t>
  </si>
  <si>
    <t>Access denied; user redirected or shown authorization error</t>
  </si>
  <si>
    <t>Access denied; user redirected</t>
  </si>
  <si>
    <t>TC_ADMIN_456</t>
  </si>
  <si>
    <t>Verify branding changes persist after logout</t>
  </si>
  <si>
    <t>Verify published branding settings are retained after Admin logs out and back in</t>
  </si>
  <si>
    <t>Admin has published branding changes</t>
  </si>
  <si>
    <t>1. Publish branding changes
2. Logout
3. Login again
4. Navigate to Corporate Branding</t>
  </si>
  <si>
    <t>Previously published branding settings are retained and displayed</t>
  </si>
  <si>
    <t>Settings persisted</t>
  </si>
  <si>
    <t>Settings retained after re-login</t>
  </si>
  <si>
    <t>TC_ADMIN_457</t>
  </si>
  <si>
    <t>Validate behavior when GIF file uploaded as logo</t>
  </si>
  <si>
    <t>Verify system behavior when a GIF file is uploaded as company logo</t>
  </si>
  <si>
    <t>1. Click Upload for Company Logo
2. Select a .gif file
3. Click Publish</t>
  </si>
  <si>
    <t>GIF image file</t>
  </si>
  <si>
    <t>System displays error for unsupported GIF file type</t>
  </si>
  <si>
    <t>GIF file accepted without error message</t>
  </si>
  <si>
    <t>طب ما هو مكتوب في الموقع انه بيقبل gif عادي</t>
  </si>
  <si>
    <t>TC_ADMIN_458</t>
  </si>
  <si>
    <t>Verify gradient color display after publishing primary color</t>
  </si>
  <si>
    <t>Verify gradient colors derived from primary color update correctly after publish</t>
  </si>
  <si>
    <t>Admin has published a new primary color</t>
  </si>
  <si>
    <t>1. Publish a primary color
2. Inspect UI gradient elements</t>
  </si>
  <si>
    <t>Primary color: #FF5733</t>
  </si>
  <si>
    <t>Gradient colors (lighten, darken variants) computed and displayed correctly</t>
  </si>
  <si>
    <t>Gradient correctly applied</t>
  </si>
  <si>
    <t>Gradient colors updated correctly</t>
  </si>
  <si>
    <t>TC_ADMIN_459</t>
  </si>
  <si>
    <t>Verify system handles multiple rapid Publish button clicks</t>
  </si>
  <si>
    <t>Verify clicking Publish multiple times rapidly does not cause duplicate save or errors</t>
  </si>
  <si>
    <t>Admin has made valid branding changes</t>
  </si>
  <si>
    <t>1. Make valid branding changes
2. Click Publish button multiple times rapidly</t>
  </si>
  <si>
    <t>Valid branding data</t>
  </si>
  <si>
    <t>Changes saved exactly once; no duplicate save errors; success message shown</t>
  </si>
  <si>
    <t>Single save executed</t>
  </si>
  <si>
    <t>Publish button not disabled after first click; potential for duplicate requests</t>
  </si>
  <si>
    <t>TC_ADMIN_460</t>
  </si>
  <si>
    <t>Verify uploaded logo appears in navigation header</t>
  </si>
  <si>
    <t>Verify newly uploaded company logo is reflected in navigation header after publish</t>
  </si>
  <si>
    <t>Admin has published a new company logo</t>
  </si>
  <si>
    <t>1. Upload and publish a new company logo
2. Navigate to any OrangeHRM page
3. Check navigation header</t>
  </si>
  <si>
    <t>Valid logo image</t>
  </si>
  <si>
    <t>Navigation header displays the newly uploaded company logo</t>
  </si>
  <si>
    <t>New logo visible in header</t>
  </si>
  <si>
    <t>New logo visible in navigation header</t>
  </si>
  <si>
    <t>TC_ADMIN_461</t>
  </si>
  <si>
    <t>Verify Corporate Branding page loads within acceptable time</t>
  </si>
  <si>
    <t>Verify the Corporate Branding page loads within 3 seconds under normal conditions</t>
  </si>
  <si>
    <t>Admin is logged in with standard network connection</t>
  </si>
  <si>
    <t>1. Navigate to Corporate Branding page
2. Measure page load time</t>
  </si>
  <si>
    <t>Standard network conditions</t>
  </si>
  <si>
    <t>Page fully loads within 3 seconds</t>
  </si>
  <si>
    <t>Page loaded</t>
  </si>
  <si>
    <t>Page loaded within 2 seconds</t>
  </si>
  <si>
    <t>TC_ADMIN_462</t>
  </si>
  <si>
    <t>Verify updated company logo appears on the Login page after publish</t>
  </si>
  <si>
    <t>After publishing a new company logo, it should be reflected on the OrangeHRM login page</t>
  </si>
  <si>
    <t>1. Publish a new company logo
2. Logout
3. Observe the login page header/logo area</t>
  </si>
  <si>
    <t>Newly published logo</t>
  </si>
  <si>
    <t>Login page displays the newly published company logo</t>
  </si>
  <si>
    <t>Login page still shows the old/default logo after publishing new one</t>
  </si>
  <si>
    <t>ده للكلاينت وملهوش علاقة بالـ login والـ login banner بتتغير عادي</t>
  </si>
  <si>
    <t>TC_ADMIN_463</t>
  </si>
  <si>
    <t>Verify the new primary color is applied to the sidebar navigation menu</t>
  </si>
  <si>
    <t>After publishing a new primary color, the sidebar navigation menu should reflect it</t>
  </si>
  <si>
    <t>1. Publish a new primary color (e.g., #2196F3)
2. Navigate to any page
3. Check sidebar background</t>
  </si>
  <si>
    <t>Primary color: #2196F3</t>
  </si>
  <si>
    <t>Sidebar navigation background reflects the newly published primary color</t>
  </si>
  <si>
    <t>Sidebar navigation updates to reflect the new primary color correctly</t>
  </si>
  <si>
    <t>TC_ADMIN_464</t>
  </si>
  <si>
    <t>Verify logo upload works for images with special characters in filename</t>
  </si>
  <si>
    <t>Verify that an image file with special characters (e.g., spaces, dashes) in the filename uploads correctly</t>
  </si>
  <si>
    <t>1. Click Upload for Company Logo
2. Select image named 'my logo (1).png'
3. Upload and Publish</t>
  </si>
  <si>
    <t>Image filename: 'my logo (1).png'</t>
  </si>
  <si>
    <t>Image uploaded and published successfully regardless of filename special characters</t>
  </si>
  <si>
    <t>Logo with special characters in filename uploaded successfully</t>
  </si>
  <si>
    <t>TC_ADMIN_465</t>
  </si>
  <si>
    <t>Verify that an image below minimum allowed dimensions is rejected</t>
  </si>
  <si>
    <t>Verify that uploading an image smaller than the minimum allowed dimensions shows an error</t>
  </si>
  <si>
    <t>1. Click Upload for Company Logo
2. Select a 1x1 pixel PNG
3. Attempt to upload</t>
  </si>
  <si>
    <t>Image: 1x1 px PNG</t>
  </si>
  <si>
    <t>Validation error displayed indicating image is too small; upload rejected</t>
  </si>
  <si>
    <t>No image uploaded</t>
  </si>
  <si>
    <t>1x1 pixel image accepted without dimension validation error</t>
  </si>
  <si>
    <t>TC_ADMIN_466</t>
  </si>
  <si>
    <t>Verify system warns if selected primary color has poor contrast ratio</t>
  </si>
  <si>
    <t>Verify that if a primary color fails WCAG accessibility contrast requirements, a warning is shown</t>
  </si>
  <si>
    <t>1. Select a very light primary color (e.g., #EEEEEE — light grey)
2. Click Publish</t>
  </si>
  <si>
    <t>Primary color: #EEEEEE (very low contrast)</t>
  </si>
  <si>
    <t>System displays accessibility warning about low contrast ratio</t>
  </si>
  <si>
    <t>No contrast ratio warning shown; very light color accepted without any accessibility hint</t>
  </si>
  <si>
    <t>TC_ADMIN_467</t>
  </si>
  <si>
    <t>Verify the new secondary color is reflected on action/CTA buttons</t>
  </si>
  <si>
    <t>After publishing a new secondary color, action buttons (Save, Edit, etc.) should reflect it</t>
  </si>
  <si>
    <t>Admin has published a new secondary color</t>
  </si>
  <si>
    <t>1. Publish new secondary color (e.g., #E91E63)
2. Navigate to any module
3. Observe action buttons</t>
  </si>
  <si>
    <t>Secondary color: #E91E63</t>
  </si>
  <si>
    <t>Action buttons and highlights reflect the newly published secondary color</t>
  </si>
  <si>
    <t>Action buttons reflect the new secondary color correctly</t>
  </si>
  <si>
    <t>TC_ADMIN_468</t>
  </si>
  <si>
    <t>Verify all users see updated branding immediately after Admin publishes</t>
  </si>
  <si>
    <t>Verify that branding changes published by Admin are visible to all active users</t>
  </si>
  <si>
    <t>Admin has published branding changes; another user is logged in</t>
  </si>
  <si>
    <t>1. Admin publishes new branding
2. Other user refreshes their browser
3. Observe branding</t>
  </si>
  <si>
    <t>Multi-user scenario</t>
  </si>
  <si>
    <t>All users see the updated branding upon page refresh</t>
  </si>
  <si>
    <t>Updated branding visible to all users after refresh</t>
  </si>
  <si>
    <t>TC_ADMIN_469</t>
  </si>
  <si>
    <t>Verify Admin can remove an existing company logo</t>
  </si>
  <si>
    <t>Verify that Admin can remove/clear the company logo and publish (revert to default)</t>
  </si>
  <si>
    <t>A company logo has been previously uploaded</t>
  </si>
  <si>
    <t>1. Navigate to Corporate Branding
2. Click remove/clear button for Company Logo
3. Click Publish</t>
  </si>
  <si>
    <t>Company logo removed; default placeholder shown; success message displayed</t>
  </si>
  <si>
    <t>No logo saved</t>
  </si>
  <si>
    <t>Logo removal and publish works; default placeholder displayed</t>
  </si>
  <si>
    <t>TC_ADMIN_470</t>
  </si>
  <si>
    <t>Verify Corporate Branding page supports full keyboard navigation</t>
  </si>
  <si>
    <t>Verify that all interactive elements on the Corporate Branding page are accessible via keyboard (Tab key)</t>
  </si>
  <si>
    <t>1. Press Tab key repeatedly
2. Verify focus moves through all interactive elements in logical order</t>
  </si>
  <si>
    <t>Keyboard only (no mouse)</t>
  </si>
  <si>
    <t>All interactive elements (color pickers, upload buttons, Publish, Cancel) are reachable and focusable via keyboard</t>
  </si>
  <si>
    <t>All interactive elements reachable via keyboard Tab navigation</t>
  </si>
  <si>
    <t>TC_ADMIN_471</t>
  </si>
  <si>
    <t>Verify that publishing branding changes creates an audit log entry</t>
  </si>
  <si>
    <t>Verify that Admin publishing branding settings is recorded in the system audit trail/log</t>
  </si>
  <si>
    <t>1. Publish branding changes
2. Navigate to Admin &gt; Audit Trail/Logs
3. Check for branding change entry</t>
  </si>
  <si>
    <t>Audit trail contains an entry for the branding change with timestamp and user</t>
  </si>
  <si>
    <t>No audit trail entry found for branding change — activity not logged</t>
  </si>
  <si>
    <t>TC_ADMIN_472</t>
  </si>
  <si>
    <t>Verify Primary Color hex input enforces maximum character length</t>
  </si>
  <si>
    <t>Verify that the Primary Color hex input field does not accept more than 7 characters (#RRGGBB)</t>
  </si>
  <si>
    <t>1. Click on Primary Color field
2. Type a string longer than 7 characters (e.g., '#FF5733XX')
3. Observe field behavior</t>
  </si>
  <si>
    <t>Input: #FF5733XX (9 chars)</t>
  </si>
  <si>
    <t>Input field truncates or rejects input beyond 7 characters</t>
  </si>
  <si>
    <t>Hex input field enforces max length of 7 characters</t>
  </si>
  <si>
    <t>TC_ADMIN_473</t>
  </si>
  <si>
    <t>Verify Corporate Branding page is fully functional in Firefox</t>
  </si>
  <si>
    <t>Verify cross-browser compatibility — Corporate Branding page works correctly in Firefox</t>
  </si>
  <si>
    <t>Admin is logged in via Firefox browser</t>
  </si>
  <si>
    <t>1. Open OrangeHRM in Firefox
2. Navigate to Corporate Branding
3. Upload logo, change colors, click Publish</t>
  </si>
  <si>
    <t>Firefox latest version</t>
  </si>
  <si>
    <t>All features (upload, color picker, publish) work correctly in Firefox</t>
  </si>
  <si>
    <t>Corporate Branding page fully functional in Firefox</t>
  </si>
  <si>
    <t>TC_ADMIN_474</t>
  </si>
  <si>
    <t>US_019</t>
  </si>
  <si>
    <t>Verify Admin can navigate to Email Configuration page</t>
  </si>
  <si>
    <t>Ensure Admin can access Email Configuration page successfully from system settings</t>
  </si>
  <si>
    <t>1. Navigate to Email Configuration page</t>
  </si>
  <si>
    <t>Email Configuration page opens successfully</t>
  </si>
  <si>
    <t>Email Configuration page ready for interaction</t>
  </si>
  <si>
    <t>Email Configuration page opened successfully</t>
  </si>
  <si>
    <t>TC_ADMIN_475</t>
  </si>
  <si>
    <t>Verify system displays current email configuration settings</t>
  </si>
  <si>
    <t>Ensure current email settings are visible after opening Email Configuration page</t>
  </si>
  <si>
    <t>Admin user on Email Configuration page</t>
  </si>
  <si>
    <t>1. Open Email Configuration page
2. Observe settings section</t>
  </si>
  <si>
    <t>Existing email configuration values</t>
  </si>
  <si>
    <t>Current email settings displayed successfully</t>
  </si>
  <si>
    <t>Settings visible for review/edit</t>
  </si>
  <si>
    <t>Email settings displayed successfully</t>
  </si>
  <si>
    <t>TC_ADMIN_476</t>
  </si>
  <si>
    <t>Verify Mail Sent As field is visible</t>
  </si>
  <si>
    <t>Ensure Mail Sent As field appears on Email Configuration page</t>
  </si>
  <si>
    <t>1. Observe configuration fields</t>
  </si>
  <si>
    <t>Mail Sent As field displayed successfully</t>
  </si>
  <si>
    <t>Field available for review</t>
  </si>
  <si>
    <t>Field displayed successfully</t>
  </si>
  <si>
    <t>TC_ADMIN_477</t>
  </si>
  <si>
    <t>Verify Sending Method field is visible</t>
  </si>
  <si>
    <t>Ensure Sending Method setting appears correctly</t>
  </si>
  <si>
    <t>Email Configuration page opened</t>
  </si>
  <si>
    <t>1. Observe Sending Method field</t>
  </si>
  <si>
    <t>SMTP</t>
  </si>
  <si>
    <t>Sending Method field displayed successfully</t>
  </si>
  <si>
    <t>TC_ADMIN_478</t>
  </si>
  <si>
    <t>Verify SMTP Host field is visible</t>
  </si>
  <si>
    <t>Ensure SMTP Host field appears correctly</t>
  </si>
  <si>
    <t>1. Observe SMTP Host field</t>
  </si>
  <si>
    <t>smtp.company.com</t>
  </si>
  <si>
    <t>SMTP Host field displayed successfully</t>
  </si>
  <si>
    <t>TC_ADMIN_479</t>
  </si>
  <si>
    <t>Verify SMTP Port field is visible</t>
  </si>
  <si>
    <t>Ensure SMTP Port field appears correctly</t>
  </si>
  <si>
    <t>1. Observe SMTP Port field</t>
  </si>
  <si>
    <t>SMTP Port field displayed successfully</t>
  </si>
  <si>
    <t>TC_ADMIN_480</t>
  </si>
  <si>
    <t>Verify authentication settings are visible</t>
  </si>
  <si>
    <t>Ensure authentication details section appears correctly</t>
  </si>
  <si>
    <t>1. Observe authentication section</t>
  </si>
  <si>
    <t>Username / Password fields</t>
  </si>
  <si>
    <t>Authentication details displayed successfully</t>
  </si>
  <si>
    <t>Authentication section available</t>
  </si>
  <si>
    <t>Section displayed successfully</t>
  </si>
  <si>
    <t>TC_ADMIN_481</t>
  </si>
  <si>
    <t>Verify security protocol settings are visible</t>
  </si>
  <si>
    <t>Ensure security protocol options appear correctly</t>
  </si>
  <si>
    <t>1. Observe security protocol section</t>
  </si>
  <si>
    <t>TLS / SSL</t>
  </si>
  <si>
    <t>Security protocol settings displayed successfully</t>
  </si>
  <si>
    <t>Settings available for review</t>
  </si>
  <si>
    <t>Settings displayed successfully</t>
  </si>
  <si>
    <t>TC_ADMIN_482</t>
  </si>
  <si>
    <t>Verify authentication section remains visible after page refresh</t>
  </si>
  <si>
    <t>Ensure authentication section is still displayed after refreshing Email Configuration page</t>
  </si>
  <si>
    <t>1. Navigate to Email Configuration page
2. Verify Authentication section is visible
3. Refresh browser page (F5)
4. Observe Authentication section</t>
  </si>
  <si>
    <t>Existing email configuration</t>
  </si>
  <si>
    <t>Authentication section should remain visible after refresh</t>
  </si>
  <si>
    <t>Page remains usable after refresh</t>
  </si>
  <si>
    <t>Authentication section disappeared after refresh</t>
  </si>
  <si>
    <t>TC_ADMIN_483</t>
  </si>
  <si>
    <t>Verify navigation layout returns correctly after switching from mobile to desktop view</t>
  </si>
  <si>
    <t>Ensure menu items hidden under “More” in mobile view return to normal desktop layout after resizing browser back to desktop resolution</t>
  </si>
  <si>
    <t>1. Open page in desktop resolution
2. Resize browser to mobile view
3. Verify menu items collapse into “More” button
4. Resize browser back to desktop resolution
5. Observe navigation layout</t>
  </si>
  <si>
    <t>Desktop: 1920×1080
Mobile: 375×812</t>
  </si>
  <si>
    <t>Hidden menu items should expand again and display normally in desktop view</t>
  </si>
  <si>
    <t>Desktop layout restored successfully</t>
  </si>
  <si>
    <t>Menu items remained inside “More” button after returning to desktop view</t>
  </si>
  <si>
    <t>TC_ADMIN_484</t>
  </si>
  <si>
    <t>Verify email settings load performance</t>
  </si>
  <si>
    <t>Ensure Email Configuration settings load without noticeable delay</t>
  </si>
  <si>
    <t>Admin user logged in</t>
  </si>
  <si>
    <t>1. Navigate to Email Configuration page
2. Measure page loading time</t>
  </si>
  <si>
    <t>Existing configuration data</t>
  </si>
  <si>
    <t>Email settings load successfully within acceptable response time</t>
  </si>
  <si>
    <t>Page fully loaded</t>
  </si>
  <si>
    <t>Email settings loaded successfully</t>
  </si>
  <si>
    <t>TC_ADMIN_485</t>
  </si>
  <si>
    <t>Verify page loads correctly when email configuration is empty</t>
  </si>
  <si>
    <t>Ensure page remains functional even without configured values</t>
  </si>
  <si>
    <t>Email configuration values removed / empty</t>
  </si>
  <si>
    <t>1. Open Email Configuration page
2. Observe page content</t>
  </si>
  <si>
    <t>Empty configuration</t>
  </si>
  <si>
    <t>Page loads successfully without blank screen</t>
  </si>
  <si>
    <t>Page remains accessible</t>
  </si>
  <si>
    <t>Page loaded successfully with empty values</t>
  </si>
  <si>
    <t>TC_ADMIN_486</t>
  </si>
  <si>
    <t>Verify security protocol settings visibility</t>
  </si>
  <si>
    <t>Ensure SSL / TLS options appear correctly</t>
  </si>
  <si>
    <t>1. Navigate to Email Configuration page
2. Observe Security Protocol section</t>
  </si>
  <si>
    <t>Security protocol settings displayed correctly</t>
  </si>
  <si>
    <t>Security protocol options displayed successfully</t>
  </si>
  <si>
    <t>TC_ADMIN_487</t>
  </si>
  <si>
    <t>Verify authentication credentials are not displayed in plain text</t>
  </si>
  <si>
    <t>Ensure sensitive authentication values remain protected in UI</t>
  </si>
  <si>
    <t>Configured authentication values available</t>
  </si>
  <si>
    <t>1. Open Email Configuration page
2. Observe authentication fields</t>
  </si>
  <si>
    <t>Username / Password</t>
  </si>
  <si>
    <t>Sensitive values should be masked or protected</t>
  </si>
  <si>
    <t>Authentication details remain secure</t>
  </si>
  <si>
    <t>Sensitive values remained protected successfully</t>
  </si>
  <si>
    <t>TC_ADMIN_488</t>
  </si>
  <si>
    <t>Verify SMTP configuration fields accept valid input values</t>
  </si>
  <si>
    <t>Ensure Admin can enter valid SMTP details in Email Configuration page</t>
  </si>
  <si>
    <t>Admin user logged in and Email Configuration page opened</t>
  </si>
  <si>
    <t>1. Navigate to Email Configuration page
2. Enter valid SMTP Host
3. Enter valid SMTP Port
4. Enter authentication credentials
5. Select security protocol</t>
  </si>
  <si>
    <t>SMTP Host: smtp.gmail.com
SMTP Port: 587
Username: admin@test.com
Password: Test@123
Security: TLS</t>
  </si>
  <si>
    <t>All SMTP fields accept valid input successfully</t>
  </si>
  <si>
    <t>SMTP configuration ready for saving</t>
  </si>
  <si>
    <t>SMTP details entered successfully</t>
  </si>
  <si>
    <t>Failed
Test Email Not Sent
×
Success
Successfully Saved
بيبعت كده لما ادوس save</t>
  </si>
  <si>
    <t>TC_ADMIN_489</t>
  </si>
  <si>
    <t>Verify system saves SMTP configuration successfully</t>
  </si>
  <si>
    <t>Ensure entered SMTP settings are saved correctly after clicking Save button</t>
  </si>
  <si>
    <t>Valid SMTP details entered</t>
  </si>
  <si>
    <t>1. Enter valid SMTP configuration
2. Click Save button</t>
  </si>
  <si>
    <t>SMTP configuration saved successfully</t>
  </si>
  <si>
    <t>New email configuration persisted in system</t>
  </si>
  <si>
    <t>TC_ADMIN_490</t>
  </si>
  <si>
    <t>Verify success message after saving SMTP settings</t>
  </si>
  <si>
    <t>Ensure confirmation notification appears after successful save action</t>
  </si>
  <si>
    <t>1. Enter valid SMTP settings
2. Click Save
3. Observe notification message</t>
  </si>
  <si>
    <t>Valid SMTP configuration</t>
  </si>
  <si>
    <t>User informed about successful save operation</t>
  </si>
  <si>
    <t>TC_ADMIN_491</t>
  </si>
  <si>
    <t>Verify SMTP settings remain after browser refresh</t>
  </si>
  <si>
    <t>Ensure saved SMTP values are retained after refreshing Email Configuration page</t>
  </si>
  <si>
    <t>SMTP configuration already saved</t>
  </si>
  <si>
    <t>1. Save valid SMTP settings
2. Refresh browser page (F5)
3. Observe configuration values</t>
  </si>
  <si>
    <t>SMTP Host: smtp.gmail.com
SMTP Port: 587</t>
  </si>
  <si>
    <t>Saved SMTP settings remain displayed correctly</t>
  </si>
  <si>
    <t>Configuration persists successfully</t>
  </si>
  <si>
    <t>Saved values remained successfully after refresh</t>
  </si>
  <si>
    <t>TC_ADMIN_492</t>
  </si>
  <si>
    <t>Verify SMTP save operation with valid security protocols</t>
  </si>
  <si>
    <t>Ensure system accepts supported protocols during configuration save</t>
  </si>
  <si>
    <t>1. Enter SMTP settings
2. Select TLS
3. Save configuration
4. Repeat with SSL</t>
  </si>
  <si>
    <t>SMTP configuration saved successfully with supported protocols</t>
  </si>
  <si>
    <t>Configuration updated successfully</t>
  </si>
  <si>
    <t>Supported protocols accepted successfully</t>
  </si>
  <si>
    <t>TC_ADMIN_493</t>
  </si>
  <si>
    <t>Verify success message behavior when test email sending fails</t>
  </si>
  <si>
    <t>Ensure system handles SMTP save and failed email sending consistently without misleading feedback</t>
  </si>
  <si>
    <t>Admin on Email Configuration page</t>
  </si>
  <si>
    <t>1. Enter SMTP configuration details
2. Click Save
3. Observe system messages</t>
  </si>
  <si>
    <t>SMTP configuration causing email sending failure</t>
  </si>
  <si>
    <t>System should clearly indicate configuration save status and email sending failure separately without misleading success state</t>
  </si>
  <si>
    <t>Configuration saved or rollback handled properly</t>
  </si>
  <si>
    <t>System displayed “Failed – Test Email Not Sent” and “Success – Successfully Saved” simultaneously</t>
  </si>
  <si>
    <t>TC_ADMIN_494</t>
  </si>
  <si>
    <t>Verify SMTP settings remain after logout and login</t>
  </si>
  <si>
    <t>Ensure saved SMTP configuration persists after ending and reopening session</t>
  </si>
  <si>
    <t>Valid SMTP configuration already saved</t>
  </si>
  <si>
    <t>1. Save SMTP configuration
2. Logout from system
3. Login again
4. Navigate to Email Configuration page</t>
  </si>
  <si>
    <t>Previously saved SMTP settings remain unchanged</t>
  </si>
  <si>
    <t>Configuration persisted across sessions</t>
  </si>
  <si>
    <t>SMTP settings remained successfully after login</t>
  </si>
  <si>
    <t>TC_ADMIN_495</t>
  </si>
  <si>
    <t>Verify system validation for invalid SMTP Port values</t>
  </si>
  <si>
    <t>Ensure invalid SMTP Port values cannot be saved</t>
  </si>
  <si>
    <t>1. Enter invalid SMTP Port value
2. Click Save</t>
  </si>
  <si>
    <t>Port: abc / -1 / 999999</t>
  </si>
  <si>
    <t>Validation message displayed and save blocked</t>
  </si>
  <si>
    <t>Invalid configuration not saved</t>
  </si>
  <si>
    <t>Invalid SMTP Port rejected successfully</t>
  </si>
  <si>
    <t>TC_ADMIN_496</t>
  </si>
  <si>
    <t>Verify success notification behavior after saving SMTP configuration</t>
  </si>
  <si>
    <t>Ensure success message appears only when save operation completes successfully</t>
  </si>
  <si>
    <t>Valid SMTP configuration entered</t>
  </si>
  <si>
    <t>1. Enter valid SMTP data
2. Click Save
3. Observe notification</t>
  </si>
  <si>
    <t>Valid SMTP settings</t>
  </si>
  <si>
    <t>Success message displayed only after successful save</t>
  </si>
  <si>
    <t>User informed correctly</t>
  </si>
  <si>
    <t>Success message displayed correctly</t>
  </si>
  <si>
    <t>TC_ADMIN_497</t>
  </si>
  <si>
    <t>Verify SMTP password protection after save</t>
  </si>
  <si>
    <t>Ensure saved password remains hidden in UI</t>
  </si>
  <si>
    <t>SMTP password configured</t>
  </si>
  <si>
    <t>1. Save SMTP configuration
2. Reopen Email Configuration page
3. Observe password field</t>
  </si>
  <si>
    <t>Password: Test@123</t>
  </si>
  <si>
    <t>Password remains masked</t>
  </si>
  <si>
    <t>Sensitive data protected</t>
  </si>
  <si>
    <t>Password remained masked successfully</t>
  </si>
  <si>
    <t>TC_ADMIN_498</t>
  </si>
  <si>
    <t>Verify Save button behavior on multiple clicks</t>
  </si>
  <si>
    <t>Ensure duplicate requests are prevented during save operation</t>
  </si>
  <si>
    <t>1. Enter valid SMTP settings
2. Click Save repeatedly</t>
  </si>
  <si>
    <t>Only one save request processed</t>
  </si>
  <si>
    <t>Single configuration stored</t>
  </si>
  <si>
    <t>Duplicate save prevented successfully</t>
  </si>
  <si>
    <t>TC_ADMIN_499</t>
  </si>
  <si>
    <t>Verify data integrity after refresh during save operation</t>
  </si>
  <si>
    <t>Ensure SMTP configuration remains valid after page refresh during save process</t>
  </si>
  <si>
    <t>SMTP details entered</t>
  </si>
  <si>
    <t>1. Enter SMTP settings
2. Click Save
3. Refresh browser during operation
4. Reopen page</t>
  </si>
  <si>
    <t>Configuration remains intact</t>
  </si>
  <si>
    <t>No data corruption occurred</t>
  </si>
  <si>
    <t>Configuration remained intact successfully</t>
  </si>
  <si>
    <t>TC_ADMIN_500</t>
  </si>
  <si>
    <t>Verify SMTP Host accepts valid format only</t>
  </si>
  <si>
    <t>Ensure invalid host formats are rejected</t>
  </si>
  <si>
    <t>1. Enter invalid SMTP Host
2. Click Save</t>
  </si>
  <si>
    <t>Host: @@@smtp###</t>
  </si>
  <si>
    <t>Validation displayed and save blocked</t>
  </si>
  <si>
    <t>Invalid host not stored</t>
  </si>
  <si>
    <t>The host was successfully verified and saved</t>
  </si>
  <si>
    <t>TC_ADMIN_501</t>
  </si>
  <si>
    <t>Verify email configuration persistence across sessions</t>
  </si>
  <si>
    <t>Ensure configuration remains after reopening system sessions</t>
  </si>
  <si>
    <t>1. Save configuration
2. Logout
3. Close browser
4. Login again
5. Open Email Configuration page</t>
  </si>
  <si>
    <t>Configuration persists correctly</t>
  </si>
  <si>
    <t>Configuration retained</t>
  </si>
  <si>
    <t>Configuration persisted successfully</t>
  </si>
  <si>
    <t>TC_ADMIN_502</t>
  </si>
  <si>
    <t>Verify validation messages for empty required Email Configuration fields</t>
  </si>
  <si>
    <t>Ensure system displays validation errors when mandatory fields are left empty</t>
  </si>
  <si>
    <t>1. Leave mandatory Email Configuration fields empty
2. Click Save button</t>
  </si>
  <si>
    <t>SMTP Host: Empty
Username: Empty
Password: Empty</t>
  </si>
  <si>
    <t>Validation messages displayed for required fields</t>
  </si>
  <si>
    <t>Configuration not saved</t>
  </si>
  <si>
    <t>Validation messages displayed successfully</t>
  </si>
  <si>
    <t>TC_ADMIN_503</t>
  </si>
  <si>
    <t>Verify save operation is blocked for empty required fields</t>
  </si>
  <si>
    <t>Ensure Email Configuration cannot be saved when mandatory fields are missing</t>
  </si>
  <si>
    <t>Admin on Email Configuration form</t>
  </si>
  <si>
    <t>1.Leave required fields empty
2. Click Save
3. Observe page behavior</t>
  </si>
  <si>
    <t>Empty values</t>
  </si>
  <si>
    <t>Configuration save operation blocked</t>
  </si>
  <si>
    <t>No configuration stored</t>
  </si>
  <si>
    <t>Save operation prevented successfully</t>
  </si>
  <si>
    <t>TC_ADMIN_504</t>
  </si>
  <si>
    <t>Verify authentication required validation</t>
  </si>
  <si>
    <t>Ensure authentication fields cannot be empty before saving</t>
  </si>
  <si>
    <t>1. Leave Username / Password empty
2. Click Save</t>
  </si>
  <si>
    <t>Username: Empty
Password: Empty</t>
  </si>
  <si>
    <t>Validation messages displayed and save blocked</t>
  </si>
  <si>
    <t>TC_ADMIN_505</t>
  </si>
  <si>
    <t>Verify Save button behavior when SMTP Port is empty</t>
  </si>
  <si>
    <t>Ensure system blocks save operation if SMTP Port field is left empty</t>
  </si>
  <si>
    <t>1. Enter valid SMTP Host
2. Enter valid authentication details
3. Leave SMTP Port empty
4. Click Save button</t>
  </si>
  <si>
    <t>SMTP Host: smtp.gmail.com
SMTP Port: Empty
Username: admin@test.com
Password: Test@123</t>
  </si>
  <si>
    <t>System should display validation message and prevent save operation</t>
  </si>
  <si>
    <t>System saved configuration successfully with empty SMTP Port</t>
  </si>
  <si>
    <t>TC_ADMIN_506</t>
  </si>
  <si>
    <t>Verify SMTP authentication can be enabled</t>
  </si>
  <si>
    <t>Ensure Admin can enable SMTP authentication successfully during configuration</t>
  </si>
  <si>
    <t>1. Navigate to Email Configuration page
2. Enable SMTP Authentication option</t>
  </si>
  <si>
    <t>Authentication: Enabled</t>
  </si>
  <si>
    <t>SMTP Authentication option enabled successfully</t>
  </si>
  <si>
    <t>Authentication settings ready for configuration</t>
  </si>
  <si>
    <t>SMTP Authentication enabled successfully</t>
  </si>
  <si>
    <t>TC_ADMIN_507</t>
  </si>
  <si>
    <t>Verify valid SMTP authentication credentials entry</t>
  </si>
  <si>
    <t>Ensure Username and Password fields accept valid values after enabling authentication</t>
  </si>
  <si>
    <t>SMTP Authentication enabled</t>
  </si>
  <si>
    <t>1. Enable SMTP Authentication
2. Enter valid Username
3. Enter valid Password</t>
  </si>
  <si>
    <t>Username: admin@test.com
Password: Test@123</t>
  </si>
  <si>
    <t>Authentication credentials accepted successfully</t>
  </si>
  <si>
    <t>Credentials ready for saving</t>
  </si>
  <si>
    <t>Credentials entered successfully</t>
  </si>
  <si>
    <t>TC_ADMIN_508</t>
  </si>
  <si>
    <t>Verify system allows authenticated SMTP configuration</t>
  </si>
  <si>
    <t>Ensure system accepts and saves authenticated SMTP settings successfully</t>
  </si>
  <si>
    <t>SMTP Authentication enabled and valid credentials entered</t>
  </si>
  <si>
    <t>1. Enable Authentication
2. Enter valid Username and Password
3. Click Save</t>
  </si>
  <si>
    <t>SMTP Host: smtp.gmail.com
Port: 587
Username: admin@test.com
Password: Test@123
Authentication: Enabled</t>
  </si>
  <si>
    <t>Authenticated SMTP configuration saved successfully</t>
  </si>
  <si>
    <t>Authenticated SMTP configuration stored</t>
  </si>
  <si>
    <t>Configuration saved successfully</t>
  </si>
  <si>
    <t>TC_ADMIN_509</t>
  </si>
  <si>
    <t>Verify authentication settings remain after refresh</t>
  </si>
  <si>
    <t>Ensure enabled authentication and credentials persist after page refresh</t>
  </si>
  <si>
    <t>Authenticated SMTP configuration already saved</t>
  </si>
  <si>
    <t>1. Save authenticated SMTP configuration
2. Refresh browser page
3. Observe authentication settings</t>
  </si>
  <si>
    <t>Authentication enabled + valid credentials</t>
  </si>
  <si>
    <t>Authentication settings remain unchanged</t>
  </si>
  <si>
    <t>Authentication settings remained successfully</t>
  </si>
  <si>
    <t>TC_ADMIN_510</t>
  </si>
  <si>
    <t>TC_ADMIN_511</t>
  </si>
  <si>
    <t>Verify system displays authentication error for invalid SMTP credentials</t>
  </si>
  <si>
    <t>Ensure system shows authentication failure message when invalid SMTP credentials are used</t>
  </si>
  <si>
    <t>1. Enable SMTP Authentication
2. Enter valid SMTP Host and Port
3. Enter incorrect Username and Password
4. Click Save or Test Configuration</t>
  </si>
  <si>
    <t>SMTP Host: smtp.gmail.com
SMTP Port: 587
Username: invalid@test.com
Password: Wrong123</t>
  </si>
  <si>
    <t>System should reject configuration and display authentication failure message</t>
  </si>
  <si>
    <t>Configuration not authenticated</t>
  </si>
  <si>
    <t>System displayed “Failed – Test Email Not Sent” message</t>
  </si>
  <si>
    <t>I don't understand Scenario 6</t>
  </si>
  <si>
    <t>########</t>
  </si>
  <si>
    <t>TC_ADMIN_512</t>
  </si>
  <si>
    <t>Verify Send Test Email button visibility and accessibility</t>
  </si>
  <si>
    <t>Ensure Send Test Email button is visible and clickable after configuring email settings</t>
  </si>
  <si>
    <t>1. Navigate to Email Configuration page
2. Observe Send Test Email button
3. Click the button</t>
  </si>
  <si>
    <t>Send Test Email button should be visible and accessible</t>
  </si>
  <si>
    <t>Test email dialog opened</t>
  </si>
  <si>
    <t>Send Test Email button opened successfully</t>
  </si>
  <si>
    <t>TC_ADMIN_513</t>
  </si>
  <si>
    <t>Verify valid recipient email input in Send Test Email form</t>
  </si>
  <si>
    <t>Ensure system accepts valid recipient email address for test email sending</t>
  </si>
  <si>
    <t>Send Test Email dialog opened</t>
  </si>
  <si>
    <t>1. Click Send Test Email
2. Enter valid recipient email address</t>
  </si>
  <si>
    <t>Recipient Email: afram3339@gmail.com</t>
  </si>
  <si>
    <t>Valid email accepted successfully</t>
  </si>
  <si>
    <t>Recipient ready for test email sending</t>
  </si>
  <si>
    <t>Recipient email accepted successfully</t>
  </si>
  <si>
    <t>TC_ADMIN_514</t>
  </si>
  <si>
    <t>Verify successful test email sending</t>
  </si>
  <si>
    <t>Ensure system sends test email successfully using valid SMTP configuration</t>
  </si>
  <si>
    <t>Send Test Email popup opened</t>
  </si>
  <si>
    <t>1. Click Send Test Email
2. Enter valid recipient email address
3. Click Send
4. Observe system behavior</t>
  </si>
  <si>
    <t>System sends test email successfully and displays confirmation message</t>
  </si>
  <si>
    <t>Recipient receives test email successfully</t>
  </si>
  <si>
    <t>System remained in loading state continuously, email was not sent, and the whole website became unresponsive / lagged</t>
  </si>
  <si>
    <t>TC_ADMIN_515</t>
  </si>
  <si>
    <t>Verify duplicate email prevention on double click</t>
  </si>
  <si>
    <t>Ensure system sends only one email when Send button is clicked multiple times quickly</t>
  </si>
  <si>
    <t>1. Enter valid recipient email
2. Double-click Send button rapidly
3. Observe email delivery behavior</t>
  </si>
  <si>
    <t>Recipient Email: test@example.com</t>
  </si>
  <si>
    <t>Only one test email should be sent</t>
  </si>
  <si>
    <t>Single email delivered</t>
  </si>
  <si>
    <t>Single email sent successfully</t>
  </si>
  <si>
    <t>TC_ADMIN_516</t>
  </si>
  <si>
    <t>Verify Send Test Email dialog behavior after sending</t>
  </si>
  <si>
    <t>Ensure dialog closes automatically after successful send operation</t>
  </si>
  <si>
    <t>1. Enter valid recipient email
2. Click Send
3. Observe dialog state</t>
  </si>
  <si>
    <t>Dialog closes after successful email sending</t>
  </si>
  <si>
    <t>User returned to Email Configuration page</t>
  </si>
  <si>
    <t>The dialogue was not closed successfully</t>
  </si>
  <si>
    <t>TC_ADMIN_517</t>
  </si>
  <si>
    <t>Verify email delivery status after sending test email</t>
  </si>
  <si>
    <t>Ensure test email is delivered successfully when valid recipient email is provided</t>
  </si>
  <si>
    <t>Valid SMTP configuration saved</t>
  </si>
  <si>
    <t>1.Enter valid recipient email
2. Click Send
3. Observe system notification</t>
  </si>
  <si>
    <t>System sends email successfully and displays confirmation message</t>
  </si>
  <si>
    <t>Recipient receives email successfully</t>
  </si>
  <si>
    <t>System displayed “Failed – Test Email Not Sent” although valid email address was entered</t>
  </si>
  <si>
    <t>TC_ADMIN_518</t>
  </si>
  <si>
    <t>Verify Send button validation for empty recipient email</t>
  </si>
  <si>
    <t>Ensure system prevents sending test email with empty recipient field</t>
  </si>
  <si>
    <t>1. Leave recipient field empty
2. Click Send</t>
  </si>
  <si>
    <t>Recipient Email: Empty</t>
  </si>
  <si>
    <t>Validation message displayed and sending blocked</t>
  </si>
  <si>
    <t>Email not sent</t>
  </si>
  <si>
    <t>TC_ADMIN_519</t>
  </si>
  <si>
    <t>Verify duplicate email handling on repeated save actions</t>
  </si>
  <si>
    <t>Ensure system prevents duplicate email operations when same email is saved r</t>
  </si>
  <si>
    <t>1. Enter SMTP configuration
2. Click Save
3. Click Save again with same data
4. Observe system behavior</t>
  </si>
  <si>
    <t>System should prevent duplicate operation or notify that configuration already exists</t>
  </si>
  <si>
    <t>Single configuration retained</t>
  </si>
  <si>
    <t>System accepted repeated save operation with same email normally</t>
  </si>
  <si>
    <t>TC_ADMIN_520</t>
  </si>
  <si>
    <t>Verify recipient email validation with spaces-only input</t>
  </si>
  <si>
    <t>Ensure recipient field rejects blank spaces as email value</t>
  </si>
  <si>
    <t>1. Enter spaces only in recipient field
2. Click Send</t>
  </si>
  <si>
    <t>Recipient Email: " "</t>
  </si>
  <si>
    <t>TC_ADMIN_521</t>
  </si>
  <si>
    <t>Verify recipient data retention after refresh</t>
  </si>
  <si>
    <t>Ensure entered recipient email is handled correctly after page refresh</t>
  </si>
  <si>
    <t>1. Open Send Test Email dialog
2. Enter recipient email
3. Refresh browser page
4. Open dialog again</t>
  </si>
  <si>
    <t>System should preserve entered data or warn user before refresh/data loss</t>
  </si>
  <si>
    <t>Data remains available or warning shown</t>
  </si>
  <si>
    <t>Dialog closed after refresh and entered email data was cleared</t>
  </si>
  <si>
    <t>TC_ADMIN_522</t>
  </si>
  <si>
    <t>Verify validation for invalid recipient email address</t>
  </si>
  <si>
    <t>Ensure system prevents sending test email when invalid recipient email format is entered</t>
  </si>
  <si>
    <t>1. Open Send Test Email dialog
2. Enter invalid recipient email address
3. Click Send</t>
  </si>
  <si>
    <t>Recipient Email: test@</t>
  </si>
  <si>
    <t>System should display validation error message and prevent email sending</t>
  </si>
  <si>
    <t>Validation message displayed and email sending blocked</t>
  </si>
  <si>
    <t>TC_ADMIN_523</t>
  </si>
  <si>
    <t>Verify system behavior when sending test email to non-existent recipient address</t>
  </si>
  <si>
    <t>Ensure system handles non-existent recipient emails correctly during test e</t>
  </si>
  <si>
    <t>1. Open Send Test Email dialog
2. Enter non-existent but valid email format
3. Click Send
4. Observe system response</t>
  </si>
  <si>
    <t>Recipient Email: admin@example.com</t>
  </si>
  <si>
    <t>System should handle delivery failure gracefully and display appropriate message if recipient does not exist</t>
  </si>
  <si>
    <t>No email delivered</t>
  </si>
  <si>
    <t>1. Success shown although email undeliverable
2. System freezes after send failure
3. Infinite loading on invalid mailbox</t>
  </si>
  <si>
    <t>TC_ADMIN_524</t>
  </si>
  <si>
    <t>Verify validation for recipient email exceeding maximum length</t>
  </si>
  <si>
    <t>Ensure system rejects recipient email addresses longer than supported limit (&gt;254 characters)</t>
  </si>
  <si>
    <t>1. Open Send Test Email dialog
2. Enter recipient email longer than 254 characters
3. Click Send</t>
  </si>
  <si>
    <t>Recipient Email: Very long email (&gt;254 chars)</t>
  </si>
  <si>
    <t>System should reject input and display validation message</t>
  </si>
  <si>
    <t>The verification message display system was successful</t>
  </si>
  <si>
    <t>TC_ADMIN_525</t>
  </si>
  <si>
    <t>Verify validation for oversized domain name in recipient email</t>
  </si>
  <si>
    <t>Ensure system rejects recipient emails containing excessively long domain names</t>
  </si>
  <si>
    <t>1. Open Send Test Email dialog
2. Enter email with oversized domain section
3. Click Send</t>
  </si>
  <si>
    <t>admin@veryveryveryveryveryveryverylongdomainnametestexamplemailserver.com</t>
  </si>
  <si>
    <t>System should reject invalid domain length and prevent sending</t>
  </si>
  <si>
    <t>System accepted email with oversized domain name</t>
  </si>
  <si>
    <t>TC_ADMIN_526</t>
  </si>
  <si>
    <t>Verify enabling TLS security settings</t>
  </si>
  <si>
    <t>Ensure Admin can select TLS security option and save configuration successfully</t>
  </si>
  <si>
    <t>1. Navigate to Email Configuration page
2. Select TLS from security settings
3. Enter valid SMTP configuration details
4. Click Save</t>
  </si>
  <si>
    <t>Security Protocol: TLS</t>
  </si>
  <si>
    <t>TLS configuration saved successfully and confirmation message displayed</t>
  </si>
  <si>
    <t>TLS configuration stored successfully</t>
  </si>
  <si>
    <t>TLS configuration saved successfully</t>
  </si>
  <si>
    <t>TC_ADMIN_527</t>
  </si>
  <si>
    <t>Verify enabling SSL security settings</t>
  </si>
  <si>
    <t>Ensure Admin can select SSL security option and save configuration successfully</t>
  </si>
  <si>
    <t>1. Navigate to Email Configuration page
2. Select SSL from security settings
3. Enter valid SMTP configuration details
4. Click Save</t>
  </si>
  <si>
    <t>Security Protocol: SSL</t>
  </si>
  <si>
    <t>SSL configuration saved successfully and confirmation message displayed</t>
  </si>
  <si>
    <t>SSL configuration stored successfully</t>
  </si>
  <si>
    <t>SSL configuration saved successfully</t>
  </si>
  <si>
    <t>TC_ADMIN_528</t>
  </si>
  <si>
    <t>Verify secure email settings persistence after saving</t>
  </si>
  <si>
    <t>Ensure selected TLS / SSL configuration remains stored after save operation</t>
  </si>
  <si>
    <t>Secure configuration already saved</t>
  </si>
  <si>
    <t>Save TLS or SSL configuration
Refresh page
Reopen Email Configuration page
Observe selected security option</t>
  </si>
  <si>
    <t>Security Protocol: TLS / SSL</t>
  </si>
  <si>
    <t>Selected security configuration remains saved and displayed correctly</t>
  </si>
  <si>
    <t>Secure settings retained</t>
  </si>
  <si>
    <t>TLS / SSL settings persisted successfully</t>
  </si>
  <si>
    <t>TC_ADMIN_529</t>
  </si>
  <si>
    <t>Verify TLS configuration retention after refresh</t>
  </si>
  <si>
    <t>Ensure selected TLS configuration remains saved after page refresh</t>
  </si>
  <si>
    <t>1. Select TLS security protocol
2. Save configuration
3. Refresh browser page
4. Reopen Email Configuration page</t>
  </si>
  <si>
    <t>TLS selection remains saved after refresh</t>
  </si>
  <si>
    <t>TLS configuration retained successfully</t>
  </si>
  <si>
    <t>TLS configuration remained saved successfully</t>
  </si>
  <si>
    <t>TC_ADMIN_530</t>
  </si>
  <si>
    <t>Verify only one security protocol can be active at a time</t>
  </si>
  <si>
    <t>Ensure SSL and TLS cannot be enabled simultaneously</t>
  </si>
  <si>
    <t>1. Select TLS
2. Change selection to SSL
3. Save configuration
4. Observe active protocol</t>
  </si>
  <si>
    <t>Protocols: TLS / SSL</t>
  </si>
  <si>
    <t>Only one protocol remains active after save</t>
  </si>
  <si>
    <t>Single protocol stored successfully</t>
  </si>
  <si>
    <t>Only one protocol saved successfully</t>
  </si>
  <si>
    <t>TC_ADMIN_531</t>
  </si>
  <si>
    <t>Verify SMTP port compatibility with selected security protocol</t>
  </si>
  <si>
    <t>Ensure system handles protocol and port combinations correctly</t>
  </si>
  <si>
    <t>1. Select TLS
2. Enter SMTP Port: 465
3. Save configuration</t>
  </si>
  <si>
    <t>Protocol: TLS
Port: 465</t>
  </si>
  <si>
    <t>System handles configuration correctly without issues</t>
  </si>
  <si>
    <t>TC_ADMIN_532</t>
  </si>
  <si>
    <t>Verify security configuration persistence across sessions</t>
  </si>
  <si>
    <t>Ensure selected security protocol remains saved after logout/login cycle</t>
  </si>
  <si>
    <t>TLS or SSL configuration saved successfully</t>
  </si>
  <si>
    <t>1. Save TLS / SSL configuration
2. Logout from system
3. Login again
4. Open Email Configuration page</t>
  </si>
  <si>
    <t>Saved security configuration remains unchanged</t>
  </si>
  <si>
    <t>Configuration retained across sessions</t>
  </si>
  <si>
    <t>Security settings remained saved successfully</t>
  </si>
  <si>
    <t>TC_ADMIN_533</t>
  </si>
  <si>
    <t>Verify email configuration behavior without protocol selection</t>
  </si>
  <si>
    <t>Ensure email configuration works correctly when no protocol is selected</t>
  </si>
  <si>
    <t>1. Leave protocol field unselected
2. Enter valid SMTP details
3. Click Save</t>
  </si>
  <si>
    <t>Protocol: None</t>
  </si>
  <si>
    <t>Configuration stored successfully</t>
  </si>
  <si>
    <t>TC_ADMIN_534</t>
  </si>
  <si>
    <t>Verify TLS and SSL options functionality</t>
  </si>
  <si>
    <t>Ensure security protocol options function correctly when selected</t>
  </si>
  <si>
    <t>1. Select TLS
2. Save configuration
3. Select SSL
4. Save again</t>
  </si>
  <si>
    <t>Selected option functions correctly and saves successfully</t>
  </si>
  <si>
    <t>Protocol updated successfully</t>
  </si>
  <si>
    <t>TLS and SSL worked successfully</t>
  </si>
  <si>
    <t>TC_ADMIN_535</t>
  </si>
  <si>
    <t>Verify security protocol update behavior</t>
  </si>
  <si>
    <t>Ensure changing protocol from TLS to SSL updates saved configuration correctly</t>
  </si>
  <si>
    <t>TLS configuration already saved</t>
  </si>
  <si>
    <t>1. Save TLS configuration
2. Change to SSL
3. Save changes
4. Refresh page</t>
  </si>
  <si>
    <t>Protocols: TLS → SSL</t>
  </si>
  <si>
    <t>SSL replaces TLS successfully after save</t>
  </si>
  <si>
    <t>Updated protocol retained successfully</t>
  </si>
  <si>
    <t>TC_ADMIN_536</t>
  </si>
  <si>
    <t>Verify Reset button clears entered Email Configuration values</t>
  </si>
  <si>
    <t>Ensure Reset button restores Email Configuration form to empty/default state</t>
  </si>
  <si>
    <t>1. Enter values in Email Configuration fields
2. Click Reset button
3. Observe fields</t>
  </si>
  <si>
    <t>SMTP Host: smtp.gmail.com
SMTP Port: 587
Username: admin@test.com</t>
  </si>
  <si>
    <t>All fields should be cleared or restored to default values</t>
  </si>
  <si>
    <t>Form reset successfully</t>
  </si>
  <si>
    <t>Field values remained unchanged after clicking Reset</t>
  </si>
  <si>
    <t>TC_ADMIN_537</t>
  </si>
  <si>
    <t>US_020</t>
  </si>
  <si>
    <t>Verify Email Subscriptions page loads correctly</t>
  </si>
  <si>
    <t>Ensure Email Subscriptions page opens successfully without errors</t>
  </si>
  <si>
    <t>Admin user logged into system</t>
  </si>
  <si>
    <t>1. Navigate to Admin → Email Configuration → Email Subscriptions
2. Observe page loading behavior</t>
  </si>
  <si>
    <t>Email Subscriptions page loads successfully without errors</t>
  </si>
  <si>
    <t>Email Subscriptions page displayed</t>
  </si>
  <si>
    <t>Page loaded successfully</t>
  </si>
  <si>
    <t>TC_ADMIN_538</t>
  </si>
  <si>
    <t>Verify email notification modules visibility</t>
  </si>
  <si>
    <t>Ensure system displays all available email subscription modules</t>
  </si>
  <si>
    <t>Admin on Email Subscriptions page</t>
  </si>
  <si>
    <t>1. Open Email Subscriptions page
2. Observe available notification modules list</t>
  </si>
  <si>
    <t>All email notification modules displayed successfully</t>
  </si>
  <si>
    <t>Modules displayed successfully</t>
  </si>
  <si>
    <t>TC_ADMIN_539</t>
  </si>
  <si>
    <t>Verify enabled / disabled status visibility</t>
  </si>
  <si>
    <t>Ensure each subscription module shows current status correctly</t>
  </si>
  <si>
    <t>Email Subscriptions page opened</t>
  </si>
  <si>
    <t>1. Open Email Subscriptions page
2. Observe status beside each module</t>
  </si>
  <si>
    <t>Each module displays its current state (Enabled / Disabled)</t>
  </si>
  <si>
    <t>Subscription states visible</t>
  </si>
  <si>
    <t>Status displayed successfully for all modules</t>
  </si>
  <si>
    <t>TC_ADMIN_540</t>
  </si>
  <si>
    <t>Verify email subscription modules persistence after refresh</t>
  </si>
  <si>
    <t>Ensure all email subscription modules remain displayed after refreshing the page</t>
  </si>
  <si>
    <t>1. Open Email Subscriptions page
2. Refresh browser page
3. Observe modules list</t>
  </si>
  <si>
    <t>All modules remain visible after refresh</t>
  </si>
  <si>
    <t>Modules list retained successfully</t>
  </si>
  <si>
    <t>Modules remained visible successfully</t>
  </si>
  <si>
    <t>TC_ADMIN_541</t>
  </si>
  <si>
    <t>Verify subscription status visibility</t>
  </si>
  <si>
    <t>Ensure each email subscription module displays its current status</t>
  </si>
  <si>
    <t>1. Navigate to Email Subscriptions page
2. Observe status of all modules</t>
  </si>
  <si>
    <t>All modules display enabled / disabled status correctly</t>
  </si>
  <si>
    <t>Status visible for all modules</t>
  </si>
  <si>
    <t>Status displayed successfully</t>
  </si>
  <si>
    <t>TC_ADMIN_542</t>
  </si>
  <si>
    <t>Verify subscription state persistence after reload</t>
  </si>
  <si>
    <t>Ensure displayed subscription state remains correct after page reload</t>
  </si>
  <si>
    <t>1. Observe module status
2. Refresh page
3. Verify displayed state again</t>
  </si>
  <si>
    <t>Displayed state remains unchanged after reload</t>
  </si>
  <si>
    <t>Correct state retained</t>
  </si>
  <si>
    <t>Status remained correct successfully</t>
  </si>
  <si>
    <t>TC_ADMIN_543</t>
  </si>
  <si>
    <t>Verify empty state behavior on Email Subscriptions page</t>
  </si>
  <si>
    <t>Ensure page handles no-subscription scenario correctly</t>
  </si>
  <si>
    <t>No subscription data available</t>
  </si>
  <si>
    <t>1. Open Email Subscriptions page
2. Observe page state</t>
  </si>
  <si>
    <t>Page displayed correctly without errors</t>
  </si>
  <si>
    <t>Page remains usable</t>
  </si>
  <si>
    <t>Page handled empty state successfully</t>
  </si>
  <si>
    <t>TC_ADMIN_544</t>
  </si>
  <si>
    <t>Verify duplicate module prevention</t>
  </si>
  <si>
    <t>Ensure email subscription modules appear only once in the list</t>
  </si>
  <si>
    <t>1. Open Email Subscriptions page
2. Observe modules list carefully</t>
  </si>
  <si>
    <t>Modules displayed once only</t>
  </si>
  <si>
    <t>Unique modules retained</t>
  </si>
  <si>
    <t>No duplicated modules found</t>
  </si>
  <si>
    <t>TC_ADMIN_545</t>
  </si>
  <si>
    <t>Verify responsive layout for Email Subscriptions page</t>
  </si>
  <si>
    <t>Ensure page layout remains readable across smaller resolutions</t>
  </si>
  <si>
    <t>1. Open page on desktop
2. Resize to tablet view
3. Resize to mobile view</t>
  </si>
  <si>
    <t>Layout remains readable and usable</t>
  </si>
  <si>
    <t>Responsive layout maintained</t>
  </si>
  <si>
    <t>Layout displayed correctly on all sizes</t>
  </si>
  <si>
    <t>TC_ADMIN_546</t>
  </si>
  <si>
    <t>Verify displayed status consistency</t>
  </si>
  <si>
    <t>Ensure shown subscription state matches actual toggle state</t>
  </si>
  <si>
    <t>1. Observe module toggle state
2. Compare with displayed status</t>
  </si>
  <si>
    <t>Displayed status matches actual state</t>
  </si>
  <si>
    <t>State consistency maintained</t>
  </si>
  <si>
    <t>Displayed status matched correctly</t>
  </si>
  <si>
    <t>TC_ADMIN_547</t>
  </si>
  <si>
    <t>TC_ADMIN_548</t>
  </si>
  <si>
    <t>Verify Admin can navigate to Email Subscriptions page</t>
  </si>
  <si>
    <t>Ensure Admin can access Email Subscriptions page from Admin module navigation menu</t>
  </si>
  <si>
    <t>1. Navigate to Admin module
2. Click Email Subscriptions option</t>
  </si>
  <si>
    <t>System redirects Admin to Email Subscriptions page successfully</t>
  </si>
  <si>
    <t>Email Subscriptions page displayed successfully</t>
  </si>
  <si>
    <t>Email Subscriptions page opened successfully</t>
  </si>
  <si>
    <t>TC_ADMIN_549</t>
  </si>
  <si>
    <t>Verify Email Subscriptions records table is displayed</t>
  </si>
  <si>
    <t>Ensure Email Subscriptions table appears correctly after page load</t>
  </si>
  <si>
    <t>User on Email Subscriptions page</t>
  </si>
  <si>
    <t>1. Open Email Subscriptions page
2. Observe records table</t>
  </si>
  <si>
    <t>Email Subscriptions table displayed successfully</t>
  </si>
  <si>
    <t>TC_ADMIN_550</t>
  </si>
  <si>
    <t>Verify Email Subscriptions Name column is displayed correctly</t>
  </si>
  <si>
    <t>Ensure table contains Email Subscriptions Name column</t>
  </si>
  <si>
    <t>TC_ADMIN_551</t>
  </si>
  <si>
    <t>Verify existing Email Subscriptions records appear in table</t>
  </si>
  <si>
    <t>Ensure previously created Email Subscriptions are displayed correctly</t>
  </si>
  <si>
    <t>Existing Email Subscriptions records available</t>
  </si>
  <si>
    <t>1. Open Email Subscriptions page
2. Observe records list</t>
  </si>
  <si>
    <t>Existing Email Subscriptions displayed correctly in table</t>
  </si>
  <si>
    <t>Existing Email Subscriptions displayed successfully</t>
  </si>
  <si>
    <t>TC_ADMIN_552</t>
  </si>
  <si>
    <t>Verify Add button opens Add Email Subscriptions form</t>
  </si>
  <si>
    <t>Add Email Subscriptions form opens successfully</t>
  </si>
  <si>
    <t>TC_ADMIN_553</t>
  </si>
  <si>
    <t>1. Leave Email Subscriptions Name empty
2. Click Save</t>
  </si>
  <si>
    <t>TC_ADMIN_554</t>
  </si>
  <si>
    <t>Verify validation error is cleared after entering valid Email Subscriptions Name</t>
  </si>
  <si>
    <t>1. Leave field empty
2. Click Save
3. Enter valid Email Subscriptions Name</t>
  </si>
  <si>
    <t>Email Subscriptions Name: Internship</t>
  </si>
  <si>
    <t>TC_ADMIN_555</t>
  </si>
  <si>
    <t>Verify Email Subscriptions is created successfully with valid data</t>
  </si>
  <si>
    <t>Ensure valid Email Subscriptions data is saved correctly</t>
  </si>
  <si>
    <t>Email Subscriptions Name: Direct Manager
 Review</t>
  </si>
  <si>
    <t>Email Subscriptions created successfully</t>
  </si>
  <si>
    <t>TC_ADMIN_556</t>
  </si>
  <si>
    <t>Verify new Email Subscriptions appears immediately in table</t>
  </si>
  <si>
    <t>1. Save new Email Subscriptions
2. Observe records table</t>
  </si>
  <si>
    <t>New Email Subscriptions displayed immediately in table</t>
  </si>
  <si>
    <t>TC_ADMIN_557</t>
  </si>
  <si>
    <t>Verify success message appears after adding Email Subscriptions</t>
  </si>
  <si>
    <t>1. Create Email Subscriptions
2. Observe notification</t>
  </si>
  <si>
    <t>Valid Email Subscriptions</t>
  </si>
  <si>
    <t>TC_ADMIN_558</t>
  </si>
  <si>
    <t>Verify system handles special characters in Email Subscriptions names correctly</t>
  </si>
  <si>
    <t>Admin on Add Email Subscriptions form</t>
  </si>
  <si>
    <t>subscriber Name:
"@@@###%%%HR_Method!!!"</t>
  </si>
  <si>
    <t>Special characters caused UI layout issues in subscriber table</t>
  </si>
  <si>
    <t>TC_ADMIN_559</t>
  </si>
  <si>
    <t>Verify system prevents duplicate subscriber</t>
  </si>
  <si>
    <t>Ensure duplicate subscriber names cannot be added</t>
  </si>
  <si>
    <t>1. Click Add button
2. Enter existing subscriber name
3. Click Save</t>
  </si>
  <si>
    <t>subscriber Name: HR Approval</t>
  </si>
  <si>
    <t>System prevents duplicate subscriber creation</t>
  </si>
  <si>
    <t>Duplicate subscriber was not created</t>
  </si>
  <si>
    <t>TC_ADMIN_560</t>
  </si>
  <si>
    <t>Verify duplicate subscriber are not created on double Save click</t>
  </si>
  <si>
    <t>Add subscriber form opened</t>
  </si>
  <si>
    <t>1. Enter valid subscriber data
2. Double-click Save button rapidly
3. Observe subscriber table</t>
  </si>
  <si>
    <t>subscriber Name: Operations Approval</t>
  </si>
  <si>
    <t>Only one subscriber record should be created</t>
  </si>
  <si>
    <t>Only one subscriber record created successfully</t>
  </si>
  <si>
    <t>TC_ADMIN_561</t>
  </si>
  <si>
    <t>Verify Edit form opens successfully for selected subscriber</t>
  </si>
  <si>
    <t>Ensure Edit form loads correctly with existing subscriber data</t>
  </si>
  <si>
    <t>1. Select existing subscriber
2. Click Edit button</t>
  </si>
  <si>
    <t>Existing subscriber: Craft Workers</t>
  </si>
  <si>
    <t>Edit form displayed with existingsubscriber data</t>
  </si>
  <si>
    <t>TC_ADMIN_562</t>
  </si>
  <si>
    <t>Existing subscriber available</t>
  </si>
  <si>
    <t>TC_ADMIN_563</t>
  </si>
  <si>
    <t>Verify admin can update subscriber details</t>
  </si>
  <si>
    <t>1. Modify subscriber details
2. Click Save</t>
  </si>
  <si>
    <t>TC_ADMIN_564</t>
  </si>
  <si>
    <t>Verify updated subscriber appears immediately in table</t>
  </si>
  <si>
    <t>1. Update subscriber
2. Return to records table</t>
  </si>
  <si>
    <t>Updated subscriber</t>
  </si>
  <si>
    <t>TC_ADMIN_565</t>
  </si>
  <si>
    <t>Verify success message appears after updating subscriber</t>
  </si>
  <si>
    <t>1. Editsubscriber
2. Save changes
3. Observe notification message</t>
  </si>
  <si>
    <t>TC_ADMIN_566</t>
  </si>
  <si>
    <t>Ensure system preserves data integrity when user refreshes the page while editing asubscriber</t>
  </si>
  <si>
    <t>1. Open Edit form for asubscriber
2. Modifysubscriber name
3. Do not click Save
4. Refresh browser page (F5)
5. Return tosubscriber table
6. Open edited record again</t>
  </si>
  <si>
    <t>Original subscriber data remains unchanged and stable</t>
  </si>
  <si>
    <t>subscriber data became corrupted after page refresh during edit process</t>
  </si>
  <si>
    <t>TC_ADMIN_567</t>
  </si>
  <si>
    <t>Verify email validation with spaces-only input</t>
  </si>
  <si>
    <t>Ensure  field rejects blank spaces as email value</t>
  </si>
  <si>
    <t>1. Enter spaces only in  field
2. Click Send</t>
  </si>
  <si>
    <t xml:space="preserve"> Email: " "</t>
  </si>
  <si>
    <t>TC_ADMIN_568</t>
  </si>
  <si>
    <t>Verify  data retention after refresh</t>
  </si>
  <si>
    <t>Ensure entered  email is handled correctly after page refresh</t>
  </si>
  <si>
    <t>1. Open Send Test Email dialog
2. Enter  email
3. Refresh browser page
4. Open dialog again</t>
  </si>
  <si>
    <t xml:space="preserve"> Email: test@example.com</t>
  </si>
  <si>
    <t>TC_ADMIN_569</t>
  </si>
  <si>
    <t>Verify validation for invalid  email address</t>
  </si>
  <si>
    <t>Ensure system prevents sending test email when invalid  email format is entered</t>
  </si>
  <si>
    <t>1. Open Send Test Email dialog
2. Enter invalid  email address
3. Click Send</t>
  </si>
  <si>
    <t xml:space="preserve"> Email: test@</t>
  </si>
  <si>
    <t>TC_ADMIN_570</t>
  </si>
  <si>
    <t>Verify system behavior when sending test email to non-existent  address</t>
  </si>
  <si>
    <t>Ensure system handles non-existent  emails correctly during test e</t>
  </si>
  <si>
    <t xml:space="preserve"> Email: admin@example.com</t>
  </si>
  <si>
    <t>System should handle delivery failure gracefully and display appropriate message if  does not exist</t>
  </si>
  <si>
    <t>TC_ADMIN_571</t>
  </si>
  <si>
    <t>Verify validation for  email exceeding maximum length</t>
  </si>
  <si>
    <t>Ensure system rejects  email addresses longer than supported limit (&gt;254 characters)</t>
  </si>
  <si>
    <t>1. Open Send Test Email dialog
2. Enter  email longer than 254 characters
3. Click Send</t>
  </si>
  <si>
    <t xml:space="preserve"> Email: Very long email (&gt;254 chars)</t>
  </si>
  <si>
    <t>TC_ADMIN_572</t>
  </si>
  <si>
    <t>Verify validation for oversized domain name in  email</t>
  </si>
  <si>
    <t>Ensure system rejects  emails containing excessively long domain names</t>
  </si>
  <si>
    <t>TC_ADMIN_573</t>
  </si>
  <si>
    <t>Verify subscriber  records can be selected using checkboxes</t>
  </si>
  <si>
    <t>TC_ADMIN_574</t>
  </si>
  <si>
    <t>1. Selectsubscriber
2. Click Delete button</t>
  </si>
  <si>
    <t>Existing subscriber</t>
  </si>
  <si>
    <t>TC_ADMIN_575</t>
  </si>
  <si>
    <t>Verify subscriber  is deleted successfully after confirmation</t>
  </si>
  <si>
    <t>subscriber deleted successfully</t>
  </si>
  <si>
    <t>TC_ADMIN_576</t>
  </si>
  <si>
    <t>Verify deleted subscriber no longer appears in table</t>
  </si>
  <si>
    <t>1. Delete subscriber
2. Observe records table</t>
  </si>
  <si>
    <t>Deleted subscriber</t>
  </si>
  <si>
    <t>TC_ADMIN_577</t>
  </si>
  <si>
    <t>Verify success message appears after deleting subscriber</t>
  </si>
  <si>
    <t>1. Delete subscriber
2. Observe notification message</t>
  </si>
  <si>
    <t>TC_ADMIN_578</t>
  </si>
  <si>
    <t>Verify deleted subscriber does not reappear after refresh</t>
  </si>
  <si>
    <t>1. Delete subscriber
2. Refresh browser page
3. Search for deleted record</t>
  </si>
  <si>
    <t>subscriber: Part-Time</t>
  </si>
  <si>
    <t>Deleted subscriber should not appear again after refresh</t>
  </si>
  <si>
    <t>Deleted subscriber remained deleted successfully</t>
  </si>
  <si>
    <t>TC_ADMIN_579</t>
  </si>
  <si>
    <t>Verify subscriber  is not deleted before confirmation</t>
  </si>
  <si>
    <t>Existing subscriber selected</t>
  </si>
  <si>
    <t>TC_ADMIN_580</t>
  </si>
  <si>
    <t>Verify Admin can delete single subscriber successfully</t>
  </si>
  <si>
    <t>Ensure selected subscriber is deleted correctly after</t>
  </si>
  <si>
    <t>1. Select subscriber
2. Click Delete button
3. Confirm deletion</t>
  </si>
  <si>
    <t>Selected subscriber deleted successfully and removed from list</t>
  </si>
  <si>
    <t>TC_ADMIN_581</t>
  </si>
  <si>
    <t>Verify Admin can select multiple subscriber using checkboxes</t>
  </si>
  <si>
    <t>Multiple subscriber available</t>
  </si>
  <si>
    <t>Multiple subscriber selected successfully</t>
  </si>
  <si>
    <t>TC_ADMIN_582</t>
  </si>
  <si>
    <t>Verify “No Records Found” message appears when no subscriber exist</t>
  </si>
  <si>
    <t>No subscriber records available in system</t>
  </si>
  <si>
    <t>1. Navigate to subscriber page
2. Observe records table area</t>
  </si>
  <si>
    <t>TC_ADMIN_583</t>
  </si>
  <si>
    <t>Ensure UI remains readable and properly aligned when nosubscriberexist</t>
  </si>
  <si>
    <t>subscriber table empty</t>
  </si>
  <si>
    <t>1. Open subscriber page with no records
2. Observe table and layout structure</t>
  </si>
  <si>
    <t>TC_ADMIN_584</t>
  </si>
  <si>
    <t>Verify disabling email subscription option</t>
  </si>
  <si>
    <t>Ensure Admin can disable selected email subscription successfully</t>
  </si>
  <si>
    <t>Subscription currently enabled</t>
  </si>
  <si>
    <t>1. Disable specific subscription
2. Click Save</t>
  </si>
  <si>
    <t>Module: Leave Notifications</t>
  </si>
  <si>
    <t>Subscription disabled successfully</t>
  </si>
  <si>
    <t>Subscription marked disabled</t>
  </si>
  <si>
    <t>######</t>
  </si>
  <si>
    <t>TC_ADMIN_585</t>
  </si>
  <si>
    <t>Verify success message after disabling subscription</t>
  </si>
  <si>
    <t>Ensure system confirms successful deactivation</t>
  </si>
  <si>
    <t>Subscription disabled</t>
  </si>
  <si>
    <t>1. Disable subscription
2. Save changes
3. Observe message</t>
  </si>
  <si>
    <t>uccess message displayed successfully</t>
  </si>
  <si>
    <t>TC_ADMIN_586</t>
  </si>
  <si>
    <t>Verify saving multiple subscription updates</t>
  </si>
  <si>
    <t>Ensure system saves multiple modified subscriptions together</t>
  </si>
  <si>
    <t>Admin on Email Subscription page</t>
  </si>
  <si>
    <t>1. Modify multiple subscriptions
2. Click Save</t>
  </si>
  <si>
    <t>Leave = Enabled
Recruitment = Disabled
Attendance = Enabled</t>
  </si>
  <si>
    <t>All changes saved successfully</t>
  </si>
  <si>
    <t>Updated states retained</t>
  </si>
  <si>
    <t>TC_ADMIN_587</t>
  </si>
  <si>
    <t>Verify authorization for Email Subscription page</t>
  </si>
  <si>
    <t>Ensure non-admin users cannot access Email Subscription page</t>
  </si>
  <si>
    <t>Non-admin user logged in</t>
  </si>
  <si>
    <t>1. Open Email Subscription URL directly</t>
  </si>
  <si>
    <t>Access denied message displayed</t>
  </si>
  <si>
    <t>Access blocked</t>
  </si>
  <si>
    <t>Access denied successfully</t>
  </si>
  <si>
    <t>TC_ADMIN_588</t>
  </si>
  <si>
    <t>Verify notification categories visibility</t>
  </si>
  <si>
    <t>Ensure notification categories displayed correctly</t>
  </si>
  <si>
    <t>1. Open page
2. Observe categories</t>
  </si>
  <si>
    <t>Leave / Recruitment / Performance / Employee / Attendance displayed</t>
  </si>
  <si>
    <t>Categories visible</t>
  </si>
  <si>
    <t>Categories displayed successfully</t>
  </si>
  <si>
    <t>TC_ADMIN_589</t>
  </si>
  <si>
    <t>Verify cancel subscription changes</t>
  </si>
  <si>
    <t>Ensure unsaved changes discarded after Cancel</t>
  </si>
  <si>
    <t>Saved subscription settings exist</t>
  </si>
  <si>
    <t>1. Modify subscription state
2. Click Cancel</t>
  </si>
  <si>
    <t>Previous settings restored</t>
  </si>
  <si>
    <t>Original values retained</t>
  </si>
  <si>
    <t>Previous values restored successfully</t>
  </si>
  <si>
    <t>TC_ADMIN_590</t>
  </si>
  <si>
    <t>Verify error handling during save failure</t>
  </si>
  <si>
    <t>Ensure system handles save failure without partial updates</t>
  </si>
  <si>
    <t>Admin changed subscription settings</t>
  </si>
  <si>
    <t>1. Modify subscriptions
2. Trigger save error (network/server issue)
3. Observe behavior</t>
  </si>
  <si>
    <t>Error displayed and incomplete updates rejected</t>
  </si>
  <si>
    <t>Previous settings retained</t>
  </si>
  <si>
    <t>Error handled correctly</t>
  </si>
  <si>
    <t>TC_ADMIN_591</t>
  </si>
  <si>
    <t>Verify subscription persistence across sessions</t>
  </si>
  <si>
    <t>Ensure saved subscriptions remain after relogin</t>
  </si>
  <si>
    <t>Subscriptions saved successfully</t>
  </si>
  <si>
    <t>1. Save changes
2. Logout
3. Login again
4. Open Email Subscription page</t>
  </si>
  <si>
    <t>Saved preferences remain unchanged</t>
  </si>
  <si>
    <t>Settings retained</t>
  </si>
  <si>
    <t>Settings retained successfull</t>
  </si>
  <si>
    <t>TC_ADMIN_592</t>
  </si>
  <si>
    <t>US_021</t>
  </si>
  <si>
    <t>Ensure Localization page opens without errors</t>
  </si>
  <si>
    <t>Ensure Localization page opens correctly without errors</t>
  </si>
  <si>
    <t>1. Navigate to Admin → Localization
2. Observe page loading behavior</t>
  </si>
  <si>
    <t>Localization page loads successfully without errors</t>
  </si>
  <si>
    <t>Localization page displayed successfully</t>
  </si>
  <si>
    <t>Localization page loaded successfully</t>
  </si>
  <si>
    <t>TC_ADMIN_593</t>
  </si>
  <si>
    <t>Verify Language setting field visibility</t>
  </si>
  <si>
    <t>Ensure Localization page displays current system language field</t>
  </si>
  <si>
    <t>Admin user on Localization page</t>
  </si>
  <si>
    <t>1. Open Localization page
2. Observe available settings fields</t>
  </si>
  <si>
    <t>Language field displayed successfully</t>
  </si>
  <si>
    <t>Language field visible</t>
  </si>
  <si>
    <t>TC_ADMIN_594</t>
  </si>
  <si>
    <t>Verify Date Format field visibility</t>
  </si>
  <si>
    <t>Ensure Localization page displays Date Format setting correctly</t>
  </si>
  <si>
    <t>Localization page opened successfully</t>
  </si>
  <si>
    <t>1. Open Localization page
2. Observe settings section</t>
  </si>
  <si>
    <t>Date Format field displayed successfully</t>
  </si>
  <si>
    <t>Date Format field visible</t>
  </si>
  <si>
    <t>TC_ADMIN_595</t>
  </si>
  <si>
    <t>Verify Localization preferences visibility</t>
  </si>
  <si>
    <t>Ensure all localization preferences are displayed correctly</t>
  </si>
  <si>
    <t>Admin on Localization page</t>
  </si>
  <si>
    <t>1. Open Localization page
2. Observe localization preferences section</t>
  </si>
  <si>
    <t>Localization preferences displayed successfully</t>
  </si>
  <si>
    <t>Preferences section visible</t>
  </si>
  <si>
    <t>TC_ADMIN_596</t>
  </si>
  <si>
    <t>Verify saved localization settings display correctly</t>
  </si>
  <si>
    <t>Ensure previously saved localization settings are loaded correctly when opening page</t>
  </si>
  <si>
    <t>Existing localization settings saved previously</t>
  </si>
  <si>
    <t>1. Open Localization page
2. Observe current values displayed</t>
  </si>
  <si>
    <t>Language: English
Date Format: YYYY-MM-DD</t>
  </si>
  <si>
    <t>Saved localization settings displayed correctly</t>
  </si>
  <si>
    <t>Current settings loaded successfully</t>
  </si>
  <si>
    <t>Saved settings displayed successfully</t>
  </si>
  <si>
    <t>TC_ADMIN_597</t>
  </si>
  <si>
    <t>TC_ADMIN_598</t>
  </si>
  <si>
    <t>Verify system language dropdown functionality</t>
  </si>
  <si>
    <t>Ensure Admin can view and select available system languages</t>
  </si>
  <si>
    <t>1. Navigate to Localization page
2. Open Language dropdown
3. Observe available languages
4. Select another language</t>
  </si>
  <si>
    <t>Language: English (United States)</t>
  </si>
  <si>
    <t>Language dropdown displayed successfully and selected language accepted</t>
  </si>
  <si>
    <t>New language selected successfully</t>
  </si>
  <si>
    <t>Language selected successfully</t>
  </si>
  <si>
    <t>TC_ADMIN_599</t>
  </si>
  <si>
    <t>Verify saving updated system language</t>
  </si>
  <si>
    <t>Ensure selected language can be saved successfully</t>
  </si>
  <si>
    <t>New language selected</t>
  </si>
  <si>
    <t>1. Select different language
2. Click Save button</t>
  </si>
  <si>
    <t>Selected language saved successfully</t>
  </si>
  <si>
    <t>Updated language stored</t>
  </si>
  <si>
    <t>Language saved successfully</t>
  </si>
  <si>
    <t>TC_ADMIN_600</t>
  </si>
  <si>
    <t>Verify success confirmation after language update</t>
  </si>
  <si>
    <t>Ensure success notification displayed after saving language changes</t>
  </si>
  <si>
    <t>Language modified successfully</t>
  </si>
  <si>
    <t>1. Select new language
2. Click Save
3. Observe notification message</t>
  </si>
  <si>
    <t>Success confirmation displayed successfully</t>
  </si>
  <si>
    <t>TC_ADMIN_601</t>
  </si>
  <si>
    <t>Verify enabled subscription persistence after refresh</t>
  </si>
  <si>
    <t>Ensure enabled email subscription remains active after page refresh</t>
  </si>
  <si>
    <t>Subscription enabled successfully</t>
  </si>
  <si>
    <t>1. Enable subscription
2. Save changes
3. Refresh browser page
4. Observe state</t>
  </si>
  <si>
    <t>Email Module: Leave Application Notifications</t>
  </si>
  <si>
    <t>Subscription remains enabled after refresh</t>
  </si>
  <si>
    <t>Enabled state retained</t>
  </si>
  <si>
    <t>Subscription remained enabled successfully</t>
  </si>
  <si>
    <t>TC_ADMIN_602</t>
  </si>
  <si>
    <t>Verify complete UI translation after changing system language</t>
  </si>
  <si>
    <t>Ensure all application sections are translated correctly after language update</t>
  </si>
  <si>
    <t>1. Change system language
2. Click Save
3. Navigate through application modules
4. Observe displayed language in different sections</t>
  </si>
  <si>
    <t>Language: French - Français</t>
  </si>
  <si>
    <t>Entire application interface should display selected language consistently without mixing languages</t>
  </si>
  <si>
    <t>Updated language applied system-wide</t>
  </si>
  <si>
    <t>Some UI sections remained in previous language while other sections changed successfully</t>
  </si>
  <si>
    <t>TC_ADMIN_603</t>
  </si>
  <si>
    <t>Verify full interface translation after language change</t>
  </si>
  <si>
    <t>Ensure application updates correctly after changing languag</t>
  </si>
  <si>
    <t>Language changed successfully</t>
  </si>
  <si>
    <t>1. Change language
2. Save changes
3. Navigate across pages</t>
  </si>
  <si>
    <t>Application translated correctly</t>
  </si>
  <si>
    <t>Updated language retained</t>
  </si>
  <si>
    <t>Application translated successfully</t>
  </si>
  <si>
    <t>TC_ADMIN_604</t>
  </si>
  <si>
    <t>Verify sidebar translation update</t>
  </si>
  <si>
    <t>Ensure sidebar reflects updated system language</t>
  </si>
  <si>
    <t>Language updated successfully</t>
  </si>
  <si>
    <t>1. Change language
2. Save configuration
3. Observe sidebar menu</t>
  </si>
  <si>
    <t>Sidebar displayed in selected language</t>
  </si>
  <si>
    <t>Sidebar updated successfully</t>
  </si>
  <si>
    <t>TC_ADMIN_605</t>
  </si>
  <si>
    <t>Verify header translation update</t>
  </si>
  <si>
    <t>Ensure page header updates after language change</t>
  </si>
  <si>
    <t>1. Change language
2. Save changes
3. Observe page header</t>
  </si>
  <si>
    <t>Header displayed in selected language</t>
  </si>
  <si>
    <t>Header updated successfully</t>
  </si>
  <si>
    <t>TC_ADMIN_606</t>
  </si>
  <si>
    <t>Verify success notification consistency</t>
  </si>
  <si>
    <t>Ensure success message displayed only when language change applied successfully</t>
  </si>
  <si>
    <t>Language update attempted</t>
  </si>
  <si>
    <t>1. Change language
2. Save changes
3. Observe UI and notification</t>
  </si>
  <si>
    <t>Success displayed only after actual update</t>
  </si>
  <si>
    <t>UI updated correctly</t>
  </si>
  <si>
    <t>TC_ADMIN_607</t>
  </si>
  <si>
    <t>Verify language retention across sessions</t>
  </si>
  <si>
    <t>Ensure selected language remains after logout/login cycle</t>
  </si>
  <si>
    <t>1. Change language
2. Save changes
3. Logout
4. Login again</t>
  </si>
  <si>
    <t>Selected language retained after login</t>
  </si>
  <si>
    <t>Language persisted successfully</t>
  </si>
  <si>
    <t>Language retained successfully</t>
  </si>
  <si>
    <t>TC_ADMIN_608</t>
  </si>
  <si>
    <t>Verify Date Format dropdown visibility</t>
  </si>
  <si>
    <t>Ensure Date Format field is displayed correctly on Localization page</t>
  </si>
  <si>
    <t>1. Navigate to Admin → Localization
2. Observe Date Format field</t>
  </si>
  <si>
    <t>Date Format dropdown displayed successfully</t>
  </si>
  <si>
    <t>TC_ADMIN_609</t>
  </si>
  <si>
    <t>Verify valid date format selection</t>
  </si>
  <si>
    <t>Ensure Admin can select supported date formats successfully</t>
  </si>
  <si>
    <t>Localization page opened</t>
  </si>
  <si>
    <t>1. Open Date Format dropdown
2. Select another date format</t>
  </si>
  <si>
    <t>DD-MM-YYYY</t>
  </si>
  <si>
    <t>Selected date format accepted successfully</t>
  </si>
  <si>
    <t>Date format selected successfully</t>
  </si>
  <si>
    <t>TC_ADMIN_610</t>
  </si>
  <si>
    <t>Verify saving updated Date Format</t>
  </si>
  <si>
    <t>Ensure selected date format is saved successfully</t>
  </si>
  <si>
    <t>1. Select date format
2. Click Save</t>
  </si>
  <si>
    <t>dd-mm-yyyy ( 19-05-2026 )</t>
  </si>
  <si>
    <t>Date format saved successfully</t>
  </si>
  <si>
    <t>Date format updated successfully</t>
  </si>
  <si>
    <t>TC_ADMIN_611</t>
  </si>
  <si>
    <t>Verify confirmation message after updating Date Format</t>
  </si>
  <si>
    <t>Ensure success message appears after saving Date Format changes</t>
  </si>
  <si>
    <t>1. Select another format
2. Click Save
3. Observe notification</t>
  </si>
  <si>
    <t>MM/DD/YYYY</t>
  </si>
  <si>
    <t>TC_ADMIN_612</t>
  </si>
  <si>
    <t>Verify system-wide date format application</t>
  </si>
  <si>
    <t>Ensure updated Date Format appears across application pages</t>
  </si>
  <si>
    <t>1. Change date format
2. Save configuration
3. Navigate through modules
4. Observe displayed dates</t>
  </si>
  <si>
    <t>All dates displayed using updated format</t>
  </si>
  <si>
    <t>Date format applied globally</t>
  </si>
  <si>
    <t>Date format applied successfully</t>
  </si>
  <si>
    <t>TC_ADMIN_613</t>
  </si>
  <si>
    <t>Verify Date Format persistence after refresh</t>
  </si>
  <si>
    <t>Ensure selected Date Format remains after refreshing page</t>
  </si>
  <si>
    <t>1. Change Date Format
2. Save changes
3. Refresh page</t>
  </si>
  <si>
    <t>YYYY/MM/DD</t>
  </si>
  <si>
    <t>Selected Date Format remains active after refresh</t>
  </si>
  <si>
    <t>Date format retained successfully</t>
  </si>
  <si>
    <t>TC_ADMIN_614</t>
  </si>
  <si>
    <t>Verify same Date Format displayed across all modules</t>
  </si>
  <si>
    <t>Ensure all system modules display dates using the configured Date Format</t>
  </si>
  <si>
    <t>Date Format updated and saved successfully</t>
  </si>
  <si>
    <t>1. Change Date Format
2. Click Save
3. Navigate through multiple modules (Dashboard, PIM, Leave, Admin)
4. Observe displayed dates</t>
  </si>
  <si>
    <t>Date Format: DD-MM-YYYY</t>
  </si>
  <si>
    <t>All modules display dates using the same configured format</t>
  </si>
  <si>
    <t>Date format remains consistent system-wide</t>
  </si>
  <si>
    <t>Date format displayed consistently across all module</t>
  </si>
  <si>
    <t>TC_ADMIN_615</t>
  </si>
  <si>
    <t>Verify pages reflect updated Date Format</t>
  </si>
  <si>
    <t>Ensure all pages use the updated Date Format after saving changes</t>
  </si>
  <si>
    <t>Date Format saved successfully</t>
  </si>
  <si>
    <t>1. Update Date Format
2. Save changes
3. Open different pages
4. Observe date values</t>
  </si>
  <si>
    <t>Date Format: YYYY/MM/DD</t>
  </si>
  <si>
    <t>All pages display dates using updated format</t>
  </si>
  <si>
    <t>Date format applied correctly across pages</t>
  </si>
  <si>
    <t>Updated Date Format displayed successfully on all pages</t>
  </si>
  <si>
    <t>TC_ADMIN_616</t>
  </si>
  <si>
    <t>Verify uniform Date Format usage across application</t>
  </si>
  <si>
    <t>Ensure application does not display mixed date formats after update</t>
  </si>
  <si>
    <t>Date Format updated successfully</t>
  </si>
  <si>
    <t>1. Change Date Format
2. Save configuration
3. Navigate through system modules
4. Compare displayed date values</t>
  </si>
  <si>
    <t>Date Format: MM/DD/YYYY</t>
  </si>
  <si>
    <t>Single Date Format used consistently across all modules</t>
  </si>
  <si>
    <t>No mixed date formats displayed</t>
  </si>
  <si>
    <t>Date format remained consistent successfully</t>
  </si>
  <si>
    <t>TC_ADMIN_617</t>
  </si>
  <si>
    <t>Verify Localization page access restriction for non-admin users</t>
  </si>
  <si>
    <t>Ensure non-admin users cannot access Localization page directly</t>
  </si>
  <si>
    <t>Non-admin user logged into system</t>
  </si>
  <si>
    <t>1. Copy Localization page URL
2. Login using non-admin account
3. Paste Localization URL in browser
4. Observe system behavior</t>
  </si>
  <si>
    <t>User Role: ESS User (Non-admin)</t>
  </si>
  <si>
    <t>System denies access to Localization page</t>
  </si>
  <si>
    <t>Localization page remains inaccessible</t>
  </si>
  <si>
    <t>TC_ADMIN_618</t>
  </si>
  <si>
    <t>Verify authorization message for Localization access restriction</t>
  </si>
  <si>
    <t>Ensure system displays authorization message when non-admin accesses Localization page</t>
  </si>
  <si>
    <t>Non-admin user attempts Localization access</t>
  </si>
  <si>
    <t>1. Login as non-admin user
2. Open Localization URL
3. Observe displayed message</t>
  </si>
  <si>
    <t>User Role: ESS User</t>
  </si>
  <si>
    <t>Authorization / Access Denied message displayed successfully</t>
  </si>
  <si>
    <t>Unauthorized access blocked</t>
  </si>
  <si>
    <t>Authorization message displayed successfully</t>
  </si>
  <si>
    <t>TC_ADMIN_619</t>
  </si>
  <si>
    <t>Verify Language dropdown visibility on Localization page</t>
  </si>
  <si>
    <t>Ensure Language dropdown is visible when Localization page loads</t>
  </si>
  <si>
    <t>1. Navigate to Admin → Localization
2. Observe Language field</t>
  </si>
  <si>
    <t>Language dropdown displayed successfully</t>
  </si>
  <si>
    <t>TC_ADMIN_620</t>
  </si>
  <si>
    <t>Verify supported system languages visibility</t>
  </si>
  <si>
    <t>Ensure all supported system languages are displayed in dropdown list</t>
  </si>
  <si>
    <t>1. Open Language dropdown
2. Observe available languages</t>
  </si>
  <si>
    <t>Example Languages: English, China, French, German (according to system configuration)</t>
  </si>
  <si>
    <t>All supported system languages displayed successfully</t>
  </si>
  <si>
    <t>Supported languages available for selection</t>
  </si>
  <si>
    <t>Languages displayed successfully</t>
  </si>
  <si>
    <t>TC_ADMIN_621</t>
  </si>
  <si>
    <t>Verify complete loading of supported languages list</t>
  </si>
  <si>
    <t>Ensure dropdown loads complete language list without missing entries</t>
  </si>
  <si>
    <t>1. Open Language dropdown
2. Scroll through complete list
3. Observe entries</t>
  </si>
  <si>
    <t>Complete supported language list displayed without missing values</t>
  </si>
  <si>
    <t>Language list loaded successfully</t>
  </si>
  <si>
    <t>All supported languages loaded successfully</t>
  </si>
  <si>
    <t>TC_ADMIN_622</t>
  </si>
  <si>
    <t>Verify Arabic language availability in Localization dropdown</t>
  </si>
  <si>
    <t>Ensure Arabic language appears in supported system languages list</t>
  </si>
  <si>
    <t>1. Navigate to Admin → Localization
2. Open Language dropdown list
3. Search for Arabic language option
4. Observe available languages</t>
  </si>
  <si>
    <t>Language: Arabic</t>
  </si>
  <si>
    <t>Arabic language should be displayed in supported languages list and available for selection</t>
  </si>
  <si>
    <t>Arabic language available successfully</t>
  </si>
  <si>
    <t>Arabic language was not displayed in supported languages list</t>
  </si>
  <si>
    <t xml:space="preserve">High </t>
  </si>
  <si>
    <t>TC_ADMIN_623</t>
  </si>
  <si>
    <t>Verify error handling during Localization save failure</t>
  </si>
  <si>
    <t>Ensure system displays appropriate error message when save operation fails</t>
  </si>
  <si>
    <t>Localization settings modified</t>
  </si>
  <si>
    <t>1. Modify Localization settings
2. Trigger server/system failure (network interruption / backend failure)
3. Click Save
4. Observe system behavior</t>
  </si>
  <si>
    <t>Language: English → German
Date Format: DD-MM-YYYY</t>
  </si>
  <si>
    <t>Appropriate error message displayed successfully</t>
  </si>
  <si>
    <t>Save operation rejected successfully</t>
  </si>
  <si>
    <t>Error handled successfully</t>
  </si>
  <si>
    <t>TC_ADMIN_624</t>
  </si>
  <si>
    <t>Verify incomplete Localization changes rollback</t>
  </si>
  <si>
    <t>Ensure incomplete localization updates are not applied when save fails</t>
  </si>
  <si>
    <t>Localization changes pending</t>
  </si>
  <si>
    <t>1. Modify Language and Date Format
2. Trigger save failure
3. Observe current settings</t>
  </si>
  <si>
    <t>Language: German
Date Format: YYYY/MM/DD</t>
  </si>
  <si>
    <t>Incomplete changes should not be applied</t>
  </si>
  <si>
    <t>Previous settings remained successfully</t>
  </si>
  <si>
    <t>TC_ADMIN_625</t>
  </si>
  <si>
    <t>Verify retention of previous Localization settings after failure</t>
  </si>
  <si>
    <t>Ensure existing localization settings remain unchanged after save error</t>
  </si>
  <si>
    <t>Existing Localization settings saved previously</t>
  </si>
  <si>
    <t>1. Modify settings
2. Trigger save failure
3. Refresh page
4. Observe values</t>
  </si>
  <si>
    <t>Language: Arabic
Date Format: DD-MM-YYYY</t>
  </si>
  <si>
    <t>Previously saved settings remain unchanged</t>
  </si>
  <si>
    <t>Localization retained successfully</t>
  </si>
  <si>
    <t>TC_ADMIN_626</t>
  </si>
  <si>
    <t>US_22</t>
  </si>
  <si>
    <t>Verify Language Packages page displays all installed packages</t>
  </si>
  <si>
    <t>Verify Admin can view all installed language packages on Language Packages page</t>
  </si>
  <si>
    <t>Admin is logged into OrangeHRM</t>
  </si>
  <si>
    <t>1. Navigate to Admin &gt; Configuration &gt; Language Packages
2. Observe page content</t>
  </si>
  <si>
    <t>Page displays all installed language packages with Name, Status, and Translation Progress</t>
  </si>
  <si>
    <t>Language Packages page loaded with list of packages</t>
  </si>
  <si>
    <t>TC_ADMIN_627</t>
  </si>
  <si>
    <t>Verify Admin can add/install a new language package</t>
  </si>
  <si>
    <t>Verify Admin can successfully install a new language package</t>
  </si>
  <si>
    <t>Admin on Language Packages page; package not yet installed</t>
  </si>
  <si>
    <t>1. Click 'Add' button
2. Select a language to install
3. Click Save/Install</t>
  </si>
  <si>
    <t>Language: French (fr)</t>
  </si>
  <si>
    <t>Language package installed successfully; success message displayed; package appears in list</t>
  </si>
  <si>
    <t>New package in list</t>
  </si>
  <si>
    <t>Language package added and listed</t>
  </si>
  <si>
    <t>TC_ADMIN_628</t>
  </si>
  <si>
    <t>Verify system prevents installing an already-installed language package</t>
  </si>
  <si>
    <t>Verify system prevents installing a duplicate language package</t>
  </si>
  <si>
    <t>A language package is already installed</t>
  </si>
  <si>
    <t>1. Attempt to install an already installed language package
2. Observe result</t>
  </si>
  <si>
    <t>Already installed language</t>
  </si>
  <si>
    <t>System displays warning message; duplicate installation prevented</t>
  </si>
  <si>
    <t>No duplicate installed</t>
  </si>
  <si>
    <t>Warning message not shown; system allows duplicate install attempt</t>
  </si>
  <si>
    <t>TC_ADMIN_629</t>
  </si>
  <si>
    <t>Verify Admin can update an existing language package</t>
  </si>
  <si>
    <t>Verify Admin can update a language package from the list</t>
  </si>
  <si>
    <t>An updatable language package is installed</t>
  </si>
  <si>
    <t>1. Select language package with available update
2. Click Update
3. Confirm update</t>
  </si>
  <si>
    <t>Language with pending update</t>
  </si>
  <si>
    <t>Language package updated successfully; update confirmation shown</t>
  </si>
  <si>
    <t>Updated package in list</t>
  </si>
  <si>
    <t>Update confirmation shown; package updated</t>
  </si>
  <si>
    <t>TC_ADMIN_630</t>
  </si>
  <si>
    <t>Verify Admin can delete a non-default language package</t>
  </si>
  <si>
    <t>Verify Admin can remove a non-default language package</t>
  </si>
  <si>
    <t>A non-default language package is installed</t>
  </si>
  <si>
    <t>1. Select a non-default language package
2. Click Delete
3. Confirm deletion</t>
  </si>
  <si>
    <t>Non-default language package</t>
  </si>
  <si>
    <t>Language package deleted; removed from list; success message shown</t>
  </si>
  <si>
    <t>Package removed from list</t>
  </si>
  <si>
    <t>Package deleted successfully</t>
  </si>
  <si>
    <t>TC_ADMIN_631</t>
  </si>
  <si>
    <t>Verify system prevents deleting the default language package</t>
  </si>
  <si>
    <t>Verify system blocks deletion of the default/system language package</t>
  </si>
  <si>
    <t>Default language package is installed</t>
  </si>
  <si>
    <t>1. Attempt to delete the default language package
2. Observe result</t>
  </si>
  <si>
    <t>Default language: English</t>
  </si>
  <si>
    <t>System blocks deletion; displays error or warning message</t>
  </si>
  <si>
    <t>Default package remains</t>
  </si>
  <si>
    <t>Delete option not available or blocked with error message</t>
  </si>
  <si>
    <t>TC_ADMIN_632</t>
  </si>
  <si>
    <t>Verify search functionality for language packages</t>
  </si>
  <si>
    <t>Verify Admin can search for a language package by name</t>
  </si>
  <si>
    <t>Multiple language packages are installed</t>
  </si>
  <si>
    <t>1. Enter language name in search field
2. Submit search</t>
  </si>
  <si>
    <t>Search term: 'Arabic'</t>
  </si>
  <si>
    <t>Only matching language packages are displayed</t>
  </si>
  <si>
    <t>Search results shown</t>
  </si>
  <si>
    <t>Search returns matching packages</t>
  </si>
  <si>
    <t>TC_ADMIN_633</t>
  </si>
  <si>
    <t>Verify search shows no results when no match found</t>
  </si>
  <si>
    <t>Verify behavior when searching for non-existent language package</t>
  </si>
  <si>
    <t>Admin is on Language Packages page</t>
  </si>
  <si>
    <t>1. Enter non-existent language name in search
2. Submit search</t>
  </si>
  <si>
    <t>Search term: 'XYZLang123'</t>
  </si>
  <si>
    <t>No results message displayed (e.g., 'No Records Found')</t>
  </si>
  <si>
    <t>Empty results shown</t>
  </si>
  <si>
    <t>No Records Found message displayed</t>
  </si>
  <si>
    <t>TC_ADMIN_634</t>
  </si>
  <si>
    <t>Verify non-admin users cannot access Language Packages page</t>
  </si>
  <si>
    <t>Verify non-admin users are denied access to Language Packages page</t>
  </si>
  <si>
    <t>1. Navigate to Admin &gt; Language Packages URL
2. Observe result</t>
  </si>
  <si>
    <t>Access denied; redirected to home page</t>
  </si>
  <si>
    <t>TC_ADMIN_635</t>
  </si>
  <si>
    <t>Verify language package data persists after page refresh</t>
  </si>
  <si>
    <t>Verify installed packages are retained after refreshing the page</t>
  </si>
  <si>
    <t>Admin has installed a new language package</t>
  </si>
  <si>
    <t>1. Install a language package
2. Refresh the page
3. Verify package list</t>
  </si>
  <si>
    <t>Installed language package appears in list after page refresh</t>
  </si>
  <si>
    <t>Data persisted</t>
  </si>
  <si>
    <t>Package visible after refresh</t>
  </si>
  <si>
    <t>TC_ADMIN_636</t>
  </si>
  <si>
    <t>Verify language packages persist after logout and re-login</t>
  </si>
  <si>
    <t>Verify language package settings are retained after Admin logs out and back in</t>
  </si>
  <si>
    <t>Admin has installed a language package</t>
  </si>
  <si>
    <t>1. Install language package
2. Logout
3. Login again
4. Check Language Packages</t>
  </si>
  <si>
    <t>All installed packages are visible after re-login</t>
  </si>
  <si>
    <t>Packages visible after re-login</t>
  </si>
  <si>
    <t>TC_ADMIN_637</t>
  </si>
  <si>
    <t>Verify error handling when language package installation fails</t>
  </si>
  <si>
    <t>Verify clear error message shown when installation fails</t>
  </si>
  <si>
    <t>Admin attempting to install package; simulated network failure</t>
  </si>
  <si>
    <t>1. Initiate package installation
2. Simulate failure (disconnect network)
3. Observe result</t>
  </si>
  <si>
    <t>Network interruption during install</t>
  </si>
  <si>
    <t>System displays appropriate error message; no corrupted/partial package installed</t>
  </si>
  <si>
    <t>No corrupt data</t>
  </si>
  <si>
    <t>Error message displayed; no partial install</t>
  </si>
  <si>
    <t>TC_ADMIN_638</t>
  </si>
  <si>
    <t>Verify all required columns shown in Language Packages list</t>
  </si>
  <si>
    <t>Verify Language Name, Status, and Translation Progress columns are visible</t>
  </si>
  <si>
    <t>1. Navigate to Language Packages page
2. Check column headers</t>
  </si>
  <si>
    <t>Columns: Language Name, Package Status, Translation Progress, Actions are visible</t>
  </si>
  <si>
    <t>All required columns visible</t>
  </si>
  <si>
    <t>TC_ADMIN_639</t>
  </si>
  <si>
    <t>Verify validation when no language selected during add</t>
  </si>
  <si>
    <t>Verify system shows error if Admin submits add form without selecting a language</t>
  </si>
  <si>
    <t>Admin on Language Packages page; Add dialog is open</t>
  </si>
  <si>
    <t>1. Click 'Add' button
2. Leave language selection empty
3. Click Save</t>
  </si>
  <si>
    <t>Empty selection</t>
  </si>
  <si>
    <t>Validation error shown; system does not allow empty language installation</t>
  </si>
  <si>
    <t>Error shown; no package added</t>
  </si>
  <si>
    <t>Required field validation shown</t>
  </si>
  <si>
    <t>TC_ADMIN_640</t>
  </si>
  <si>
    <t>Verify confirmation dialog appears before deleting a language package</t>
  </si>
  <si>
    <t>Verify confirmation dialog appears when deleting a language package</t>
  </si>
  <si>
    <t>Admin on Language Packages page with non-default package installed</t>
  </si>
  <si>
    <t>1. Click Delete for a language package
2. Observe confirmation dialog</t>
  </si>
  <si>
    <t>Confirmation dialog appears with 'Confirm' and 'Cancel' options</t>
  </si>
  <si>
    <t>Confirmation dialog appeared</t>
  </si>
  <si>
    <t>TC_ADMIN_641</t>
  </si>
  <si>
    <t>Verify Cancel on delete confirmation keeps package intact</t>
  </si>
  <si>
    <t>Verify clicking Cancel on delete confirmation dialog keeps the package</t>
  </si>
  <si>
    <t>Admin clicked Delete on a language package</t>
  </si>
  <si>
    <t>1. Click Delete for package
2. Click 'Cancel' on confirmation dialog
3. Verify package still exists</t>
  </si>
  <si>
    <t>Package not deleted; remains in the list</t>
  </si>
  <si>
    <t>Package still present</t>
  </si>
  <si>
    <t>Cancel works; package not deleted</t>
  </si>
  <si>
    <t>TC_ADMIN_642</t>
  </si>
  <si>
    <t>Verify translation progress displayed as percentage</t>
  </si>
  <si>
    <t>Verify translation progress is shown as percentage in packages list</t>
  </si>
  <si>
    <t>1. Navigate to Language Packages page
2. Observe Translation Progress column</t>
  </si>
  <si>
    <t>Translation progress displayed as a percentage value (e.g., 85%)</t>
  </si>
  <si>
    <t>Progress shown as percentage</t>
  </si>
  <si>
    <t>TC_ADMIN_643</t>
  </si>
  <si>
    <t>Verify Language Packages page loads within 3 seconds</t>
  </si>
  <si>
    <t>Verify Language Packages page loads in acceptable time</t>
  </si>
  <si>
    <t>Admin is logged in</t>
  </si>
  <si>
    <t>1. Navigate to Language Packages page
2. Measure load time</t>
  </si>
  <si>
    <t>Standard network</t>
  </si>
  <si>
    <t>Page loads within 3 seconds</t>
  </si>
  <si>
    <t>Page loaded in under 3 seconds</t>
  </si>
  <si>
    <t>TC_ADMIN_644</t>
  </si>
  <si>
    <t>Verify Add button is present on Language Packages page</t>
  </si>
  <si>
    <t>Verify the 'Add' button is visible on Language Packages page</t>
  </si>
  <si>
    <t>1. Navigate to Language Packages page
2. Observe page controls</t>
  </si>
  <si>
    <t>Add button is visible and clickable</t>
  </si>
  <si>
    <t>Add button visible</t>
  </si>
  <si>
    <t>TC_ADMIN_645</t>
  </si>
  <si>
    <t>Verify Admin can edit labels of a language package</t>
  </si>
  <si>
    <t>Verify Admin can open and edit labels within a language package</t>
  </si>
  <si>
    <t>1. Click Edit/View on a language package
2. Modify a label/translation
3. Save</t>
  </si>
  <si>
    <t>Modified translation string</t>
  </si>
  <si>
    <t>Label saved successfully; changes reflected in package</t>
  </si>
  <si>
    <t>Updated label saved</t>
  </si>
  <si>
    <t>Labels editable and saved</t>
  </si>
  <si>
    <t>TC_ADMIN_646</t>
  </si>
  <si>
    <t>Verify installed language appears in user language settings</t>
  </si>
  <si>
    <t>Verify newly installed language becomes available in user language preference settings</t>
  </si>
  <si>
    <t>1. Navigate to My Info or User Preferences
2. Check available languages</t>
  </si>
  <si>
    <t>Newly installed language</t>
  </si>
  <si>
    <t>Newly installed language appears in language preference dropdown</t>
  </si>
  <si>
    <t>Installed language visible in preferences</t>
  </si>
  <si>
    <t>TC_ADMIN_647</t>
  </si>
  <si>
    <t>Verify language package status is shown as Enabled/Disabled</t>
  </si>
  <si>
    <t>Verify status column correctly shows Enabled/Disabled for each package</t>
  </si>
  <si>
    <t>1. View Language Packages list
2. Check Status column for each package</t>
  </si>
  <si>
    <t>Status clearly shows Enabled or Disabled for each package</t>
  </si>
  <si>
    <t>Status column displays correctly</t>
  </si>
  <si>
    <t>TC_ADMIN_648</t>
  </si>
  <si>
    <t>Verify language package search is case-insensitive</t>
  </si>
  <si>
    <t>Verify searching in different cases returns same results</t>
  </si>
  <si>
    <t>1. Search 'arabic'
2. Search 'Arabic'
3. Search 'ARABIC'
4. Compare results</t>
  </si>
  <si>
    <t>Search terms: arabic, Arabic, ARABIC</t>
  </si>
  <si>
    <t>All three searches return identical matching results</t>
  </si>
  <si>
    <t>Case-insensitive search returns same results</t>
  </si>
  <si>
    <t>TC_ADMIN_649</t>
  </si>
  <si>
    <t>Verify Add dialog closes when Cancel is clicked</t>
  </si>
  <si>
    <t>Verify clicking Cancel in Add Language Package dialog closes it without adding</t>
  </si>
  <si>
    <t>Admin clicked Add on Language Packages page</t>
  </si>
  <si>
    <t>1. Click 'Add' button
2. Observe dialog
3. Click 'Cancel'</t>
  </si>
  <si>
    <t>Dialog closes; no language package added; list unchanged</t>
  </si>
  <si>
    <t>No package added</t>
  </si>
  <si>
    <t>Dialog closed; no package added</t>
  </si>
  <si>
    <t>TC_ADMIN_650</t>
  </si>
  <si>
    <t>Verify direct URL access to Language Packages requires authentication</t>
  </si>
  <si>
    <t>Verify accessing Language Packages URL without login redirects to login page</t>
  </si>
  <si>
    <t>1. Directly navigate to Language Packages URL
2. Observe result</t>
  </si>
  <si>
    <t>URL: /web/index.php/admin/languagePackage</t>
  </si>
  <si>
    <t>User redirected to login page</t>
  </si>
  <si>
    <t>Redirected to login</t>
  </si>
  <si>
    <t>TC_ADMIN_651</t>
  </si>
  <si>
    <t>Verify language packages are listed in alphabetical order</t>
  </si>
  <si>
    <t>Verify that the language packages list is sorted alphabetically by language name by default</t>
  </si>
  <si>
    <t>1. Navigate to Language Packages page
2. Observe the order of packages in the list</t>
  </si>
  <si>
    <t>Language packages are displayed in alphabetical order (A-Z) by default</t>
  </si>
  <si>
    <t>Language packages list is not sorted alphabetically — listed in install order</t>
  </si>
  <si>
    <t>TC_ADMIN_652</t>
  </si>
  <si>
    <t>Verify Arabic language package applies RTL layout</t>
  </si>
  <si>
    <t>Verify that after installing and selecting Arabic language, the UI switches to Right-to-Left (RTL) layout</t>
  </si>
  <si>
    <t>Arabic language package is installed; user sets Arabic as their preferred language</t>
  </si>
  <si>
    <t>1. Install Arabic language package
2. Change user language preference to Arabic
3. Observe UI layout</t>
  </si>
  <si>
    <t>UI switches to RTL layout; text and elements aligned from right to left</t>
  </si>
  <si>
    <t>UI does not fully switch to RTL after selecting Arabic; some elements remain LTR</t>
  </si>
  <si>
    <t>TC_ADMIN_653</t>
  </si>
  <si>
    <t>Verify multiple language packages can be installed without conflict</t>
  </si>
  <si>
    <t>Verify that installing multiple language packages does not cause conflicts</t>
  </si>
  <si>
    <t>1. Install French language package
2. Install Spanish language package
3. Install German language package
4. Verify all three are listed</t>
  </si>
  <si>
    <t>Languages: French, Spanish, German</t>
  </si>
  <si>
    <t>All three language packages installed successfully; all appear in the list</t>
  </si>
  <si>
    <t>All packages present</t>
  </si>
  <si>
    <t>Multiple language packages installed without conflict</t>
  </si>
  <si>
    <t>TC_ADMIN_654</t>
  </si>
  <si>
    <t>Verify Admin can enable and disable an installed language package</t>
  </si>
  <si>
    <t>Verify that Admin can toggle the status of an installed language package between Enabled and Disabled</t>
  </si>
  <si>
    <t>A non-default language package is installed and enabled</t>
  </si>
  <si>
    <t>1. Select an installed language package
2. Disable it and save
3. Re-enable it and save</t>
  </si>
  <si>
    <t>Language package status toggles correctly between Enabled and Disabled</t>
  </si>
  <si>
    <t>Package status updated</t>
  </si>
  <si>
    <t>Enable/Disable toggle works correctly for language packages</t>
  </si>
  <si>
    <t>TC_ADMIN_655</t>
  </si>
  <si>
    <t>Verify language labels with special characters display correctly</t>
  </si>
  <si>
    <t>Verify that translated labels containing special/accented characters display correctly in the UI</t>
  </si>
  <si>
    <t>A language package with special characters (e.g., French accents: é, à, ç) is installed</t>
  </si>
  <si>
    <t>1. Install French language package
2. Set UI to French
3. Observe page labels and menu items</t>
  </si>
  <si>
    <t>Language: French</t>
  </si>
  <si>
    <t>All special characters (é, à, ç, ü, ñ) display correctly without corruption or encoding issues</t>
  </si>
  <si>
    <t>Special characters display correctly in UI after language switch</t>
  </si>
  <si>
    <t>TC_ADMIN_656</t>
  </si>
  <si>
    <t>Verify switching to a new language changes UI labels correctly</t>
  </si>
  <si>
    <t>Verify that switching to an installed language properly translates all page labels</t>
  </si>
  <si>
    <t>A non-English language package is installed and selected</t>
  </si>
  <si>
    <t>1. Install French language package
2. Switch user UI language to French
3. Verify all menu labels and buttons are in French</t>
  </si>
  <si>
    <t>All main navigation labels and button text are translated to French</t>
  </si>
  <si>
    <t>Main navigation and page labels translated correctly after switching language</t>
  </si>
  <si>
    <t>TC_ADMIN_657</t>
  </si>
  <si>
    <t>Verify language name shown in its native script</t>
  </si>
  <si>
    <t>Verify that language packages display their name in both English and their native script (e.g., Arabic: عربي)</t>
  </si>
  <si>
    <t>1. Navigate to Language Packages page
2. Observe language name column</t>
  </si>
  <si>
    <t>Language names displayed in both English and native script where applicable</t>
  </si>
  <si>
    <t>Language names display in English only; no native script visible</t>
  </si>
  <si>
    <t>TC_ADMIN_658</t>
  </si>
  <si>
    <t>Verify language package version is displayed in the list</t>
  </si>
  <si>
    <t>Verify that language package version information is visible in the packages list</t>
  </si>
  <si>
    <t>1. Navigate to Language Packages page
2. Check for version column or version info</t>
  </si>
  <si>
    <t>Version information is visible for each installed language package</t>
  </si>
  <si>
    <t>No version information displayed in Language Packages list</t>
  </si>
  <si>
    <t>TC_ADMIN_659</t>
  </si>
  <si>
    <t>Verify Language Packages page is responsive on mobile/tablet</t>
  </si>
  <si>
    <t>Verify that the Language Packages page renders correctly on mobile screen sizes</t>
  </si>
  <si>
    <t>Admin is logged in; browser resized to mobile viewport (375px width)</t>
  </si>
  <si>
    <t>1. Open Developer Tools
2. Resize browser to 375px width
3. Navigate to Language Packages page
4. Observe layout</t>
  </si>
  <si>
    <t>Viewport: 375px (mobile)</t>
  </si>
  <si>
    <t>Page renders correctly; all columns visible or properly stacked; no horizontal scroll</t>
  </si>
  <si>
    <t>Page layout adjusts correctly for mobile view</t>
  </si>
  <si>
    <t>TC_ADMIN_660</t>
  </si>
  <si>
    <t>Verify deleted language no longer appears in user language preferences</t>
  </si>
  <si>
    <t>Verify that after deleting a language package, it no longer appears in user language preference dropdown</t>
  </si>
  <si>
    <t>1. Delete a non-default language package
2. Navigate to user language preferences
3. Check dropdown</t>
  </si>
  <si>
    <t>Deleted language package</t>
  </si>
  <si>
    <t>Deleted language no longer appears in user language preference dropdown</t>
  </si>
  <si>
    <t>Deleted language still appears in user preference dropdown until page refresh</t>
  </si>
  <si>
    <t>TC_ADMIN_661</t>
  </si>
  <si>
    <t>Verify language package search returns results for partial name matches</t>
  </si>
  <si>
    <t>Verify that searching with a partial language name returns correct matching results</t>
  </si>
  <si>
    <t>Multiple language packages installed</t>
  </si>
  <si>
    <t>1. Search with partial name 'Ara' (partial for 'Arabic')
2. Observe results</t>
  </si>
  <si>
    <t>Search term: 'Ara'</t>
  </si>
  <si>
    <t>Search results include 'Arabic' and any other language containing 'Ara'</t>
  </si>
  <si>
    <t>Partial search returns matching results correctly</t>
  </si>
  <si>
    <t>TC_ADMIN_662</t>
  </si>
  <si>
    <t>Verify bulk selection and action on language packages</t>
  </si>
  <si>
    <t>Verify that Admin can select multiple language packages and perform bulk actions (e.g., delete)</t>
  </si>
  <si>
    <t>Multiple non-default language packages are installed</t>
  </si>
  <si>
    <t>1. Select multiple language packages using checkboxes
2. Use bulk Delete action
3. Confirm deletion</t>
  </si>
  <si>
    <t>Multiple non-default language packages</t>
  </si>
  <si>
    <t>All selected language packages are deleted; list updated accordingly</t>
  </si>
  <si>
    <t>All selected removed</t>
  </si>
  <si>
    <t>Bulk delete functionality works correctly</t>
  </si>
  <si>
    <t>TC_ADMIN_663</t>
  </si>
  <si>
    <t>US_23</t>
  </si>
  <si>
    <t>Verify Modules page displays all available system modules</t>
  </si>
  <si>
    <t>Verify Admin can view all available system modules on Modules page</t>
  </si>
  <si>
    <t>1. Navigate to Admin &gt; Configuration &gt; Modules
2. Observe page content</t>
  </si>
  <si>
    <t>Page displays all modules with Name, Status, and Description</t>
  </si>
  <si>
    <t>Modules page loaded with full list of modules</t>
  </si>
  <si>
    <t>TC_ADMIN_664</t>
  </si>
  <si>
    <t>Verify Admin can enable a disabled module</t>
  </si>
  <si>
    <t>Verify Admin can successfully enable a disabled module</t>
  </si>
  <si>
    <t>At least one module is disabled</t>
  </si>
  <si>
    <t>1. Locate a disabled module
2. Toggle to Enabled
3. Click Save</t>
  </si>
  <si>
    <t>Disabled module</t>
  </si>
  <si>
    <t>Module enabled; success confirmation message displayed</t>
  </si>
  <si>
    <t>Module enabled</t>
  </si>
  <si>
    <t>Module enabled successfully with success message</t>
  </si>
  <si>
    <t>TC_ADMIN_665</t>
  </si>
  <si>
    <t>Verify Admin can disable an enabled module</t>
  </si>
  <si>
    <t>Verify Admin can successfully disable an active module</t>
  </si>
  <si>
    <t>At least one non-core module is enabled</t>
  </si>
  <si>
    <t>1. Locate an enabled module
2. Toggle to Disabled
3. Click Save</t>
  </si>
  <si>
    <t>Enabled module</t>
  </si>
  <si>
    <t>Module disabled; success confirmation message displayed</t>
  </si>
  <si>
    <t>Module disabled</t>
  </si>
  <si>
    <t>Module disabled successfully with success message</t>
  </si>
  <si>
    <t>TC_ADMIN_666</t>
  </si>
  <si>
    <t>Verify module configuration persists after page refresh</t>
  </si>
  <si>
    <t>Verify saved module configurations are retained after refreshing the page</t>
  </si>
  <si>
    <t>Admin has saved module configuration changes</t>
  </si>
  <si>
    <t>1. Enable/disable a module and Save
2. Refresh the page
3. Verify module status</t>
  </si>
  <si>
    <t>Module status is retained after page refresh</t>
  </si>
  <si>
    <t>Status persisted</t>
  </si>
  <si>
    <t>Module status retained after refresh</t>
  </si>
  <si>
    <t>TC_ADMIN_667</t>
  </si>
  <si>
    <t>Verify module configuration persists after logout and re-login</t>
  </si>
  <si>
    <t>Verify module settings are retained after Admin logs out and back in</t>
  </si>
  <si>
    <t>1. Save module changes
2. Logout
3. Login again
4. Check Modules page</t>
  </si>
  <si>
    <t>Saved module configurations retained after re-login</t>
  </si>
  <si>
    <t>Module status retained after re-login</t>
  </si>
  <si>
    <t>TC_ADMIN_668</t>
  </si>
  <si>
    <t>Verify users cannot access a disabled module</t>
  </si>
  <si>
    <t>Verify disabling a module prevents users from accessing it</t>
  </si>
  <si>
    <t>A module has been disabled by Admin</t>
  </si>
  <si>
    <t>1. Disable a module (e.g., Performance)
2. Login as regular user
3. Check if module is accessible</t>
  </si>
  <si>
    <t>Module is inaccessible; menu option hidden or disabled</t>
  </si>
  <si>
    <t>Module hidden</t>
  </si>
  <si>
    <t>Module hidden from user menu after disabling</t>
  </si>
  <si>
    <t>TC_ADMIN_669</t>
  </si>
  <si>
    <t>Verify non-admin users cannot access Modules page</t>
  </si>
  <si>
    <t>Verify non-admin users are denied access to Modules management page</t>
  </si>
  <si>
    <t>1. Navigate to Modules page URL
2. Observe result</t>
  </si>
  <si>
    <t>Access denied; redirected</t>
  </si>
  <si>
    <t>TC_ADMIN_670</t>
  </si>
  <si>
    <t>Verify saving multiple module changes simultaneously works</t>
  </si>
  <si>
    <t>Verify Admin can change multiple module statuses and save all at once</t>
  </si>
  <si>
    <t>Admin is on Modules page</t>
  </si>
  <si>
    <t>1. Toggle multiple modules (enable/disable)
2. Click Save</t>
  </si>
  <si>
    <t>Multiple module toggles</t>
  </si>
  <si>
    <t>All module status changes saved successfully</t>
  </si>
  <si>
    <t>All changes persisted</t>
  </si>
  <si>
    <t>All module changes saved simultaneously</t>
  </si>
  <si>
    <t>TC_ADMIN_671</t>
  </si>
  <si>
    <t>Verify system prevents disabling essential core modules</t>
  </si>
  <si>
    <t>Verify Admin cannot disable mandatory core system modules</t>
  </si>
  <si>
    <t>Core/mandatory module is currently enabled</t>
  </si>
  <si>
    <t>1. Attempt to disable a core module
2. Click Save</t>
  </si>
  <si>
    <t>Core module (e.g., Admin)</t>
  </si>
  <si>
    <t>System blocks disabling; displays warning message</t>
  </si>
  <si>
    <t>Core module remains enabled</t>
  </si>
  <si>
    <t>Warning message displayed; core module cannot be disabled</t>
  </si>
  <si>
    <t>TC_ADMIN_672</t>
  </si>
  <si>
    <t>Verify Cancel button discards unsaved module changes</t>
  </si>
  <si>
    <t>Verify clicking Cancel discards unsaved module configuration changes</t>
  </si>
  <si>
    <t>Admin has made unsaved module status changes</t>
  </si>
  <si>
    <t>1. Toggle a module status
2. Click 'Cancel' button</t>
  </si>
  <si>
    <t>Unsaved changes discarded; module status reverts to previous state</t>
  </si>
  <si>
    <t>Previous state restored</t>
  </si>
  <si>
    <t>Cancel works; changes discarded</t>
  </si>
  <si>
    <t>TC_ADMIN_673</t>
  </si>
  <si>
    <t>Verify error handling when server error occurs during module save</t>
  </si>
  <si>
    <t>Verify clear error message shown if server error occurs during save</t>
  </si>
  <si>
    <t>Admin saving module configuration; simulated server error</t>
  </si>
  <si>
    <t>1. Change module settings
2. Trigger server error
3. Click Save</t>
  </si>
  <si>
    <t>Simulated server error</t>
  </si>
  <si>
    <t>Appropriate error message displayed; incomplete changes not applied</t>
  </si>
  <si>
    <t>No partial changes applied</t>
  </si>
  <si>
    <t>Error message shown; no partial save</t>
  </si>
  <si>
    <t>TC_ADMIN_674</t>
  </si>
  <si>
    <t>Verify module names are correctly displayed in list</t>
  </si>
  <si>
    <t>Verify all module names are displayed correctly on Modules page</t>
  </si>
  <si>
    <t>1. Navigate to Modules page
2. Check module names</t>
  </si>
  <si>
    <t>Module names are accurately displayed without truncation or errors</t>
  </si>
  <si>
    <t>All module names displayed correctly</t>
  </si>
  <si>
    <t>TC_ADMIN_675</t>
  </si>
  <si>
    <t>Verify enable/disable toggle is visible for each module</t>
  </si>
  <si>
    <t>Verify enable/disable toggle controls are visible for each module</t>
  </si>
  <si>
    <t>1. Navigate to Modules page
2. Check toggle/checkbox for each module</t>
  </si>
  <si>
    <t>Toggle or checkbox controls visible for every module</t>
  </si>
  <si>
    <t>Toggle controls visible</t>
  </si>
  <si>
    <t>TC_ADMIN_676</t>
  </si>
  <si>
    <t>Verify Save button is present on Modules page</t>
  </si>
  <si>
    <t>Verify Save button is visible and functional on Modules page</t>
  </si>
  <si>
    <t>1. Navigate to Modules page
2. Observe page controls</t>
  </si>
  <si>
    <t>Save button is visible and clickable</t>
  </si>
  <si>
    <t>Save button visible and functional</t>
  </si>
  <si>
    <t>TC_ADMIN_677</t>
  </si>
  <si>
    <t>Verify module descriptions are shown where available</t>
  </si>
  <si>
    <t>Verify module descriptions are displayed where provided</t>
  </si>
  <si>
    <t>1. Navigate to Modules page
2. Check description column</t>
  </si>
  <si>
    <t>Module descriptions visible for modules that have them</t>
  </si>
  <si>
    <t>Descriptions visible</t>
  </si>
  <si>
    <t>TC_ADMIN_678</t>
  </si>
  <si>
    <t>Verify Admin can re-enable a previously disabled module</t>
  </si>
  <si>
    <t>Verify disabling and re-enabling a module works correctly</t>
  </si>
  <si>
    <t>A module was previously disabled</t>
  </si>
  <si>
    <t>1. Enable the previously disabled module
2. Click Save
3. Check module access</t>
  </si>
  <si>
    <t>Previously disabled module</t>
  </si>
  <si>
    <t>Module re-enabled; accessible to users; success message shown</t>
  </si>
  <si>
    <t>Module accessible</t>
  </si>
  <si>
    <t>Module re-enabled and accessible</t>
  </si>
  <si>
    <t>TC_ADMIN_679</t>
  </si>
  <si>
    <t>Verify unauthenticated access to Modules page is blocked</t>
  </si>
  <si>
    <t>Verify direct URL access to Modules page without login redirects to login</t>
  </si>
  <si>
    <t>1. Directly navigate to Modules URL
2. Observe result</t>
  </si>
  <si>
    <t>URL: /web/index.php/admin/viewModules</t>
  </si>
  <si>
    <t>TC_ADMIN_680</t>
  </si>
  <si>
    <t>Verify Modules page loads within acceptable time</t>
  </si>
  <si>
    <t>Verify Modules page loads in acceptable time (under 3 seconds)</t>
  </si>
  <si>
    <t>1. Navigate to Modules page
2. Measure load time</t>
  </si>
  <si>
    <t>TC_ADMIN_681</t>
  </si>
  <si>
    <t>Verify disabled module menu items are hidden for all user roles</t>
  </si>
  <si>
    <t>Verify when module is disabled, menu items are hidden for all user roles</t>
  </si>
  <si>
    <t>Admin has disabled a module</t>
  </si>
  <si>
    <t>1. Disable a module
2. Login with different user roles
3. Check menu navigation</t>
  </si>
  <si>
    <t>Multiple user roles</t>
  </si>
  <si>
    <t>Menu items for disabled module are hidden for all user roles</t>
  </si>
  <si>
    <t>Menu items hidden for all roles</t>
  </si>
  <si>
    <t>TC_ADMIN_682</t>
  </si>
  <si>
    <t>Verify saving without changes shows success without issues</t>
  </si>
  <si>
    <t>Verify clicking Save without changes doesn't cause errors</t>
  </si>
  <si>
    <t>Admin on Modules page without making any changes</t>
  </si>
  <si>
    <t>1. Navigate to Modules page
2. Click Save without changing anything</t>
  </si>
  <si>
    <t>Save executes without errors; success message or no-change notification shown</t>
  </si>
  <si>
    <t>No error</t>
  </si>
  <si>
    <t>Save with no changes executes without errors</t>
  </si>
  <si>
    <t>TC_ADMIN_683</t>
  </si>
  <si>
    <t>Verify enabled module reflects immediately in navigation</t>
  </si>
  <si>
    <t>Verify enabling a module is immediately reflected in navigation for users</t>
  </si>
  <si>
    <t>Admin has enabled a previously disabled module</t>
  </si>
  <si>
    <t>1. Enable a disabled module
2. Save
3. Login as regular user
4. Check navigation</t>
  </si>
  <si>
    <t>Enabled module appears in navigation menu immediately</t>
  </si>
  <si>
    <t>Module visible in nav</t>
  </si>
  <si>
    <t>Module visible in navigation after enabling</t>
  </si>
  <si>
    <t>TC_ADMIN_684</t>
  </si>
  <si>
    <t>Verify all expected OrangeHRM modules are listed</t>
  </si>
  <si>
    <t>Verify all expected system modules (PIM, Leave, Time, Performance, etc.) are listed</t>
  </si>
  <si>
    <t>1. Navigate to Modules page
2. Verify presence of all expected modules</t>
  </si>
  <si>
    <t>Expected modules list</t>
  </si>
  <si>
    <t>All expected OrangeHRM modules are displayed in the list</t>
  </si>
  <si>
    <t>All expected modules present in the list</t>
  </si>
  <si>
    <t>TC_ADMIN_685</t>
  </si>
  <si>
    <t>Verify disabling module also restricts API access</t>
  </si>
  <si>
    <t>Verify disabling a module also prevents API-level access to it</t>
  </si>
  <si>
    <t>A module has been disabled</t>
  </si>
  <si>
    <t>1. Disable a module
2. Attempt to access module via API endpoint</t>
  </si>
  <si>
    <t>API endpoint for disabled module</t>
  </si>
  <si>
    <t>API returns 403 Forbidden or appropriate error for disabled module</t>
  </si>
  <si>
    <t>API returns forbidden error for disabled module</t>
  </si>
  <si>
    <t>TC_ADMIN_686</t>
  </si>
  <si>
    <t>Verify breadcrumb navigation is correct on Modules page</t>
  </si>
  <si>
    <t>Verify breadcrumb navigation displays correctly on the Modules page</t>
  </si>
  <si>
    <t>1. Navigate to Modules page
2. Observe breadcrumb</t>
  </si>
  <si>
    <t>Breadcrumb shows correct path (e.g., Admin &gt; Configuration &gt; Modules)</t>
  </si>
  <si>
    <t>Breadcrumb shows correct path</t>
  </si>
  <si>
    <t>TC_ADMIN_687</t>
  </si>
  <si>
    <t>Verify page title is correct on Modules page</t>
  </si>
  <si>
    <t>Verify page title is correctly displayed on the Modules page</t>
  </si>
  <si>
    <t>1. Navigate to Modules page
2. Check page title/heading</t>
  </si>
  <si>
    <t>Page title displays 'Modules' or relevant heading</t>
  </si>
  <si>
    <t>Page title displayed correctly</t>
  </si>
  <si>
    <t>TC_ADMIN_688</t>
  </si>
  <si>
    <t>Verify disabling Leave module hides Leave menu for all users</t>
  </si>
  <si>
    <t>Verify that disabling the Leave module removes the Leave navigation menu for all user roles</t>
  </si>
  <si>
    <t>Leave module is currently enabled</t>
  </si>
  <si>
    <t>1. Disable the Leave module
2. Click Save
3. Login as ESS user
4. Check navigation menu</t>
  </si>
  <si>
    <t>Leave module toggled OFF</t>
  </si>
  <si>
    <t>Leave menu item completely hidden from navigation for all users</t>
  </si>
  <si>
    <t>Leave menu hidden</t>
  </si>
  <si>
    <t>Leave menu hidden from navigation after module is disabled</t>
  </si>
  <si>
    <t>TC_ADMIN_689</t>
  </si>
  <si>
    <t>Verify disabling Recruitment module removes recruitment-related workflows</t>
  </si>
  <si>
    <t>Verify that disabling the Recruitment module removes all recruitment-related features and workflows</t>
  </si>
  <si>
    <t>Recruitment module is currently enabled</t>
  </si>
  <si>
    <t>1. Disable Recruitment module
2. Save
3. Attempt to access /viewRecruitment</t>
  </si>
  <si>
    <t>Recruitment module toggled OFF</t>
  </si>
  <si>
    <t>Recruitment features inaccessible; recruitment menu/workflows removed</t>
  </si>
  <si>
    <t>Recruitment features inaccessible</t>
  </si>
  <si>
    <t>Recruitment module disabled and features removed correctly</t>
  </si>
  <si>
    <t>TC_ADMIN_690</t>
  </si>
  <si>
    <t>Verify search/filter functionality exists on Modules page</t>
  </si>
  <si>
    <t>Verify that Admin can filter or search for specific modules on the Modules page</t>
  </si>
  <si>
    <t>1. Navigate to Modules page
2. Look for search bar or filter option
3. Try to search for a specific module</t>
  </si>
  <si>
    <t>A search or filter function is available to quickly locate specific modules</t>
  </si>
  <si>
    <t>No search or filter functionality available on Modules page; modules can only be scrolled through</t>
  </si>
  <si>
    <t>TC_ADMIN_691</t>
  </si>
  <si>
    <t>Verify enabling/disabling modules is recorded in audit trail</t>
  </si>
  <si>
    <t>Verify that any change to module configuration is recorded in the system audit trail</t>
  </si>
  <si>
    <t>Admin has changed a module status</t>
  </si>
  <si>
    <t>1. Enable or disable a module and Save
2. Navigate to Admin &gt; Audit Logs
3. Check for module change entry</t>
  </si>
  <si>
    <t>Audit trail contains entry for module status change with timestamp, user, and action</t>
  </si>
  <si>
    <t>No audit trail entry recorded for module enable/disable action</t>
  </si>
  <si>
    <t>TC_ADMIN_692</t>
  </si>
  <si>
    <t>Verify total module count is displayed on Modules page</t>
  </si>
  <si>
    <t>Verify that the Modules page shows the total number of available/enabled/disabled modules</t>
  </si>
  <si>
    <t>1. Navigate to Modules page
2. Check for count indicator or summary</t>
  </si>
  <si>
    <t>Total module count (or enabled/disabled summary) is visible on the page</t>
  </si>
  <si>
    <t>No module count displayed; page shows only the list without a summary</t>
  </si>
  <si>
    <t>TC_ADMIN_693</t>
  </si>
  <si>
    <t>Verify Modules page is responsive on mobile viewport</t>
  </si>
  <si>
    <t>Verify that the Modules page renders correctly on mobile screen sizes (375px)</t>
  </si>
  <si>
    <t>Admin logged in; browser in mobile viewport</t>
  </si>
  <si>
    <t>1. Resize browser to 375px width
2. Navigate to Modules page
3. Observe layout</t>
  </si>
  <si>
    <t>Viewport: 375px</t>
  </si>
  <si>
    <t>Page renders correctly; all modules visible; toggles accessible on mobile</t>
  </si>
  <si>
    <t>Modules page layout adjusts correctly for mobile viewport</t>
  </si>
  <si>
    <t>TC_ADMIN_694</t>
  </si>
  <si>
    <t>Verify a module can be cycled through enable/disable multiple times</t>
  </si>
  <si>
    <t>Verify that a module can be disabled, re-enabled, then disabled again without issues</t>
  </si>
  <si>
    <t>A non-core module is available</t>
  </si>
  <si>
    <t>1. Disable module → Save
2. Enable module → Save
3. Disable module again → Save
4. Verify final status</t>
  </si>
  <si>
    <t>Non-core module (e.g., Performance)</t>
  </si>
  <si>
    <t>Module cycles correctly through states; final disabled state is applied and persisted</t>
  </si>
  <si>
    <t>Final disabled state persisted</t>
  </si>
  <si>
    <t>Module can be toggled multiple times without any issues</t>
  </si>
  <si>
    <t>TC_ADMIN_695</t>
  </si>
  <si>
    <t>US_24 1</t>
  </si>
  <si>
    <t>Verify Admin can view the list of integration providers and actions.</t>
  </si>
  <si>
    <t>This test case ensures that when an Admin navigates to the external providers page, the configuration grid correctly renders all existing connection profiles with their names and action components.</t>
  </si>
  <si>
    <t>1. User is logged in with active Admin credentials.
2. Multiple authentication providers (e.g., Google, LinkedIn) are configured in the system.</t>
  </si>
  <si>
    <t>1. Navigate to Admin &gt; Configuration &gt; Social Media Authentication (or the respective provider list path).
2. Observe the loaded grid elements.
3. Verify the presence of data columns and action buttons for each row.</t>
  </si>
  <si>
    <t>Navigation Path: Admin &gt; Configuration &gt; Social Media Providers</t>
  </si>
  <si>
    <t>The provider list interface loads completely. Each row clearly displays the Provider Name alongside its Available Actions (such as Edit, Delete, or Toggle Status).</t>
  </si>
  <si>
    <t>The configuration registry interface remains displayed.</t>
  </si>
  <si>
    <t>The page and the records are loaded successfully</t>
  </si>
  <si>
    <t>Cycle 1</t>
  </si>
  <si>
    <t>TC_ADMIN_696</t>
  </si>
  <si>
    <t>US_24 2</t>
  </si>
  <si>
    <t>Verify successful addition of a new authentication provider with valid parameters.</t>
  </si>
  <si>
    <t>This test case confirms that an Admin can register a new external authentication provider by providing valid client credentials and configuration URLs.</t>
  </si>
  <si>
    <t>User is on the Provider List page and has clicked the + Add button.</t>
  </si>
  <si>
    <t>1. Enter a valid string in the Provider Name field.
2. Enter a valid endpoint URL in the Provider URL field.
3. Input a string into the Client ID text container.
4. Input a secure token into the Client Secret field.
5. Click the Save button.</t>
  </si>
  <si>
    <t>Name: GitHub AuthProvider 
URL: [https://github.com/login/oauth](https://github.com/login/oauth)
Client ID: gh_client_88329
Client Secret: sec_449320_amx</t>
  </si>
  <si>
    <t>The profile is created successfully. A green confirmation banner or toast message appears saying "Successfully Saved", the submission overlay closes, and GitHub Auth is visible in the provider grid.</t>
  </si>
  <si>
    <t>A new integration gateway profile is appended to the system's authentication settings.</t>
  </si>
  <si>
    <t>The green message "Successfully Saved" is displayed and the record is created successfully</t>
  </si>
  <si>
    <t>TC_ADMIN_697</t>
  </si>
  <si>
    <t>US_24 3</t>
  </si>
  <si>
    <t>Verify validation error messages when mandatory provider parameters are omitted.</t>
  </si>
  <si>
    <t>Ensures that the application front-end flags omissions and blocks empty configuration schemas from submitting to the server.</t>
  </si>
  <si>
    <t>User is on the provider configuration window overlay.</t>
  </si>
  <si>
    <t>1. Leave Name, Provider URL, Client ID, and Client Secret completely empty.
2. Directly click the Save button.
3. Repeat the step by filling only one field and leaving the rest blank.</t>
  </si>
  <si>
    <t>All fields: [Blank]</t>
  </si>
  <si>
    <t>Submission is halted. A red "Required" or field-specific validation warning text appears immediately beneath every missing mandatory field container.</t>
  </si>
  <si>
    <t>The screen remains open; no incomplete records are processed.</t>
  </si>
  <si>
    <t>The red label "Required" is displayed below mandatory fields succesfully</t>
  </si>
  <si>
    <t>TC_ADMIN_698</t>
  </si>
  <si>
    <t>US_24 4</t>
  </si>
  <si>
    <t>Verify Admin can modify and update details of an existing provider profile.</t>
  </si>
  <si>
    <t>Validates that changing properties like the Client Secret or Client ID for an existing integration updates the values successfully in the UI and data layer.</t>
  </si>
  <si>
    <t>A provider named GitHub Auth is already listed in the provider index.</t>
  </si>
  <si>
    <t>1. Locate the GitHub Auth row and click its Edit button.
2. Clear the old value in the Client Secret field and input a fresh token string.
3. Modify the Client ID string value.
4. Click Save.</t>
  </si>
  <si>
    <t>Updated Client ID: gh_client_99999
Updated Client Secret: sec_new_99999</t>
  </si>
  <si>
    <t>A success confirmation message displays on-screen. The data row updates dynamically to display and utilize the updated configuration metadata.</t>
  </si>
  <si>
    <t>External service integration endpoints are updated with the modified credentials.</t>
  </si>
  <si>
    <t>The green message "Successfully updated" is displayed and the record is edited successfully</t>
  </si>
  <si>
    <t>TC_ADMIN_699</t>
  </si>
  <si>
    <t>US_24 5</t>
  </si>
  <si>
    <t>Verify permanent removal of a provider profile after confirmation.</t>
  </si>
  <si>
    <t>Ensures that an Admin can clean up deprecated connections, throwing a confirmation window before unlinking a provider entirely.</t>
  </si>
  <si>
    <t>A temporary or obsolete provider entry (e.g., Old Test Provider) exists in the list layout.</t>
  </si>
  <si>
    <t>1. Click the Delete (trash icon) next to Old Test Provider.
2. When the pop-up modal prompts "Are you sure you want to delete this provider?", click Yes, Delete.
3. Inspect the updated provider list.</t>
  </si>
  <si>
    <t>Selection: Old Test Provider</t>
  </si>
  <si>
    <t>The confirmation alert appears cleanly. Upon selecting confirm, a "Successfully Deleted" message shows, and the row is instantly removed from the view.</t>
  </si>
  <si>
    <t>The targeted authorization handler provider profile is dropped from the database.</t>
  </si>
  <si>
    <t>The green message "Successfully deleted" is displayed and the record is deleted successfully</t>
  </si>
  <si>
    <t>TC_ADMIN_700</t>
  </si>
  <si>
    <t>US_24 6</t>
  </si>
  <si>
    <t>Verify non-admin roles are restricted from accessing the Provider Management view.</t>
  </si>
  <si>
    <t>Security boundary test checking that unauthorized security roles cannot load or interact with provider settings via manual URL routing.</t>
  </si>
  <si>
    <t>Tester is logged into the application using a standard Employee role account.</t>
  </si>
  <si>
    <t>1. Copy the explicit admin workspace URL for the provider configuration page (e.g., [https://demo.orangehrmlive.com/web/index.php/admin/viewSocialProviders](https://demo.orangehrmlive.com/web/index.php/admin/viewSocialProviders)).
2. Paste this exact link directly into the browser URL address bar and hit Enter.</t>
  </si>
  <si>
    <t>Target URL: /admin/viewSocialProviders</t>
  </si>
  <si>
    <t>The page access must be blocked. The system should intercept the request, prevent rendering configuration values, and display a "403 Forbidden" access restriction error page or redirect to the standard user dashboard.</t>
  </si>
  <si>
    <t>Confidential environment configuration parameters are kept safe from unauthorized visibility.</t>
  </si>
  <si>
    <t>TC_ADMIN_701</t>
  </si>
  <si>
    <t>US_24 7</t>
  </si>
  <si>
    <t>Verify authentication configurations persist across fresh sessions and updates.</t>
  </si>
  <si>
    <t>Data integrity test ensuring saved configuration profiles remain correctly written to backend database files after active user logouts or page updates.</t>
  </si>
  <si>
    <t>Admin has updated or added an authentication provider configuration in the current session.</t>
  </si>
  <si>
    <t>1. Ensure a provider entry profile was successfully saved.
2. Click the browser reload button (Refresh), or log completely out of the Admin account.
3. Log back in as Admin.
4. Navigate back to the Social Media Authentication provider list page view.</t>
  </si>
  <si>
    <t>Profile to observe: GitHub Auth</t>
  </si>
  <si>
    <t>All keys, client IDs, and properties previously defined for the target provider profile persist flawlessly without corruption, empty blanks, or data rollbacks.</t>
  </si>
  <si>
    <t>Integration profile properties are confirmed as stored permanently.</t>
  </si>
  <si>
    <t>All records are reloaded successfully</t>
  </si>
  <si>
    <t>TC_ADMIN_702</t>
  </si>
  <si>
    <t>US_24 8</t>
  </si>
  <si>
    <t>Verify application handling and notification when server errors occur during provider updates.</t>
  </si>
  <si>
    <t>Stability test ensuring that if a backend exception or timeout breaks the execution chain, the UI provides clear feedback and rolls back partial state changes.</t>
  </si>
  <si>
    <t>The system encounters an artificial database disruption, network loss, or severe response simulation timeout (HTTP 500 series error).</t>
  </si>
  <si>
    <t>1. Open a provider configuration row profile container.
2. Modify any configuration field parameter element values.
3. Click the Save option click point while an active network dropout or server failure occurs.
4. Inspect the application interface state behavior response.</t>
  </si>
  <si>
    <t>Modification text: Broken Configuration Run</t>
  </si>
  <si>
    <t>The application does not crash or expose unhandled raw script code. A fallback error layout notification banner displays stating: "System error occurred. Able to process request. Please try again later." The configuration states revert back to their original valid values.</t>
  </si>
  <si>
    <t>Incomplete transactional schemas are rejected, protecting data integrity.</t>
  </si>
  <si>
    <t>TC_ADMIN_703</t>
  </si>
  <si>
    <t>US_25</t>
  </si>
  <si>
    <t>Verify Admin can view the list of registered OAuth clients with essential metrics.</t>
  </si>
  <si>
    <t>Confirms that navigating to the OAuth configuration dashboard populates a structured data table showcasing registered clients and active parameters.</t>
  </si>
  <si>
    <t>User is logged in as an Admin with authorized access to configuration panels.</t>
  </si>
  <si>
    <t>1. Navigate to the OAuth Clients configuration page (e.g., Admin &gt; Configuration &gt; OAuth Clients).
2. Wait for the server data query to populate the workspace grid.
3. Verify the presence of specific metadata attributes across rows.</t>
  </si>
  <si>
    <t>Navigation Path: /admin/oauthClients</t>
  </si>
  <si>
    <t>The page displays a data table containing all registered OAuth clients. Each record row must explicitly display columns for Name, Redirect URI, Status, and Available Actions (Edit/Delete icons).</t>
  </si>
  <si>
    <t>The page is loaded successfully</t>
  </si>
  <si>
    <t>TC_ADMIN_704</t>
  </si>
  <si>
    <t>Verify successful registration of a new external application OAuth client profile.</t>
  </si>
  <si>
    <t>Validates that supplying complete structural parameters generates a successful entity tracking row in the records cache.</t>
  </si>
  <si>
    <t>User is on the OAuth Client configuration screen and has clicked the + Add button.</t>
  </si>
  <si>
    <t>1. Enter a valid unique alphanumeric string into the Name text field.
2. Input a valid callback web address into the Redirect URI field.
3. Switch on the Enable Client switch/toggle tool.
4. Switch on the Confidential Client toggle tool.
5. Click the primary Save button.</t>
  </si>
  <si>
    <t>Name: MobileAppClient
Redirect URI: https://my-authorized-app.com/oauth/callback
Enable Client: On
Confidential Client: On</t>
  </si>
  <si>
    <t>The OAuth profile registration executes cleanly. A green "Successfully Saved" toast confirmation message is displayed, the form pane hides, and MobileAppClient appears as a row in the data grid.</t>
  </si>
  <si>
    <t>A secure OAuth client layout with distinct parameters is written to the system database.</t>
  </si>
  <si>
    <t>After clicking the save button, the user redirects to the edit client page to confirm the client id and secret</t>
  </si>
  <si>
    <t>TC_ADMIN_705</t>
  </si>
  <si>
    <t>Verify that omitting mandatory registration data flags prompt errors and blocks processing.</t>
  </si>
  <si>
    <t>Assures validation logic handles missing string layouts gracefully and intercepts empty submission packages.</t>
  </si>
  <si>
    <t>User is actively inside the OAuth client creation wizard frame interface.</t>
  </si>
  <si>
    <t>1. Leave the Name field input completely empty ("").
2. Leave the Redirect URI text container empty ("").
3. Click the Save button.</t>
  </si>
  <si>
    <t>Name: ""
Redirect URI: ""</t>
  </si>
  <si>
    <t>Creation actions are immediately blocked. Red structural error alert text labels reading "Required" must render directly under both the Name box and the Redirect URI field container.</t>
  </si>
  <si>
    <t>The form submission state fails; zero incomplete objects register with the database layers.</t>
  </si>
  <si>
    <t>After clicking the save button, the red label "Required" appeared below the mandatory fields</t>
  </si>
  <si>
    <t>TC_ADMIN_706</t>
  </si>
  <si>
    <t>Verify that inputting an invalid URL string protocol configuration triggers formatting flags.</t>
  </si>
  <si>
    <t>Confirms URL syntax parser boundaries reject strings that fail web formatting rules (e.g., missing top-level domains or incorrect structures).</t>
  </si>
  <si>
    <t>User is on the add/edit OAuth Client window panel overlay.</t>
  </si>
  <si>
    <t>1. Enter a valid layout string inside the Name input text field.
2. Type a broken or invalid text format layout (e.g., invalid_url_string_example) into the Redirect URI input field.
3. Click the Save button.</t>
  </si>
  <si>
    <t>Name: TestingClient
Redirect URI: invalid_url_string_example</t>
  </si>
  <si>
    <t>The save submission transaction fails. The field triggers an error state displaying an explicit validation message reading "Invalid URL" or "Please enter a valid URI format" in red text text labels.</t>
  </si>
  <si>
    <t>Defective endpoint parameters are safely intercepted and kept from the integration settings.</t>
  </si>
  <si>
    <t xml:space="preserve">The invalid URL is saved </t>
  </si>
  <si>
    <t>TC_ADMIN_707</t>
  </si>
  <si>
    <t>Verify system unique-constraint checks drop attempts to register a redundant client title name.</t>
  </si>
  <si>
    <t>Ensures background checking protects profile properties from overlapping identification keys.</t>
  </si>
  <si>
    <t>An active OAuth integration profile registered under the name MobileAppClient already exists.</t>
  </si>
  <si>
    <t>1. Open the integration registration dialog pane.
2. Input the exact string duplicate MobileAppClient into the primary Name text control line.
3. Fill out remaining valid fields and click Save.</t>
  </si>
  <si>
    <t>Name: MobileAppClient (Duplicate target matching old record name)</t>
  </si>
  <si>
    <t>The submission package is rejected. The application must display an error indicator warning directly under the client name label stating "Already exists" or "Client name must be unique".</t>
  </si>
  <si>
    <t>Redundant identity models are blocked from corrupting client configurations.</t>
  </si>
  <si>
    <t>After writing the same name, the red label "Already Exists" appeared successfully</t>
  </si>
  <si>
    <t>TC_ADMIN_708</t>
  </si>
  <si>
    <t>Verify that changes to an existing client's metadata save and refresh successfully.</t>
  </si>
  <si>
    <t>Tests that updates to parameters (like the callback destination or client visibility settings) execute smoothly on an existing client row.</t>
  </si>
  <si>
    <t>An OAuth client entry row under the title MobileAppClient exists in the summary view collection.</t>
  </si>
  <si>
    <t>1. Click the inline Edit (pencil icon) button item corresponding to the MobileAppClient entry line.
2. Modify the Redirect URI data string parameters.
3. Click the Save option click point.</t>
  </si>
  <si>
    <t>Updated Redirect URI: https://new-endpoint.com/oauth2/callback</t>
  </si>
  <si>
    <t>A "Successfully Updated" success toast notification slides onto the screen layout, the workspace updates, and the client displays its fresh callback address string.</t>
  </si>
  <si>
    <t>Target entity records parameters update securely inside live database storage slots.</t>
  </si>
  <si>
    <t>After clicking the save button, The green message "Successfully Updated" is displayed successfully</t>
  </si>
  <si>
    <t>TC_ADMIN_709</t>
  </si>
  <si>
    <t>Verify permanent removal of a designated OAuth configuration after validation checks.</t>
  </si>
  <si>
    <t>Assures that choosing a row item trash icon launches a prompt panel to protect tracking lines against accidental deletion.</t>
  </si>
  <si>
    <t>A target tracking record entry profile named MobileAppClient is available in the table matrix.</t>
  </si>
  <si>
    <t>1. Click on the corresponding inline Delete (trash bin icon) button element tool for the target client row.
2. When the warning window dialogue presents "Are you sure?", choose the Yes, Delete button option component.</t>
  </si>
  <si>
    <t>Target Deletion Row: MobileAppClient line.</t>
  </si>
  <si>
    <t>A safety prompt overlay shows immediately. Upon confirming, a "Successfully Deleted" tracking alert box presents, and the row vanishes from the client registry interface grid.</t>
  </si>
  <si>
    <t>Integration tokens and settings are completely unlinked and dropped from system indices.</t>
  </si>
  <si>
    <t>The green message "Successfully Deleted" is displayed and the record is deleted successfully</t>
  </si>
  <si>
    <t>TC_ADMIN_710</t>
  </si>
  <si>
    <t>Verify status changes update access configuration flags smoothly.</t>
  </si>
  <si>
    <t>Confirms changing status parameters disables or enables external application entry routes without clearing or deleting client data keys.</t>
  </si>
  <si>
    <t>An OAuth client item exists in the listing table in an "Enabled" state.</t>
  </si>
  <si>
    <t>1. Open the target client row item parameters workspace overlay layout panel.
2. Switch off the status parameter selection checkbox/toggle tool (changing from "Enabled" to "Disabled").
3. Click the Save button.</t>
  </si>
  <si>
    <t>Target Selection: Status state toggle set to Disabled</t>
  </si>
  <si>
    <t>The switch configuration updates successfully. A confirmation toast alerts that status values saved correctly, and the Status field updates to read "Disabled" on the data row matrix.</t>
  </si>
  <si>
    <t>System access routes are blocked for that specific endpoint while keeping the underlying key metrics intact.</t>
  </si>
  <si>
    <t>TC_ADMIN_711</t>
  </si>
  <si>
    <t>Verify non-admin security exceptions redirect and block access from unauthorized roles.</t>
  </si>
  <si>
    <t>Verifies that standard employee user access roles are blocked from loading integration views via direct link entry tracking bars.</t>
  </si>
  <si>
    <t>User is logged in under standard employee role accounts with zero administrative privileges.</t>
  </si>
  <si>
    <t>1. Manually type or paste the absolute management path link sequence into the web address tracking bar (e.g., https://demo.orangehrm.com/admin/oauthClients).
2. Press Enter to test forced path routing resolution.</t>
  </si>
  <si>
    <t>Target URL: /admin/oauthClients</t>
  </si>
  <si>
    <t>System access controls block processing. The application immediately shifts back to the default home layout view or drops an error message flag reading "Access Denied" or "Unauthorized Action".</t>
  </si>
  <si>
    <t>Integration setup dashboards remain protected from outside manipulation or unauthorized visibility.</t>
  </si>
  <si>
    <t>After typing the url, the page is loading a red label saying "Credential Required."</t>
  </si>
  <si>
    <t>TC_ADMIN_712</t>
  </si>
  <si>
    <t>Verify integration configurations persist across active user session terminations.</t>
  </si>
  <si>
    <t>Confirms values write completely to server tables and don't clear or wipe when sessions drop or page updates reload properties.</t>
  </si>
  <si>
    <t>An alternative client profile line was added or edited during the active work layout session.</t>
  </si>
  <si>
    <t>1. Complete an adjustment operation run on an open OAuth profile line and click save.
2. Force a hard refresh on your web browser tracking tabs (Ctrl + F5) or log completely out of the Admin account profile context.
3. Re-authenticate into the application panel as Admin and navigate directly to the listing grid page view.</t>
  </si>
  <si>
    <t>Action: Page Reload &amp; Re-Authentication sequence.</t>
  </si>
  <si>
    <t>The table loads your previously stored values. The row profiles continue to present all your modified text items and status indicators without changes, drops, or missing tracking components.</t>
  </si>
  <si>
    <t>Persistent storage of the OAuth registration values is verified.</t>
  </si>
  <si>
    <t>All previous records loaded sucessfully</t>
  </si>
  <si>
    <t>TC_ADMIN_713</t>
  </si>
  <si>
    <t>US_26</t>
  </si>
  <si>
    <t>Verify Admin can access LDAP Configuration page</t>
  </si>
  <si>
    <t>Verify LDAP Configuration page loads successfully for Admin</t>
  </si>
  <si>
    <t>1. Navigate to Admin &gt; Configuration &gt; LDAP Configuration</t>
  </si>
  <si>
    <t>LDAP Configuration page loads with all settings visible</t>
  </si>
  <si>
    <t>Page displayed</t>
  </si>
  <si>
    <t>LDAP Configuration page loaded successfully</t>
  </si>
  <si>
    <t>TC_ADMIN_714</t>
  </si>
  <si>
    <t>Verify all LDAP configuration fields are displayed</t>
  </si>
  <si>
    <t>Verify all required LDAP fields are present on configuration page</t>
  </si>
  <si>
    <t>Admin is on LDAP Configuration page</t>
  </si>
  <si>
    <t>1. Navigate to LDAP Configuration page
2. Observe all available fields</t>
  </si>
  <si>
    <t>Fields visible: Enable LDAP, Server URI, Bind DN, Bind Password, User Search Base, etc.</t>
  </si>
  <si>
    <t>All required LDAP fields visible</t>
  </si>
  <si>
    <t>TC_ADMIN_715</t>
  </si>
  <si>
    <t>Verify enabling LDAP authentication toggle works</t>
  </si>
  <si>
    <t>Verify Admin can toggle LDAP authentication to enabled state</t>
  </si>
  <si>
    <t>Admin on LDAP Configuration page; LDAP is currently disabled</t>
  </si>
  <si>
    <t>1. Toggle 'Enable LDAP' to ON
2. Observe form behavior</t>
  </si>
  <si>
    <t>LDAP configuration fields become active/editable after enabling</t>
  </si>
  <si>
    <t>LDAP fields active</t>
  </si>
  <si>
    <t>LDAP fields enabled after toggling ON</t>
  </si>
  <si>
    <t>TC_ADMIN_716</t>
  </si>
  <si>
    <t>Verify Admin can save valid LDAP configuration</t>
  </si>
  <si>
    <t>Verify complete and valid LDAP configuration saves successfully</t>
  </si>
  <si>
    <t>Admin on LDAP Configuration page; all fields filled with valid data</t>
  </si>
  <si>
    <t>1. Enable LDAP
2. Fill all fields with valid LDAP server data
3. Click Save</t>
  </si>
  <si>
    <t>Server: ldap://company.com, Port: 389, Base DN: dc=company,dc=com</t>
  </si>
  <si>
    <t>Configuration saved successfully; success message displayed</t>
  </si>
  <si>
    <t>LDAP config saved</t>
  </si>
  <si>
    <t>Configuration saved with success message</t>
  </si>
  <si>
    <t>TC_ADMIN_717</t>
  </si>
  <si>
    <t>Verify Test Connection works with valid LDAP server details</t>
  </si>
  <si>
    <t>Verify Test Connection button validates a correct LDAP server connection</t>
  </si>
  <si>
    <t>Admin has entered valid LDAP server details</t>
  </si>
  <si>
    <t>1. Fill in valid LDAP configuration
2. Click 'Test Connection'</t>
  </si>
  <si>
    <t>Valid LDAP server details</t>
  </si>
  <si>
    <t>Success message: 'Connection Successful' or equivalent</t>
  </si>
  <si>
    <t>Success message displayed for valid connection</t>
  </si>
  <si>
    <t>TC_ADMIN_718</t>
  </si>
  <si>
    <t>Verify Test Connection shows failure with invalid LDAP server</t>
  </si>
  <si>
    <t>Verify Test Connection shows error for invalid/unreachable LDAP server</t>
  </si>
  <si>
    <t>Admin has entered invalid LDAP server details</t>
  </si>
  <si>
    <t>1. Enter invalid LDAP server address
2. Click 'Test Connection'</t>
  </si>
  <si>
    <t>Invalid server: ldap://invalid.server</t>
  </si>
  <si>
    <t>Error message: 'Connection Failed' or equivalent</t>
  </si>
  <si>
    <t>Error message shown for invalid connection</t>
  </si>
  <si>
    <t>TC_ADMIN_719</t>
  </si>
  <si>
    <t>Verify validation for missing required LDAP fields</t>
  </si>
  <si>
    <t>Verify saving with missing required fields shows validation errors</t>
  </si>
  <si>
    <t>Admin on LDAP Configuration page; LDAP is enabled</t>
  </si>
  <si>
    <t>1. Enable LDAP
2. Leave Server URI empty
3. Click Save</t>
  </si>
  <si>
    <t>Empty required fields</t>
  </si>
  <si>
    <t>Validation error messages displayed for all required fields</t>
  </si>
  <si>
    <t>Errors shown</t>
  </si>
  <si>
    <t>Validation errors displayed for missing required fields</t>
  </si>
  <si>
    <t>TC_ADMIN_720</t>
  </si>
  <si>
    <t>Verify rejection of invalid LDAP server URI format</t>
  </si>
  <si>
    <t>Verify invalid server URI format is rejected with validation error</t>
  </si>
  <si>
    <t>Admin on LDAP Configuration page with LDAP enabled</t>
  </si>
  <si>
    <t>1. Enter invalid URI format (e.g., 'notanurl')
2. Click Save</t>
  </si>
  <si>
    <t>Invalid URI: 'notanurl'</t>
  </si>
  <si>
    <t>Validation error for Server URI field displayed</t>
  </si>
  <si>
    <t>Error shown</t>
  </si>
  <si>
    <t>Validation error shown for invalid URI format</t>
  </si>
  <si>
    <t>TC_ADMIN_721</t>
  </si>
  <si>
    <t>Verify disabling LDAP reverts to default authentication</t>
  </si>
  <si>
    <t>Verify disabling LDAP authentication switches system back to default login</t>
  </si>
  <si>
    <t>LDAP is currently enabled and configured</t>
  </si>
  <si>
    <t>1. Toggle LDAP to Disabled
2. Click Save</t>
  </si>
  <si>
    <t>LDAP disabled; system uses OrangeHRM default authentication; success message shown</t>
  </si>
  <si>
    <t>Default auth active</t>
  </si>
  <si>
    <t>LDAP disabled; system reverts to default authentication</t>
  </si>
  <si>
    <t>TC_ADMIN_722</t>
  </si>
  <si>
    <t>Verify LDAP users can log in when LDAP is enabled and configured</t>
  </si>
  <si>
    <t>Verify users can authenticate via LDAP when it is enabled and configured correctly</t>
  </si>
  <si>
    <t>LDAP is enabled and correctly configured</t>
  </si>
  <si>
    <t>1. Logout
2. Login with valid LDAP credentials</t>
  </si>
  <si>
    <t>Valid LDAP username and password</t>
  </si>
  <si>
    <t>User authenticated via LDAP; granted access to OrangeHRM</t>
  </si>
  <si>
    <t>User logged in</t>
  </si>
  <si>
    <t>LDAP authentication successful</t>
  </si>
  <si>
    <t>TC_ADMIN_723</t>
  </si>
  <si>
    <t>Verify invalid LDAP credentials are rejected</t>
  </si>
  <si>
    <t>Verify invalid LDAP credentials are rejected with appropriate error</t>
  </si>
  <si>
    <t>LDAP is enabled and configured</t>
  </si>
  <si>
    <t>1. Attempt login with invalid LDAP credentials</t>
  </si>
  <si>
    <t>Invalid username/password</t>
  </si>
  <si>
    <t>Login fails; error message displayed</t>
  </si>
  <si>
    <t>Login rejected</t>
  </si>
  <si>
    <t>Login rejected with error message for invalid LDAP credentials</t>
  </si>
  <si>
    <t>TC_ADMIN_724</t>
  </si>
  <si>
    <t>Verify non-admin cannot access LDAP Configuration page</t>
  </si>
  <si>
    <t>Verify non-admin users are denied access to LDAP Configuration page</t>
  </si>
  <si>
    <t>1. Navigate to LDAP Configuration URL
2. Observe result</t>
  </si>
  <si>
    <t>TC_ADMIN_725</t>
  </si>
  <si>
    <t>Verify LDAP configuration persists after logout and re-login</t>
  </si>
  <si>
    <t>Verify LDAP configuration is retained after Admin logs out and back in</t>
  </si>
  <si>
    <t>Admin has saved LDAP configuration</t>
  </si>
  <si>
    <t>1. Save LDAP config
2. Logout
3. Login again
4. Check LDAP config</t>
  </si>
  <si>
    <t>LDAP configuration retained after re-login</t>
  </si>
  <si>
    <t>Config persisted</t>
  </si>
  <si>
    <t>LDAP configuration visible after re-login</t>
  </si>
  <si>
    <t>TC_ADMIN_726</t>
  </si>
  <si>
    <t>Verify LDAP Bind Password field is masked</t>
  </si>
  <si>
    <t>Verify Bind Password field is masked/hidden for security</t>
  </si>
  <si>
    <t>1. Navigate to LDAP Configuration
2. Observe Bind Password field</t>
  </si>
  <si>
    <t>Bind Password field displays masked characters (asterisks or dots)</t>
  </si>
  <si>
    <t>Password field is masked</t>
  </si>
  <si>
    <t>TC_ADMIN_727</t>
  </si>
  <si>
    <t>Verify Test Connection can be run before saving</t>
  </si>
  <si>
    <t>Verify Test Connection button works without requiring save first</t>
  </si>
  <si>
    <t>Admin has entered LDAP details but not saved</t>
  </si>
  <si>
    <t>1. Enter LDAP details
2. Click Test Connection without saving</t>
  </si>
  <si>
    <t>Valid LDAP details</t>
  </si>
  <si>
    <t>Test Connection runs and returns result without requiring save first</t>
  </si>
  <si>
    <t>Test Connection works before saving</t>
  </si>
  <si>
    <t>TC_ADMIN_728</t>
  </si>
  <si>
    <t>Verify LDAP Configuration page has correct title</t>
  </si>
  <si>
    <t>Verify page title is correctly displayed on LDAP Configuration page</t>
  </si>
  <si>
    <t>1. Navigate to LDAP Configuration page
2. Observe page heading</t>
  </si>
  <si>
    <t>Page heading displays 'LDAP Configuration' or similar</t>
  </si>
  <si>
    <t>Page heading displayed correctly</t>
  </si>
  <si>
    <t>TC_ADMIN_729</t>
  </si>
  <si>
    <t>Verify success notification on saving valid LDAP configuration</t>
  </si>
  <si>
    <t>Verify success toast/notification appears after saving valid LDAP configuration</t>
  </si>
  <si>
    <t>Admin has filled all required LDAP fields with valid data</t>
  </si>
  <si>
    <t>1. Fill LDAP form with valid data
2. Click Save
3. Observe notification</t>
  </si>
  <si>
    <t>Valid LDAP data</t>
  </si>
  <si>
    <t>Success toast message shown (e.g., 'Successfully Saved')</t>
  </si>
  <si>
    <t>Success toast displayed after save</t>
  </si>
  <si>
    <t>TC_ADMIN_730</t>
  </si>
  <si>
    <t>Verify LDAP port field accepts valid port numbers</t>
  </si>
  <si>
    <t>Verify valid port numbers (e.g., 389, 636) are accepted</t>
  </si>
  <si>
    <t>1. Enter valid port number (389)
2. Verify field accepts it</t>
  </si>
  <si>
    <t>Port: 389</t>
  </si>
  <si>
    <t>Port field accepts valid port number without errors</t>
  </si>
  <si>
    <t>Valid port accepted</t>
  </si>
  <si>
    <t>TC_ADMIN_731</t>
  </si>
  <si>
    <t>Verify LDAP port field rejects invalid port numbers</t>
  </si>
  <si>
    <t>Verify invalid port numbers (e.g., alphabets, negative values) are rejected</t>
  </si>
  <si>
    <t>1. Enter invalid port 'abc' in Port field
2. Click Save</t>
  </si>
  <si>
    <t>Port: 'abc'</t>
  </si>
  <si>
    <t>Validation error for port field; invalid port rejected</t>
  </si>
  <si>
    <t>Validation error displayed for invalid port</t>
  </si>
  <si>
    <t>TC_ADMIN_732</t>
  </si>
  <si>
    <t>Verify Cancel discards unsaved LDAP configuration changes</t>
  </si>
  <si>
    <t>Verify clicking Cancel discards any unsaved LDAP configuration changes</t>
  </si>
  <si>
    <t>Admin has made changes to LDAP configuration without saving</t>
  </si>
  <si>
    <t>1. Modify LDAP settings
2. Click Cancel
3. Verify settings reverted</t>
  </si>
  <si>
    <t>Unsaved LDAP changes discarded; previous configuration retained</t>
  </si>
  <si>
    <t>Previous config restored</t>
  </si>
  <si>
    <t>TC_ADMIN_733</t>
  </si>
  <si>
    <t>Verify LDAP encryption type options are available</t>
  </si>
  <si>
    <t>Verify encryption type options (None, SSL, TLS) are selectable</t>
  </si>
  <si>
    <t>1. Locate Encryption Type dropdown
2. Check available options</t>
  </si>
  <si>
    <t>Encryption options available: None, SSL, TLS/STARTTLS</t>
  </si>
  <si>
    <t>Encryption type options available</t>
  </si>
  <si>
    <t>TC_ADMIN_734</t>
  </si>
  <si>
    <t>Verify LDAP fields are disabled when LDAP toggle is OFF</t>
  </si>
  <si>
    <t>Verify all LDAP configuration fields are greyed out/disabled when LDAP is toggled OFF</t>
  </si>
  <si>
    <t>1. Toggle LDAP Enable to OFF
2. Observe configuration fields</t>
  </si>
  <si>
    <t>LDAP fields are greyed out or disabled when LDAP is turned off</t>
  </si>
  <si>
    <t>LDAP fields disabled when toggle is OFF</t>
  </si>
  <si>
    <t>TC_ADMIN_735</t>
  </si>
  <si>
    <t>Verify LDAP login option not shown when LDAP is disabled</t>
  </si>
  <si>
    <t>Verify LDAP login option is not available on login page when LDAP is disabled</t>
  </si>
  <si>
    <t>LDAP has been disabled and saved</t>
  </si>
  <si>
    <t>1. Navigate to OrangeHRM login page
2. Observe login options</t>
  </si>
  <si>
    <t>No LDAP login option displayed; only standard OrangeHRM login available</t>
  </si>
  <si>
    <t>No LDAP login option when disabled</t>
  </si>
  <si>
    <t>TC_ADMIN_736</t>
  </si>
  <si>
    <t>Verify unauthenticated access to LDAP Configuration page is blocked</t>
  </si>
  <si>
    <t>Verify accessing LDAP Configuration URL without login redirects to login</t>
  </si>
  <si>
    <t>1. Directly navigate to LDAP Configuration URL</t>
  </si>
  <si>
    <t>URL: /web/index.php/admin/ldapConfiguration</t>
  </si>
  <si>
    <t>TC_ADMIN_737</t>
  </si>
  <si>
    <t>Verify LDAP Configuration page loads within acceptable time</t>
  </si>
  <si>
    <t>Verify LDAP Configuration page loads within 3 seconds</t>
  </si>
  <si>
    <t>1. Navigate to LDAP Configuration page
2. Measure load time</t>
  </si>
  <si>
    <t>TC_ADMIN_738</t>
  </si>
  <si>
    <t>Verify LDAP SSL connection works correctly using port 636</t>
  </si>
  <si>
    <t>Verify that LDAP connection with SSL encryption and port 636 can be configured and tested</t>
  </si>
  <si>
    <t>1. Enable LDAP
2. Enter server URI with ldaps://
3. Set port to 636
4. Select SSL encryption
5. Click Test Connection</t>
  </si>
  <si>
    <t>Server: ldaps://company.com, Port: 636, Encryption: SSL</t>
  </si>
  <si>
    <t>Test Connection succeeds with SSL/port 636 configuration</t>
  </si>
  <si>
    <t>SSL connection validated</t>
  </si>
  <si>
    <t>LDAP SSL connection on port 636 tested successfully</t>
  </si>
  <si>
    <t>TC_ADMIN_739</t>
  </si>
  <si>
    <t>Verify LDAP Server URI field enforces max character limit</t>
  </si>
  <si>
    <t>Verify that LDAP Server URI field enforces a reasonable maximum character limit</t>
  </si>
  <si>
    <t>Admin is on LDAP Configuration page with LDAP enabled</t>
  </si>
  <si>
    <t>1. Enter a very long string (500+ characters) in Server URI field
2. Click Save</t>
  </si>
  <si>
    <t>Server URI: 500+ character string</t>
  </si>
  <si>
    <t>Field enforces max character limit; long input truncated or rejected</t>
  </si>
  <si>
    <t>Server URI field accepts excessively long input without character limit enforcement</t>
  </si>
  <si>
    <t>TC_ADMIN_740</t>
  </si>
  <si>
    <t>Verify Bind DN field accepts valid DN format</t>
  </si>
  <si>
    <t>Verify that the Bind DN field accepts properly formatted Distinguished Names</t>
  </si>
  <si>
    <t>1. Enter valid DN: 'cn=admin,dc=company,dc=com' in Bind DN field
2. Click Save</t>
  </si>
  <si>
    <t>Bind DN: cn=admin,dc=company,dc=com</t>
  </si>
  <si>
    <t>Valid DN format accepted without errors</t>
  </si>
  <si>
    <t>Valid Bind DN format accepted</t>
  </si>
  <si>
    <t>TC_ADMIN_741</t>
  </si>
  <si>
    <t>Verify LDAP TLS/STARTTLS encryption is selectable and functional</t>
  </si>
  <si>
    <t>Verify that TLS/STARTTLS encryption type can be selected and used for LDAP connection</t>
  </si>
  <si>
    <t>1. Enable LDAP
2. Select TLS/STARTTLS as encryption type
3. Set appropriate port (389)
4. Click Test Connection</t>
  </si>
  <si>
    <t>Encryption: TLS/STARTTLS, Port: 389</t>
  </si>
  <si>
    <t>TLS/STARTTLS option is available; Test Connection responds with appropriate result</t>
  </si>
  <si>
    <t>TLS/STARTTLS option available and selectable</t>
  </si>
  <si>
    <t>TC_ADMIN_742</t>
  </si>
  <si>
    <t>Verify LDAP Bind Password is not exposed in the page source code</t>
  </si>
  <si>
    <t>Verify that the saved LDAP Bind Password is not visible in the HTML page source</t>
  </si>
  <si>
    <t>Admin has saved LDAP configuration with a Bind Password</t>
  </si>
  <si>
    <t>1. Navigate to LDAP Configuration page
2. Right-click and View Page Source
3. Search for the password value</t>
  </si>
  <si>
    <t>Saved Bind Password</t>
  </si>
  <si>
    <t>Bind Password value is NOT visible in the page source; field shows masked value only</t>
  </si>
  <si>
    <t>Bind Password not exposed in page source code</t>
  </si>
  <si>
    <t>TC_ADMIN_743</t>
  </si>
  <si>
    <t>Verify LDAP Configuration page is responsive on mobile viewport</t>
  </si>
  <si>
    <t>Verify that LDAP Configuration page renders correctly on mobile screen sizes</t>
  </si>
  <si>
    <t>Admin logged in; browser in mobile viewport (375px)</t>
  </si>
  <si>
    <t>1. Resize browser to 375px width
2. Navigate to LDAP Configuration page
3. Observe layout</t>
  </si>
  <si>
    <t>Page renders correctly; all fields and controls accessible on mobile</t>
  </si>
  <si>
    <t>LDAP Configuration page renders correctly on mobile viewport</t>
  </si>
  <si>
    <t>TC_ADMIN_744</t>
  </si>
  <si>
    <t>Verify LDAP user attribute mappings can be configured</t>
  </si>
  <si>
    <t>Verify that Admin can configure LDAP user attribute mappings (e.g., username mapped to sAMAccountName)</t>
  </si>
  <si>
    <t>1. Enable LDAP
2. Locate User Attribute Mapping section
3. Map username to sAMAccountName
4. Save</t>
  </si>
  <si>
    <t>Attribute: sAMAccountName → username</t>
  </si>
  <si>
    <t>User attribute mapping saved successfully; LDAP login uses the mapped attribute</t>
  </si>
  <si>
    <t>Mapping saved</t>
  </si>
  <si>
    <t>User attribute mapping configuration works correctly</t>
  </si>
  <si>
    <t>TC_ADMIN_745</t>
  </si>
  <si>
    <t>Verify LDAP Configuration is not accessible via browser Back button after logout</t>
  </si>
  <si>
    <t>Verify that after logout, pressing the browser Back button does not expose LDAP configuration</t>
  </si>
  <si>
    <t>Admin had visited LDAP Configuration page; Admin has logged out</t>
  </si>
  <si>
    <t>1. Login as Admin
2. Navigate to LDAP Configuration page
3. Logout
4. Press browser Back button</t>
  </si>
  <si>
    <t>Browser redirects to login page; LDAP Configuration page not accessible after logout</t>
  </si>
  <si>
    <t>Browser redirects to login page; LDAP config not exposed via Back button</t>
  </si>
  <si>
    <t>TC_ADMIN_746</t>
  </si>
  <si>
    <t>Verify saving LDAP configuration without enabling LDAP toggle</t>
  </si>
  <si>
    <t>Verify system behavior when Admin fills LDAP fields but saves without enabling the LDAP toggle</t>
  </si>
  <si>
    <t>Admin is on LDAP Configuration page; LDAP toggle is OFF</t>
  </si>
  <si>
    <t>1. Leave LDAP Enable toggle OFF
2. Fill in LDAP fields
3. Click Save</t>
  </si>
  <si>
    <t>LDAP toggle: OFF; fields filled</t>
  </si>
  <si>
    <t>Configuration saved but LDAP not active; system still uses default authentication</t>
  </si>
  <si>
    <t>LDAP inactive; default auth used</t>
  </si>
  <si>
    <t>LDAP config saved but remains inactive when toggle is OFF</t>
  </si>
  <si>
    <t>TC_ADMIN_747</t>
  </si>
  <si>
    <t>Verify Test Connection button is disabled until required fields are filled</t>
  </si>
  <si>
    <t>Verify that the Test Connection button is disabled/greyed out until the Server URI is filled</t>
  </si>
  <si>
    <t>Admin is on LDAP Configuration page; LDAP is enabled; Server URI is empty</t>
  </si>
  <si>
    <t>1. Enable LDAP toggle
2. Leave Server URI empty
3. Observe Test Connection button state</t>
  </si>
  <si>
    <t>Server URI: empty</t>
  </si>
  <si>
    <t>Test Connection button is disabled or greyed out until Server URI is entered</t>
  </si>
  <si>
    <t>Test Connection button is active and clickable even when required Server URI is empty</t>
  </si>
  <si>
    <t>TC_ADMIN_748</t>
  </si>
  <si>
    <t>Verify LDAP search scope dropdown contains valid options</t>
  </si>
  <si>
    <t>Verify that the LDAP search scope dropdown contains valid options (e.g., One Level, Sub Tree)</t>
  </si>
  <si>
    <t>1. Enable LDAP
2. Locate Search Scope dropdown
3. Check available options</t>
  </si>
  <si>
    <t>Search scope options include: 'One Level', 'Sub Tree' or similar standard LDAP scope options</t>
  </si>
  <si>
    <t>Search scope dropdown options present and correctly labelled</t>
  </si>
  <si>
    <t>TC_ADMIN_749</t>
  </si>
  <si>
    <t>Verify LDAP Configuration page is fully functional in Firefox</t>
  </si>
  <si>
    <t>Verify cross-browser compatibility — LDAP Configuration page works in Firefox</t>
  </si>
  <si>
    <t>Admin logged in via Firefox browser</t>
  </si>
  <si>
    <t>1. Open OrangeHRM in Firefox
2. Navigate to LDAP Configuration
3. Enable LDAP, fill details, click Save</t>
  </si>
  <si>
    <t>All LDAP configuration features work correctly in Firefox</t>
  </si>
  <si>
    <t>LDAP Configuration page fully functional in Firefox</t>
  </si>
  <si>
    <t>TC_PIM_001</t>
  </si>
  <si>
    <t>Verify PIM page header is displayed correctly</t>
  </si>
  <si>
    <t>Ensure the PIM page displays correct title</t>
  </si>
  <si>
    <t>User is logged in as Admin
 on the Dashboard page</t>
  </si>
  <si>
    <t>1. Navigate to PIM page</t>
  </si>
  <si>
    <t>Header displays "PIM" or "Employee
 Information"</t>
  </si>
  <si>
    <t>Page loaded 
successfully</t>
  </si>
  <si>
    <t>Header displayed correctly</t>
  </si>
  <si>
    <t>TC_PIM_002</t>
  </si>
  <si>
    <t>Verify PIM navigation menu items are visible</t>
  </si>
  <si>
    <t>Ensure required menu items are present</t>
  </si>
  <si>
    <t>User is on PIM page</t>
  </si>
  <si>
    <t xml:space="preserve">
1. Click navigation menu</t>
  </si>
  <si>
    <t>Menu contains:
About
Support
Change Password
Logout</t>
  </si>
  <si>
    <t>Navigation menu
 is usable</t>
  </si>
  <si>
    <t>All menu items are visible</t>
  </si>
  <si>
    <t>TC_PIM_003</t>
  </si>
  <si>
    <t>Verify configuration menu contains the correct options</t>
  </si>
  <si>
    <t>Ensure the required configuration menu is present</t>
  </si>
  <si>
    <t>1. Click Configuration menu</t>
  </si>
  <si>
    <t>Options include:
Optional Fields
Custom Fields
Data Import
Reporting Methods
Termination Reasons</t>
  </si>
  <si>
    <t>Configuration options 
are accessible</t>
  </si>
  <si>
    <t>Options displayed correctly</t>
  </si>
  <si>
    <t>TC_PIM_004</t>
  </si>
  <si>
    <t>Verify search/filter section is visible on page load</t>
  </si>
  <si>
    <t>Ensure that the search/filter section appears when the page loads</t>
  </si>
  <si>
    <t>1. Load PIM page</t>
  </si>
  <si>
    <t>Search section is visible</t>
  </si>
  <si>
    <t>User can use search</t>
  </si>
  <si>
    <t>Search section displayed</t>
  </si>
  <si>
    <t>TC_PIM_005</t>
  </si>
  <si>
    <t>Verify all search fields are displayed</t>
  </si>
  <si>
    <t>Ensure all required search inputs are present</t>
  </si>
  <si>
    <t>1. Observe search form</t>
  </si>
  <si>
    <t>Fields include:
Employee Name
Employee ID
Job Title
Employment Status
Sub Unit
Supervisor Name</t>
  </si>
  <si>
    <t>Search form is usable</t>
  </si>
  <si>
    <t>All fields displayed</t>
  </si>
  <si>
    <t>TC_PIM_006</t>
  </si>
  <si>
    <t>Verify employee table is visible on page load</t>
  </si>
  <si>
    <t>Ensure that employee table appears when page loads</t>
  </si>
  <si>
    <t>Employee table is visible</t>
  </si>
  <si>
    <t>Data can be viewed</t>
  </si>
  <si>
    <t>The Table is appeared succesfully</t>
  </si>
  <si>
    <t>TC_PIM_007</t>
  </si>
  <si>
    <t>Verify employee table columns are correct</t>
  </si>
  <si>
    <t>Ensure table shows correct columns</t>
  </si>
  <si>
    <t>Employee data exists</t>
  </si>
  <si>
    <t>1. View table</t>
  </si>
  <si>
    <t>Columns include:
Employee ID
First Name
Last Name
Job Title
Employment Status
Sub Unit
Supervisor</t>
  </si>
  <si>
    <t>Table structure 
validated</t>
  </si>
  <si>
    <t>Columns displayed correctly</t>
  </si>
  <si>
    <t>TC_PIM_008</t>
  </si>
  <si>
    <t>Verify Add and Delete buttons are visible</t>
  </si>
  <si>
    <t>Ensure action buttons are accessible</t>
  </si>
  <si>
    <t>1. Check buttons</t>
  </si>
  <si>
    <t>Buttons visible and clickable</t>
  </si>
  <si>
    <t>User can perform 
actions</t>
  </si>
  <si>
    <t>Buttons displayed</t>
  </si>
  <si>
    <t>TC_PIM_009</t>
  </si>
  <si>
    <t>Verify "No Records Found" message</t>
  </si>
  <si>
    <t>Ensure system handles empty data</t>
  </si>
  <si>
    <t>No employees exist OR
 filter returns empty</t>
  </si>
  <si>
    <t>1. Apply filter with no results</t>
  </si>
  <si>
    <t>Employee Name: XYZ_NotExist</t>
  </si>
  <si>
    <t>"No Records Found" displayed</t>
  </si>
  <si>
    <t>UI shows empty state</t>
  </si>
  <si>
    <t>Message displayed</t>
  </si>
  <si>
    <t>TC_PIM_010</t>
  </si>
  <si>
    <t>Verify layout across devices</t>
  </si>
  <si>
    <t>Ensure UI adapts to different screens</t>
  </si>
  <si>
    <t>User accesses site on different devices</t>
  </si>
  <si>
    <t>1. Open on desktop
2. Resize window
3. Open on mobile</t>
  </si>
  <si>
    <t>Layout remains readable</t>
  </si>
  <si>
    <t>UI remains usable</t>
  </si>
  <si>
    <t>Layout adapts correctly</t>
  </si>
  <si>
    <t>TC_PIM_011</t>
  </si>
  <si>
    <t>Loading indicator is not clearly visible while fetching employee data</t>
  </si>
  <si>
    <t>Loading indicator appears too briefly or is not clearly noticeable, which may
 confuse users about whether data is being loaded</t>
  </si>
  <si>
    <t>1. Navigate to PIM page
2. Refresh page</t>
  </si>
  <si>
    <t>Loader is clear and continues
 until the data is loaded</t>
  </si>
  <si>
    <t>Loader visible</t>
  </si>
  <si>
    <t>TC_PIM_012</t>
  </si>
  <si>
    <t>Verify the green Add button works</t>
  </si>
  <si>
    <t>Checking the functionality of the "Add" button</t>
  </si>
  <si>
    <t>1- User is on PIM page
2- "Add" button is displayed</t>
  </si>
  <si>
    <t>1. Navigate cursor to "Add" button
2. Click on Add button</t>
  </si>
  <si>
    <t>A form for the employee data is displayed</t>
  </si>
  <si>
    <t>Fields for the new employee data are appeared</t>
  </si>
  <si>
    <t>A new page contains fields for the employee data is loaded succesfully</t>
  </si>
  <si>
    <t>TC_PIM_013</t>
  </si>
  <si>
    <t>Verify "Add Employee" button works</t>
  </si>
  <si>
    <t>Checking the functionality of the "Add employee" button</t>
  </si>
  <si>
    <t>1- User is on PIM page
2- "Add employee" button is displayed</t>
  </si>
  <si>
    <t>TC_PIM_014</t>
  </si>
  <si>
    <t>Verify the Add employee page is loaded</t>
  </si>
  <si>
    <t>Check if the add employee is loaded succesfully</t>
  </si>
  <si>
    <t>User clicked on "Add" or "Add employee" buttons</t>
  </si>
  <si>
    <t>The page display fields for the new employee's data</t>
  </si>
  <si>
    <t xml:space="preserve">User can add the employee </t>
  </si>
  <si>
    <t>The page is loaded succesfully</t>
  </si>
  <si>
    <t>TC_PIM_015</t>
  </si>
  <si>
    <t>Verify the prevention of empty fields submission</t>
  </si>
  <si>
    <t>Check system prevents submission when required fields are empty</t>
  </si>
  <si>
    <t>User on add employee page</t>
  </si>
  <si>
    <t>Click on "Save" button without any data enties</t>
  </si>
  <si>
    <t xml:space="preserve">First Name: 
Middle Name:
Last Name:
Employee ID: </t>
  </si>
  <si>
    <t>The system delines the data</t>
  </si>
  <si>
    <t>The required Fields is bordered with red and "Required" is written below them</t>
  </si>
  <si>
    <t>TC_PIM_016</t>
  </si>
  <si>
    <t>Verify Successfull data entry for Add employee page</t>
  </si>
  <si>
    <t>Check system accepts data succesully</t>
  </si>
  <si>
    <t>1. Enter valid First name, Middle Name, Last Name and Employee ID
2.Click on Save button</t>
  </si>
  <si>
    <t xml:space="preserve">First Name: Test
Middle Name: Test
Last Name: Test
Employee ID: 0000 </t>
  </si>
  <si>
    <t>System accepts the data</t>
  </si>
  <si>
    <t>A notification appears shows that the data is accepted</t>
  </si>
  <si>
    <t>A message "Success succefully saved" appeared and user is navigated to the new employee profile</t>
  </si>
  <si>
    <t>TC_PIM_017</t>
  </si>
  <si>
    <t>Verify Employee ID is not mandatory and system allows saving empty value</t>
  </si>
  <si>
    <t>Ensure system behavior when Employee ID field is left empty during employee creation</t>
  </si>
  <si>
    <t>User is on Add Employee page</t>
  </si>
  <si>
    <t>1. Enter First Name: John
2. Enter Last Name: Doe
3. Employee ID:
4. Click "Save"</t>
  </si>
  <si>
    <t>First Name: John
Last Name: Doe
Employee ID: (Empty)</t>
  </si>
  <si>
    <t>The system should either:
Prevent submission and show a validation message
OR
Clearly define that the Employee ID is optional and auto-generated</t>
  </si>
  <si>
    <t>Employee should not
 be created with invalid/missing identifier</t>
  </si>
  <si>
    <t>System allows saving employee with empty Employee ID</t>
  </si>
  <si>
    <t>TC_PIM_018</t>
  </si>
  <si>
    <t>Verify password confirmation validation is triggered on Save action</t>
  </si>
  <si>
    <t>Ensure system validates password and confirm password fields after clicking Save</t>
  </si>
  <si>
    <t>1. User is on Add Employee page
2."Create Login Details" toggle is enabled</t>
  </si>
  <si>
    <t>1. Enter Username: testUser
2. Enter Password: Example#123456
3. Enter Confirm Password: Example#123
Click "Save"</t>
  </si>
  <si>
    <t>Username: testUser
Password: Example#123456
Confirm Password: Example#123</t>
  </si>
  <si>
    <t>System should display error message: 
"Passwords do not match" after clicking Save</t>
  </si>
  <si>
    <t>Employee is not created</t>
  </si>
  <si>
    <t>Error message displayed after clicking Save</t>
  </si>
  <si>
    <t>TC_PIM_019</t>
  </si>
  <si>
    <t>Verify system handles special characters in employee name fields</t>
  </si>
  <si>
    <t>Ensure system validates employee name fields against invalid characters</t>
  </si>
  <si>
    <t>1. Enter First Name: @@@###
2. Enter Last Name: 12345
3. Click "Save"</t>
  </si>
  <si>
    <t>First Name: @@@###
Last Name: 12345</t>
  </si>
  <si>
    <t>System should reject invalid characters
 and display error message</t>
  </si>
  <si>
    <t>Employee should not be created</t>
  </si>
  <si>
    <t>System accepted invalid 
characters and created employee</t>
  </si>
  <si>
    <t>TC_PIM_020</t>
  </si>
  <si>
    <t>Verify system trims leading and trailing spaces in name fields</t>
  </si>
  <si>
    <t>Ensure system removes unnecessary spaces before saving</t>
  </si>
  <si>
    <t>1. Enter First Name: " John "
2. Enter Last Name: " Doe "
3. Click "Save"</t>
  </si>
  <si>
    <t>First Name: " John "
Last Name: " Doe "</t>
  </si>
  <si>
    <t>System should trim spaces and save clean values</t>
  </si>
  <si>
    <t>Stored data should not contain extra spaces</t>
  </si>
  <si>
    <t>System saved values with leading/trailing spaces</t>
  </si>
  <si>
    <t>TC_PIM_021</t>
  </si>
  <si>
    <t>Verify system prevents duplicate usernames</t>
  </si>
  <si>
    <t>Ensure system does not allow creation of duplicate usernames</t>
  </si>
  <si>
    <t>1. Enable "Create Login Details"
2. Enter existing Username
3. Fill required fields
4. Click "Save"</t>
  </si>
  <si>
    <t>System should block duplicate username and show validation message</t>
  </si>
  <si>
    <t>Employee should not be created with duplicate username</t>
  </si>
  <si>
    <t>System blocked duplicate username successfully</t>
  </si>
  <si>
    <t>TC_PIM_022</t>
  </si>
  <si>
    <t>Verify system prevents duplicate employee creation on double click</t>
  </si>
  <si>
    <t>Ensure system handles multiple clicks on Save correctly</t>
  </si>
  <si>
    <t>1. Fill valid employee data
2. Double click "Save" quickly</t>
  </si>
  <si>
    <t>First Name: John
Last Name: Doe</t>
  </si>
  <si>
    <t>Only one employee record should be created</t>
  </si>
  <si>
    <t>No duplicate records exist</t>
  </si>
  <si>
    <t>Only one employee record created</t>
  </si>
  <si>
    <t>TC_PIM_023</t>
  </si>
  <si>
    <t>Verify system handles very long input values</t>
  </si>
  <si>
    <t>Ensure system does not break with large input sizes</t>
  </si>
  <si>
    <t>1. Enter First Name with 30+ characters
2. Enter Last Name normally
3. Click "Save"</t>
  </si>
  <si>
    <t>First Name: 300+ characters</t>
  </si>
  <si>
    <t>System should handle input without breaking UI or crashing</t>
  </si>
  <si>
    <t>System remains stable and responsive</t>
  </si>
  <si>
    <t>System handled long input correctly</t>
  </si>
  <si>
    <t>TC_PIM_024</t>
  </si>
  <si>
    <t>Verify system behavior when refreshing page during data entry</t>
  </si>
  <si>
    <t>Ensure system handles refresh safely</t>
  </si>
  <si>
    <t>1. Enter employee data
2. Refresh browser</t>
  </si>
  <si>
    <t>Page refreshes the confirmation message</t>
  </si>
  <si>
    <t>Page reloads correctly and user can start again</t>
  </si>
  <si>
    <t xml:space="preserve">Page refreshed normally </t>
  </si>
  <si>
    <t>TC_PIM_025</t>
  </si>
  <si>
    <t>Verify system accepts valid image formats and size</t>
  </si>
  <si>
    <t>Ensure only allowed formats and size are accepted</t>
  </si>
  <si>
    <t>1. Upload image (.jpg / .png / .gif)
2. Ensure size &lt; 1MB
3. Click Save</t>
  </si>
  <si>
    <t>Image uploaded successfully</t>
  </si>
  <si>
    <t>the image appears replacing its placeholder</t>
  </si>
  <si>
    <t>Upload successful</t>
  </si>
  <si>
    <t>TC_PIM_026</t>
  </si>
  <si>
    <t>Verify Create login details toggle works</t>
  </si>
  <si>
    <t>Ensure the functionality of create logins detail login</t>
  </si>
  <si>
    <t>Click on create login details login</t>
  </si>
  <si>
    <t>Fields labled with username and password appear</t>
  </si>
  <si>
    <t>user can fill the fields</t>
  </si>
  <si>
    <t>The fields displayed succefully</t>
  </si>
  <si>
    <t>TC_PIM_027</t>
  </si>
  <si>
    <t>Verify the status' buttons work</t>
  </si>
  <si>
    <t>Ensure the functionality of both of "enabled" and "disabled" of status' buttons</t>
  </si>
  <si>
    <t>User is on Add Employee page
Create login details is switched on</t>
  </si>
  <si>
    <t>Click on "Enabled" and disabled</t>
  </si>
  <si>
    <t>On clicking on one of them its selected</t>
  </si>
  <si>
    <t>each one is selected succesfully</t>
  </si>
  <si>
    <t>TC_PIM_028</t>
  </si>
  <si>
    <t>Verify Admin can enable and create login details for a new employee.</t>
  </si>
  <si>
    <t>Check that when an Admin is adding a new employee, clicking the "Create Login Details" toggle switch successfully expands the form, allowing the Admin to input and save a username and password for the new user.</t>
  </si>
  <si>
    <t>1. Navigate to the PIM tab from the main side menu.
2. Click on the Add Employee tab in the top navigation bar.
3. Enter valid data into the First Name and Last Name fields.
4. Turn on Create login details switch
5. Enter a unique and valid Username
6. Enter a valid Password and repeat it in the Confirm Password field.
7. Leave the Status as Enabled.</t>
  </si>
  <si>
    <t>First Name: John
Last Name: Doe
ID:0000
Username: John_Doe
Password:John_1234
Status: Enabled</t>
  </si>
  <si>
    <t>After filling out the required fields and clicking Save, the system should save the employee record along with their active login credentials, and display a "Successfully Saved"  message.</t>
  </si>
  <si>
    <t>A new employee record and a corresponding user account are successfully created and stored in the system database.</t>
  </si>
  <si>
    <t>The new employee is created successfully and navigated to its profile</t>
  </si>
  <si>
    <t>TC_PIM_029</t>
  </si>
  <si>
    <t>Verify Admin can set the account status to Disabled when creating login details.</t>
  </si>
  <si>
    <t>Check that the Admin can successfully select the "Disabled" radio button in the Status section when creating login details for a new employee.</t>
  </si>
  <si>
    <t>1. Navigate to the PIM module from the side menu.
2. Click on the Add Employee tab.
3. Enter valid data into the First Name and Last Name fields.
4. Click on the Create Login Details toggle switch to enable it.
5. Locate the Status section.
6. Click on the Disabled radio button.
7. Enter a valid Username, Password, and Confirm Password.
8. Click the Save button.</t>
  </si>
  <si>
    <t>First Name: John
Last Name: Doe
ID:0000
Username: John_Doe
Password:John_1235
Status: Disabled</t>
  </si>
  <si>
    <t>After clicking Save, the system should successfully save the employee record and create the user account with a "Disabled" status, displaying a "Successfully Saved" message.</t>
  </si>
  <si>
    <t>A new employee record is created, and their associated user account is saved in the system with a disabled status.</t>
  </si>
  <si>
    <t>TC_PIM_030</t>
  </si>
  <si>
    <t>Verify validation errors when required login fields are left blank.</t>
  </si>
  <si>
    <t>Check that the system prevents submission and displays validation error messages if the "Create Login Details" toggle is enabled but the required fields (Username, Password, Confirm Password) are left empty.</t>
  </si>
  <si>
    <t>1. Navigate to the PIM module from the side menu.
2. Click on the Add Employee tab.
3. Enter valid data into the First Name and Last Name fields.
4. Click on the Create Login Details toggle switch to enable it.
5. Leave the Username, Password, and Confirm Password fields completely blank.
6. Click the Save button.</t>
  </si>
  <si>
    <t>First Name: John
Last Name: Doe
ID:0000
Username: [blank]
Password: [blank]</t>
  </si>
  <si>
    <t>The form should not be submitted. The system should display a "Required" validation error message directly beneath the Username, Password, and Confirm Password input fields.</t>
  </si>
  <si>
    <t>No new employee record or user login account is created in the system.</t>
  </si>
  <si>
    <t>The error messages is displayed successfully and no record is saved</t>
  </si>
  <si>
    <t>TC_PIM_031</t>
  </si>
  <si>
    <t>Verify Username length validation (Minimum Characters).</t>
  </si>
  <si>
    <t>Ensures the system validates the format of the Username field, specifically preventing names that are too short (typically less than 5 characters).</t>
  </si>
  <si>
    <t>1. Enter valid First and Last names.
2. In the Username field, enter only two characters (e.g., "ay").
3. Fill in valid Password and Confirm Password.
4. Click the Save button.</t>
  </si>
  <si>
    <t>Username: ay
Password: Password@123</t>
  </si>
  <si>
    <t>The system should display a validation message: "Should have at least 5 characters" (or the system's specific minimum) and prevent submission.</t>
  </si>
  <si>
    <t>Record is not saved.</t>
  </si>
  <si>
    <t>TC_PIM_032</t>
  </si>
  <si>
    <t>Verify Password complexity validation requirements.</t>
  </si>
  <si>
    <t>Check that the system enforces the complexity rule: "please use a hard to guess combination of text with upper and lower case characters, symbols and numbers."</t>
  </si>
  <si>
    <t>1. Enter valid First and Last names.
2. Enter a valid Username.
3. In the Password field, enter a simple string of lowercase letters (e.g., "password").
4. Enter the same string in Confirm Password.
5. Click the Save button.</t>
  </si>
  <si>
    <t>Password: password
Confirm Password: password</t>
  </si>
  <si>
    <t>The system should identify the password as "Very Weak" or "Weak" and display a validation error requiring a stronger combination of characters before allowing a save.</t>
  </si>
  <si>
    <t>The message is displayed successfully and no record is saved</t>
  </si>
  <si>
    <t>TC_PIM_033</t>
  </si>
  <si>
    <t>Verify validation when Passwords do not match.</t>
  </si>
  <si>
    <t>Check that the system prevents submission if the "Confirm Password" field does not exactly match the "Password" field.</t>
  </si>
  <si>
    <t>1. Enter a valid Username.
2. Enter Admin@123 in the Password field.
3. Enter Admin@456 in the Confirm Password field.
4. Click the Save button.</t>
  </si>
  <si>
    <t>Password: Admin@123
Confirm Password: Admin@456</t>
  </si>
  <si>
    <t>The system should display a validation error message: "Passwords do not match" and prevent the record from being saved.</t>
  </si>
  <si>
    <t>TC_PIM_034</t>
  </si>
  <si>
    <t>Verify new employee record appears in the Employee List after successful creation.</t>
  </si>
  <si>
    <t>Check that once an employee is saved (with login details), their record is searchable and visible in the PIM Employee List.</t>
  </si>
  <si>
    <t>1. Navigate to the PIM module from the side menu.
2. Click on the Add Employee tab.
3. Enter valid data into the First Name and Last Name fields.
4. Click on the Create Login Details toggle switch to enable it.
5. Locate the Status section.
6. Click on the Disabled radio button.
7. Enter a valid Username, Password, and Confirm Password.
8. Click the Save button.
9. Navigate to the PIM module again
10. In the Employee Name search field, type the name used in the creation step (e.g., "Test User029").
11. Click the Search button.
12. Observe the records displayed in the results table.</t>
  </si>
  <si>
    <t xml:space="preserve">The system should display the record in the results table with the correct Employee ID, First Name, and Last Name. </t>
  </si>
  <si>
    <t>The integrity of the employee database is verified via the UI.</t>
  </si>
  <si>
    <t>The new employee is created and displayed in the employees list successfully</t>
  </si>
  <si>
    <t>TC_PIM_035</t>
  </si>
  <si>
    <t>Verify the new employee can successfully log in with the created credentials.</t>
  </si>
  <si>
    <t>Check that the "Create Login Details" functionality works end-to-end by attempting to log into the system with the new credentials.</t>
  </si>
  <si>
    <t>A new employee account has been created with the Username "John_Doe" and Status Enabled.</t>
  </si>
  <si>
    <t>1. Log out of the Admin account.
2. On the Login page, enter the newly created Username .
3. Enter the corresponding Password.
4. Click the Login button.</t>
  </si>
  <si>
    <t>Username: John_Doe
Password:John_1234</t>
  </si>
  <si>
    <t>The user should be successfully authenticated and redirected to the OrangeHRM Dashboard.</t>
  </si>
  <si>
    <t>The user is logged into the system as an employee.</t>
  </si>
  <si>
    <t>The user is logged in successfully</t>
  </si>
  <si>
    <t>TC_PIM_036</t>
  </si>
  <si>
    <t>Verify admin can enter search criteria in all filter fields.</t>
  </si>
  <si>
    <t xml:space="preserve">Ensure all search/filter fields accept valid input correctly </t>
  </si>
  <si>
    <t>1. User is logged in as Admin.
2. User is on the PIM &gt; Employee List page.</t>
  </si>
  <si>
    <t>1.Enter Employee Name 
2.Enter Employee ID 
3.Select Job Title 
4.Select Employment Status 
5.Select Sub Unit 
6.Enter Supervisor Name 
7.Select audience from Include dropdown</t>
  </si>
  <si>
    <t>Employee Name: Linda Anderson
Employee ID: 0245
Job Title: QA Engineer
Employment Status: Full-Time probation
Sub Unit: Engineering
Supervisor: joker john selvam</t>
  </si>
  <si>
    <t xml:space="preserve">All search fields should accept and display entered values correctly </t>
  </si>
  <si>
    <t>Search criteria remains available until search/reset action</t>
  </si>
  <si>
    <t xml:space="preserve">Search fields accepted data successfully </t>
  </si>
  <si>
    <t>TC_PIM_037</t>
  </si>
  <si>
    <t>Verify search results for a specific Employee Name.</t>
  </si>
  <si>
    <t>Confirms that entering a valid name in the hint field filters the list to that specific employee.</t>
  </si>
  <si>
    <t>1. User is logged in as Admin.
2. User is on the PIM &gt; Employee List page.
3. At least one employee record exists in the system.</t>
  </si>
  <si>
    <t>1. Enter a valid employee name in the Employee Name hint field.
2. Click the Search button.</t>
  </si>
  <si>
    <t>Employee Name: John  Doe</t>
  </si>
  <si>
    <t>Only employees with "John Doe" in their name are displayed in the results table.</t>
  </si>
  <si>
    <t>The employee is displayed successfully</t>
  </si>
  <si>
    <t>TC_PIM_038</t>
  </si>
  <si>
    <t>Verify search results for a unique Employee ID.</t>
  </si>
  <si>
    <t>Confirms that entering a specific ID filters the list to the single matching record.</t>
  </si>
  <si>
    <t>1. Enter a valid ID in the Employee ID field.
2. Click Search.</t>
  </si>
  <si>
    <t>Employee ID: 0000</t>
  </si>
  <si>
    <t>Only the record matching the exact Employee ID is displayed.</t>
  </si>
  <si>
    <t>The employee with the entered ID is displayed successfully</t>
  </si>
  <si>
    <t>TC_PIM_039</t>
  </si>
  <si>
    <t>Verify filtering by Employment Status dropdown.</t>
  </si>
  <si>
    <t>Check the list filters records based on the selected employment type.</t>
  </si>
  <si>
    <t>1. Select a value from the Employment Status dropdown.
2. Click Search.</t>
  </si>
  <si>
    <t>Status: Full-Time Permanent</t>
  </si>
  <si>
    <t>the table displays only employees with the "Full-Time Permanent" status are displayed.</t>
  </si>
  <si>
    <t>Only employees with the "Full-Time Permanent" status are displayed successfully</t>
  </si>
  <si>
    <t>TC_PIM_040</t>
  </si>
  <si>
    <t>Verify filtering by specific search audience (Include).</t>
  </si>
  <si>
    <t>Ensure the system correctly includes or excludes terminated employees.</t>
  </si>
  <si>
    <t>1. Select "Past Employees Only" in the Include dropdown.
2. Click Search.</t>
  </si>
  <si>
    <t>include: Past Employees Only</t>
  </si>
  <si>
    <t>The table displays only records of employees who have been terminated or are no longer active.</t>
  </si>
  <si>
    <t>Only past employees are displayed successfully</t>
  </si>
  <si>
    <t>TC_PIM_041</t>
  </si>
  <si>
    <t>Verify search results for a specific Supervisor.</t>
  </si>
  <si>
    <t>Confirms the list filters for all subordinates under a specific supervisor.</t>
  </si>
  <si>
    <t>1. Enter a valid supervisor name in the Supervisor Name field.
2. Click Search.</t>
  </si>
  <si>
    <t>Supervisor Name: joker john selvam</t>
  </si>
  <si>
    <t>the table displays only employees assigned to "joker john selvam" as their supervisor</t>
  </si>
  <si>
    <t>Only employees assigned to "joker john selvam" as their supervisor are displayed successfully.</t>
  </si>
  <si>
    <t>TC_PIM_042</t>
  </si>
  <si>
    <t>Verify filtering by Job Title dropdown.</t>
  </si>
  <si>
    <t>Confirms the list filters records based on the selected professional role.</t>
  </si>
  <si>
    <t>1. Select a role from the Job Title dropdown.
2. Click Search.</t>
  </si>
  <si>
    <t>Job Title: Software Engineer</t>
  </si>
  <si>
    <t>the table displays only employees with the job title "Software Engineer".</t>
  </si>
  <si>
    <t>Only employees with the job title "Software Engineer" are displayed successfully.</t>
  </si>
  <si>
    <t>TC_PIM_043</t>
  </si>
  <si>
    <t>Verify filtering by Sub Unit (Department) dropdown.</t>
  </si>
  <si>
    <t>Confirms the list filters records based on the selected organizational department.</t>
  </si>
  <si>
    <t>1. Select a department from the Sub Unit dropdown.
2. Click Search.</t>
  </si>
  <si>
    <t xml:space="preserve"> Sub Unit: Engineering</t>
  </si>
  <si>
    <t>the table displays Only employees assigned to the "Engineering" sub-unit.</t>
  </si>
  <si>
    <t>Only employees assigned to the "Engineering" sub-unit are displayed successfully.</t>
  </si>
  <si>
    <t>TC_PIM_044</t>
  </si>
  <si>
    <t xml:space="preserve">Verify system displays message when no matching employee exists </t>
  </si>
  <si>
    <t xml:space="preserve">Ensure proper feedback appears when search returns no results </t>
  </si>
  <si>
    <t xml:space="preserve">1.Enter invalid/non-existing search criteria 
2.Click Search </t>
  </si>
  <si>
    <t xml:space="preserve">Employee Name: Invalid Employee XYZ </t>
  </si>
  <si>
    <t xml:space="preserve">“No matching records found” message should appear </t>
  </si>
  <si>
    <t xml:space="preserve">Employee table remains empty </t>
  </si>
  <si>
    <t xml:space="preserve">No matching records message displayed successfully </t>
  </si>
  <si>
    <t>TC_PIM_045</t>
  </si>
  <si>
    <t xml:space="preserve">Verify Reset button clears all search filters </t>
  </si>
  <si>
    <t xml:space="preserve">Ensure all entered filters are removed after reset </t>
  </si>
  <si>
    <t xml:space="preserve">1. User is logged in as Admin.
2. User is on the PIM &gt; Employee List page.
3. Search criteria already entered </t>
  </si>
  <si>
    <t xml:space="preserve">1.Enter search filters 
2.Click Reset button </t>
  </si>
  <si>
    <t>All search fields should reset to default/empty state</t>
  </si>
  <si>
    <t xml:space="preserve">Search filters cleared successfully </t>
  </si>
  <si>
    <t xml:space="preserve">Filters cleared successfully and full employee list appears after reset </t>
  </si>
  <si>
    <t>TC_PIM_046</t>
  </si>
  <si>
    <t xml:space="preserve">Verify admin can open employee profile by clicking employee name </t>
  </si>
  <si>
    <t xml:space="preserve">Ensure employee profile page opens correctly from employee name link </t>
  </si>
  <si>
    <t xml:space="preserve">Employee records exist </t>
  </si>
  <si>
    <t xml:space="preserve">1.Navigate to Employee List 
2.Click employee name  </t>
  </si>
  <si>
    <t>Employee profile page opens successfully</t>
  </si>
  <si>
    <t xml:space="preserve">Employee profile becomes accessible </t>
  </si>
  <si>
    <t xml:space="preserve">Employee profile opened successfully </t>
  </si>
  <si>
    <t>TC_PIM_047</t>
  </si>
  <si>
    <t xml:space="preserve">Verify admin can edit employee profile using edit action button </t>
  </si>
  <si>
    <t xml:space="preserve">Ensure clicking edit button enables editable fields </t>
  </si>
  <si>
    <t xml:space="preserve">1.Navigate to Employee List 
2.Click Edit button  </t>
  </si>
  <si>
    <t>TC_PIM_048</t>
  </si>
  <si>
    <t>Verify Admin can modify and save all editable fields in the Personal Details section.</t>
  </si>
  <si>
    <t>Ensure that an Admin can successfully update all personal identity, text fields, dropdowns, and date pickers on an employee's main Personal Details screen.</t>
  </si>
  <si>
    <t xml:space="preserve">An employee profile is opened </t>
  </si>
  <si>
    <t>1. Clear and modify the First Name, Middle Name, and Last Name fields.
2. Update the Other ID and Driver's License Number text fields.
3. Select a new date using the License Expiry Date calendar picker.
4. Select a different option from the Nationality dropdown.
5. Select a different option from the Marital Status dropdown.
6. Select a new date using the Date of Birth calendar picker.
7. Change the Gender option via the radio buttons.
8. Click the Save button for the Personal Details section.</t>
  </si>
  <si>
    <t>First Name: Alex
Middle Name: M
Last Name: Smith
ID: 9988
Other ID: ID9988
Driver's License: DL-77665
License Expiry: 2029-12-31
Nationality: American
Marital Status: Married
DOB: 1994-08-20
Gender: Male
Blood Type: A+</t>
  </si>
  <si>
    <t>All fields should accept the new inputs. After clicking Save, a "Successfully Updated" notification toast must display, and the page should refresh showing the updated information.</t>
  </si>
  <si>
    <t>The employee's personal details are permanently modified in the system database.</t>
  </si>
  <si>
    <t xml:space="preserve">The edited fields are successfully updated </t>
  </si>
  <si>
    <t>1- The date picker doesn't get years more than 2026
2- what is the test_field in personal details in employee profile</t>
  </si>
  <si>
    <t>TC_PIM_049</t>
  </si>
  <si>
    <t>Verify Admin can successfully upload a valid file attachment with a comment in the Personal Details section.</t>
  </si>
  <si>
    <t>Ensure that the Admin can scroll to the Attachments section on an employee's profile, upload a valid file, add a comment, and save it.</t>
  </si>
  <si>
    <t>1. Scroll down to the Attachments section located at the bottom of the page.
2. Click on the + Add button.
3. Click the Browse (or Select File) button.
4. Select a valid local file (e.g., a PDF or JPEG document).
5. Enter a description in the Comment text box.
6. Click the Save button within the attachment configuration pane.</t>
  </si>
  <si>
    <t>File Name: national_id.pdf (Size: 450 KB)
Comment: Valid national identity document copy.</t>
  </si>
  <si>
    <t>The file should upload without errors. A "Successfully Saved" toast notification must display, the attachment panel should close, and the file details (Name, Size, Type, Comment, Date Added) must appear as a new row in the records grid.</t>
  </si>
  <si>
    <t>The uploaded file is successfully associated and stored with the employee's profile.</t>
  </si>
  <si>
    <t>The file is uploaded successfully</t>
  </si>
  <si>
    <t>TC_PIM_050</t>
  </si>
  <si>
    <t>Verify system validation error when trying to save an attachment entry with an empty file field in the Personal Details section.</t>
  </si>
  <si>
    <t>Ensure that the system prevents submission and throws a validation error if the Admin fills in the comment but fails to pick an actual file to upload.</t>
  </si>
  <si>
    <t>1. Leave the file upload field completely blank.
2. Type text into the Comment input block.
3. Click the Save button.</t>
  </si>
  <si>
    <t>File Selection: [No File Selected]
Comment: Attempting submission without file data.</t>
  </si>
  <si>
    <t>The transaction must fail. The application should remain on the entry pane and display a red "Required" validation error label directly underneath the file upload input zone.</t>
  </si>
  <si>
    <t>No entry or placeholder row is generated in the file history grid.</t>
  </si>
  <si>
    <t>The transaction failed and the red "Required" validation error is displayed successfully</t>
  </si>
  <si>
    <t>TC_PIM_051</t>
  </si>
  <si>
    <t>Verify Admin can successfully upload another attachment and edit its details in the Personal Details section.</t>
  </si>
  <si>
    <t>Ensure that clicking the Edit button (pencil icon) on a specific attachment row allows the Admin to upload a file, modify the comment text, and save the changes.</t>
  </si>
  <si>
    <t>An employee profile is open with at least one existing attachment row in the grid.</t>
  </si>
  <si>
    <t>1. Identify an existing attachment record and click its corresponding Edit (pencil icon) button on the right side of the row.
2. Upload another document
3. Modify the existing text in the Comment field.
4. Click the Save button within that row's editing frame.</t>
  </si>
  <si>
    <t>File Selection: [No File Selected]
Updated Comment: Updated national identity document copy - Ver 2.</t>
  </si>
  <si>
    <t>The row should shift into an editable layout. After clicking Save, a "Successfully Updated" toast notification must appear, and the grid should display the new document and the newly edited comment.</t>
  </si>
  <si>
    <t>The file and comment metadata for the attachment record have been successfully modified in the database.</t>
  </si>
  <si>
    <t>The file and comment are updated successfully</t>
  </si>
  <si>
    <t>TC_PIM_052</t>
  </si>
  <si>
    <t>Verify Admin can successfully download an uploaded attachment file in the Personal Details section.</t>
  </si>
  <si>
    <t>Ensure that clicking the Download button for a specific attachment record successfully fetches the file from the server and saves it locally.</t>
  </si>
  <si>
    <t>An employee profile is open with at least one uploaded attachment present.</t>
  </si>
  <si>
    <t>1. Locate an attachment record entry in the data table.
2. Click on the Download (download/file icon) button on the right side of that row.
3. Check the local browser downloads history folder.</t>
  </si>
  <si>
    <t>Target File: national_id.pdf</t>
  </si>
  <si>
    <t>The browser should trigger an automatic file download. The downloaded file name and format must perfectly match the original file data stored on the profile, and it should open without corruption.</t>
  </si>
  <si>
    <t>The attachment file copy is downloaded onto the client machine.</t>
  </si>
  <si>
    <t>A new tab is opened and closed, and the download is triggered, and the file is successfully downloaded with the same original file name, formal and details</t>
  </si>
  <si>
    <t>TC_PIM_053</t>
  </si>
  <si>
    <t>Verify Admin can delete an attachment row with confirmation in the Personal Details section.</t>
  </si>
  <si>
    <t>Ensures that clicking the Delete button (trash bin icon) completely unlinks and removes the selected attachment file from the employee's system record.</t>
  </si>
  <si>
    <t>1. Click on the Delete (trash bin icon) button for the specific target attachment row.
2. When the confirmation overlay dialog appears asking "Are you sure?", click the Yes, Delete option.</t>
  </si>
  <si>
    <t>Target Row: Attachment with Comment Valid national identity document copy.</t>
  </si>
  <si>
    <t>A confirmation modal should appear before taking action. Upon confirmation, a "Successfully Deleted" toast notification must display, and the targeted attachment row should immediately disappear from the UI table view.</t>
  </si>
  <si>
    <t>The attachment record and its binary file payload are permanently removed from the employee's file registry.</t>
  </si>
  <si>
    <t>The attachment is deleted successfully</t>
  </si>
  <si>
    <t>TC_PIM_054</t>
  </si>
  <si>
    <t>Verify Admin can modify and save all editable fields in the Contact Details section.</t>
  </si>
  <si>
    <t>Ensure that an Admin can update all contact-related parameters (addresses, telephone numbers, and email accounts) for an employee.</t>
  </si>
  <si>
    <t>1. User is logged in as Admin.
2. An existing employee record is open, and the user has navigated to the Contact Details tab from the left sidebar.</t>
  </si>
  <si>
    <t>1. Update Street 1 and Street 2 address fields.
2. Modify the City, State/Province, and Zip/Postal Code fields.
3. Select a new country from the Country dropdown.
4. Update the Home, Mobile, and Work telephone fields.
5. Change the Work Email and Other Email fields.
6. Click the Save button for the Contact Details section.</t>
  </si>
  <si>
    <t>Street 1: 123 Main Street
Street 2: 123 Secondary Street
City: Cairo
Postal Code:12345
Country: Egypt
Home:03123456
Mobile: 01001234567
Work:01234567891
Work Email: alex.smith@orangehrm.com
Other Email: test@test.com</t>
  </si>
  <si>
    <t>The changes should be validated successfully. Clicking Save displays a "Successfully Updated" message, and the new contact records are retained.</t>
  </si>
  <si>
    <t>Employee's contact profile is updated with the new addresses and contact endpoints.</t>
  </si>
  <si>
    <t>All changes updated successfully</t>
  </si>
  <si>
    <t>TC_PIM_055</t>
  </si>
  <si>
    <t>Verify Admin can successfully upload a valid file attachment with a comment in the Contact Details section.</t>
  </si>
  <si>
    <t>TC_PIM_056</t>
  </si>
  <si>
    <t>Verify system validation error when trying to save an attachment entry with an empty file field in the Contact Details section.</t>
  </si>
  <si>
    <t>TC_PIM_057</t>
  </si>
  <si>
    <t>Verify Admin can successfully upload another attachment and edit its details in the Contact Details section.</t>
  </si>
  <si>
    <t>TC_PIM_058</t>
  </si>
  <si>
    <t>Verify Admin can successfully download an uploaded attachment file in the Contact Details section.</t>
  </si>
  <si>
    <t xml:space="preserve">A new tab is opened and closed, and the download is </t>
  </si>
  <si>
    <t>TC_PIM_059</t>
  </si>
  <si>
    <t>Verify Admin can delete an attachment row with confirmation in the Contact Details section.</t>
  </si>
  <si>
    <t>TC_PIM_060</t>
  </si>
  <si>
    <t>Verify employees are deleted successfully after confirmation</t>
  </si>
  <si>
    <t>Ensure selected employees are removed after confirming deletion</t>
  </si>
  <si>
    <t>Confirmation dialog displayed</t>
  </si>
  <si>
    <t>1. Select employee
2. Click Delete button
3. Confirm deletion</t>
  </si>
  <si>
    <t>Existing employee</t>
  </si>
  <si>
    <t>Employee is deleted successfully and removed from list</t>
  </si>
  <si>
    <t>Employee record no longer exists</t>
  </si>
  <si>
    <t>Employee deleted successfully</t>
  </si>
  <si>
    <t>TC_PIM_061</t>
  </si>
  <si>
    <t>Verify deleted employee no longer appears in employee list</t>
  </si>
  <si>
    <t>Ensure deleted records are removed from displayed table</t>
  </si>
  <si>
    <t>1. Delete employee
2. Search employee by name or ID</t>
  </si>
  <si>
    <t>Deleted employee data</t>
  </si>
  <si>
    <t>Deleted employee should not appear in results</t>
  </si>
  <si>
    <t>Employee remains deleted</t>
  </si>
  <si>
    <t>Employee no longer appears in list</t>
  </si>
  <si>
    <t>TC_PIM_062</t>
  </si>
  <si>
    <t>Verify success message is displayed after deleting employee</t>
  </si>
  <si>
    <t>Ensure user receives confirmation feedback after deletion</t>
  </si>
  <si>
    <t>1. Delete employee
2. Observe system notification</t>
  </si>
  <si>
    <t>Success message should be displayed</t>
  </si>
  <si>
    <t>TC_PIM_063</t>
  </si>
  <si>
    <t>Verify system displays failure message when deletion fails</t>
  </si>
  <si>
    <t>Ensure system reports deletion failure properly</t>
  </si>
  <si>
    <t>System failure or restricted employee exists</t>
  </si>
  <si>
    <t>1. Attempt to delete restricted employee
2. Confirm deletion</t>
  </si>
  <si>
    <t>Restricted employee record</t>
  </si>
  <si>
    <t>System should display failure/error message</t>
  </si>
  <si>
    <t>Employee record remains unchanged</t>
  </si>
  <si>
    <t>Error message displayed successfully</t>
  </si>
  <si>
    <t>TC_PIM_064</t>
  </si>
  <si>
    <t>Verify the Optional Fields option exists in the Configuration submenu</t>
  </si>
  <si>
    <t>Ensure Optional Fields option is visible in submenu</t>
  </si>
  <si>
    <t>Configuration menu is expanded</t>
  </si>
  <si>
    <t>1. Open Configuration menu
2. Observe submenu options</t>
  </si>
  <si>
    <t>Optional Fields option should be displayed</t>
  </si>
  <si>
    <t>Admin can access Optional Fields page</t>
  </si>
  <si>
    <t>Optional Fields option displayed successfully</t>
  </si>
  <si>
    <t>TC_PIM_065</t>
  </si>
  <si>
    <t>Verify system redirects admin to Optional Fields page</t>
  </si>
  <si>
    <t>Ensure clicking Optional Fields opens correct page</t>
  </si>
  <si>
    <t>1. Open Configuration menu
2. Click Optional Fields</t>
  </si>
  <si>
    <t>System redirects user to Optional Fields page successfully</t>
  </si>
  <si>
    <t>Optional Fields page becomes accessible</t>
  </si>
  <si>
    <t>TC_PIM_066</t>
  </si>
  <si>
    <t>Verify Deprecated Fields section is visible</t>
  </si>
  <si>
    <t>Ensure Deprecated Fields section appears correctly</t>
  </si>
  <si>
    <t>User is on Optional Fields page</t>
  </si>
  <si>
    <t>1. Navigate to Optional Fields page
2. Locate Deprecated Fields section</t>
  </si>
  <si>
    <t>Deprecated Fields section should be visible</t>
  </si>
  <si>
    <t>User can manage deprecated field toggles</t>
  </si>
  <si>
    <t>TC_PIM_067</t>
  </si>
  <si>
    <t>Verify Deprecated Fields contains correct toggle options</t>
  </si>
  <si>
    <t>Ensure all required deprecated field toggles are displayed</t>
  </si>
  <si>
    <t>1. Navigate to Deprecated Fields section
2. Verify available toggle options</t>
  </si>
  <si>
    <t>System displays:
Show Nick Name
Show Smoker
Show Military Service</t>
  </si>
  <si>
    <t>All toggle options available for interaction</t>
  </si>
  <si>
    <t>All required toggles displayed successfully</t>
  </si>
  <si>
    <t>TC_PIM_068</t>
  </si>
  <si>
    <t>Verify Country Specific Information section is displayed</t>
  </si>
  <si>
    <t>Ensure Country Specific Information section appears correctly</t>
  </si>
  <si>
    <t>1. Locate Country Specific Information section</t>
  </si>
  <si>
    <t>Section should be displayed successfully</t>
  </si>
  <si>
    <t>User can manage country-specific toggles</t>
  </si>
  <si>
    <t>TC_PIM_069</t>
  </si>
  <si>
    <t>Verify admin can disable optional field toggles</t>
  </si>
  <si>
    <t>Ensure toggle state changes successfully when disabled</t>
  </si>
  <si>
    <t>Toggle currently enabled</t>
  </si>
  <si>
    <t>1. Disable toggle option
2. Save changes if applicable</t>
  </si>
  <si>
    <t>Toggle: Show Nick Name</t>
  </si>
  <si>
    <t>Toggle state changes to Disabled successfully</t>
  </si>
  <si>
    <t>Updated state stored successfully</t>
  </si>
  <si>
    <t>Toggle disabled successfully</t>
  </si>
  <si>
    <t>TC_PIM_070</t>
  </si>
  <si>
    <t>Verify toggle state persists after page refresh</t>
  </si>
  <si>
    <t>Ensure updated toggle states remain unchanged after refresh</t>
  </si>
  <si>
    <t>Toggle state modified successfully</t>
  </si>
  <si>
    <t>1. Enable or disable toggle
2. Refresh browser page</t>
  </si>
  <si>
    <t>Toggle: Show Smoker</t>
  </si>
  <si>
    <t>Toggle state remains unchanged after refresh</t>
  </si>
  <si>
    <t>Saved configuration remains persistent</t>
  </si>
  <si>
    <t>Toggle state persisted successfully</t>
  </si>
  <si>
    <t>TC_PIM_071</t>
  </si>
  <si>
    <t>Verify enabled optional fields appear in Employee Personal Details</t>
  </si>
  <si>
    <t>Ensure configuration changes affect employee details page correctly</t>
  </si>
  <si>
    <t>1. Enable optional field
2. Navigate to Employee Personal Details page</t>
  </si>
  <si>
    <t>Enabled field should appear in Personal Details page</t>
  </si>
  <si>
    <t>UI reflects updated configuration settings</t>
  </si>
  <si>
    <t>TC_PIM_072</t>
  </si>
  <si>
    <t>Verify success feedback appears after updating toggle settings</t>
  </si>
  <si>
    <t>Ensure system confirms successful configuration updates</t>
  </si>
  <si>
    <t>User modifies any toggle option</t>
  </si>
  <si>
    <t>1. Change toggle state
2. Save changes if applicable</t>
  </si>
  <si>
    <t>Toggle: Show Military Service</t>
  </si>
  <si>
    <t>User receives confirmation feedback</t>
  </si>
  <si>
    <t>TC_PIM_073</t>
  </si>
  <si>
    <t>Verify admin can access Configuration menu</t>
  </si>
  <si>
    <t>Ensure Configuration menu is visible and clickable from PIM page</t>
  </si>
  <si>
    <t>User on PIM page</t>
  </si>
  <si>
    <t>1. Navigate to PIM page
2. Click Configuration menu</t>
  </si>
  <si>
    <t>Configuration dropdown menu opens successfully</t>
  </si>
  <si>
    <t>Configuration submenu displayed</t>
  </si>
  <si>
    <t>Configuration menu opened successfully</t>
  </si>
  <si>
    <t>TC_PIM_074</t>
  </si>
  <si>
    <t>Verify Custom Fields option appears in Configuration submenu</t>
  </si>
  <si>
    <t>Ensure Custom Fields option is displayed correctly</t>
  </si>
  <si>
    <t>Configuration menu expanded</t>
  </si>
  <si>
    <t>1. Open Configuration menu
2. Observe submenu items</t>
  </si>
  <si>
    <t>Custom Fields option displayed successfully</t>
  </si>
  <si>
    <t>User can navigate to Custom Fields page</t>
  </si>
  <si>
    <t>Option displayed successfully</t>
  </si>
  <si>
    <t>TC_PIM_075</t>
  </si>
  <si>
    <t>Verify Custom Fields page loads without errors</t>
  </si>
  <si>
    <t>Ensure page renders correctly and remains stable</t>
  </si>
  <si>
    <t>User navigated to Custom Fields page</t>
  </si>
  <si>
    <t>1. Open Custom Fields page
2. Observe loading behavior</t>
  </si>
  <si>
    <t>Page loads successfully without UI/system errors</t>
  </si>
  <si>
    <t>Page ready for interaction</t>
  </si>
  <si>
    <t>TC_PIM_076</t>
  </si>
  <si>
    <t>Verify Custom Fields table displays correct columns</t>
  </si>
  <si>
    <t>Ensure table contains all required columns</t>
  </si>
  <si>
    <t>User on Custom Fields page</t>
  </si>
  <si>
    <t>1. Observe table columns</t>
  </si>
  <si>
    <t>Table displays:
Custom Field Name
Screen
Field Type
Actions</t>
  </si>
  <si>
    <t>Table structure visible correctly</t>
  </si>
  <si>
    <t>Required columns displayed successfully</t>
  </si>
  <si>
    <t>TC_PIM_077</t>
  </si>
  <si>
    <t>Verify Actions column contains Edit and Delete buttons</t>
  </si>
  <si>
    <t>Ensure action buttons are visible for each record</t>
  </si>
  <si>
    <t>Existing custom fields available</t>
  </si>
  <si>
    <t>Existing custom field records</t>
  </si>
  <si>
    <t>Edit and Delete buttons displayed for
 every record</t>
  </si>
  <si>
    <t>Records become manageable</t>
  </si>
  <si>
    <t>Action buttons displayed successfully</t>
  </si>
  <si>
    <t>TC_PIM_078</t>
  </si>
  <si>
    <t>Verify Add button is visible and accessible</t>
  </si>
  <si>
    <t>Ensure Add button appears correctly on page</t>
  </si>
  <si>
    <t>Add button visible and clickable</t>
  </si>
  <si>
    <t>User can initiate custom field creation</t>
  </si>
  <si>
    <t>Add button displayed successfully</t>
  </si>
  <si>
    <t>TC_PIM_079</t>
  </si>
  <si>
    <t>Verify existing custom fields are displayed correctly</t>
  </si>
  <si>
    <t>Ensure stored custom fields appear in records table</t>
  </si>
  <si>
    <t>1. Open Custom Fields page
2. Observe records table</t>
  </si>
  <si>
    <t>Existing custom fields</t>
  </si>
  <si>
    <t>Existing records displayed successfully</t>
  </si>
  <si>
    <t>Existing records displayed correctly</t>
  </si>
  <si>
    <t>TC_PIM_080</t>
  </si>
  <si>
    <t>Verify “No Records Found” message when table is empty</t>
  </si>
  <si>
    <t>Ensure proper empty-state feedback appears</t>
  </si>
  <si>
    <t>No custom fields exist</t>
  </si>
  <si>
    <t>1. Navigate to empty Custom Fields page</t>
  </si>
  <si>
    <t>User informed that no records exist</t>
  </si>
  <si>
    <t>Empty-state message displayed successfully</t>
  </si>
  <si>
    <t>TC_PIM_081</t>
  </si>
  <si>
    <t>Verify Add button opens Add Custom Field form</t>
  </si>
  <si>
    <t>Ensure Add form appears successfully after clicking Add button</t>
  </si>
  <si>
    <t>Add Custom Field form opens successfully</t>
  </si>
  <si>
    <t>Form ready for data entry</t>
  </si>
  <si>
    <t>Add form opened successfully</t>
  </si>
  <si>
    <t>TC_PIM_082</t>
  </si>
  <si>
    <t>Verify Add form displays required fields</t>
  </si>
  <si>
    <t>Ensure Field Name, Screen, and Type fields are visible</t>
  </si>
  <si>
    <t>1. Observe form fields</t>
  </si>
  <si>
    <t>Required input fields displayed correctly</t>
  </si>
  <si>
    <t>Form ready for completion</t>
  </si>
  <si>
    <t>Required fields displayed successfully</t>
  </si>
  <si>
    <t>TC_PIM_083</t>
  </si>
  <si>
    <t>Verify system prevents empty required field submission</t>
  </si>
  <si>
    <t>Ensure form validation works correctly for empty fields</t>
  </si>
  <si>
    <t>1. Leave required fields empty
2. Click Save</t>
  </si>
  <si>
    <t>Validation messages displayed and save prevented</t>
  </si>
  <si>
    <t>TC_PIM_084</t>
  </si>
  <si>
    <t>Verify custom field is created successfully with valid data</t>
  </si>
  <si>
    <t>Ensure valid custom field data is saved correctly</t>
  </si>
  <si>
    <t>Field Name: Passport Number
Screen: Personal Details
Type: Text or Numbe</t>
  </si>
  <si>
    <t>Custom field created successfully</t>
  </si>
  <si>
    <t>New custom field stored in system</t>
  </si>
  <si>
    <t>TC_PIM_085</t>
  </si>
  <si>
    <t>Verify newly created custom field appears in records table</t>
  </si>
  <si>
    <t>Ensure newly added field displays immediately in table</t>
  </si>
  <si>
    <t>1. Save new custom field
2. Observe records table</t>
  </si>
  <si>
    <t>Passport Number</t>
  </si>
  <si>
    <t>Newly added field appears in table immediately</t>
  </si>
  <si>
    <t>Record available for edit/delete</t>
  </si>
  <si>
    <t>New field displayed successfully</t>
  </si>
  <si>
    <t>TC_PIM_086</t>
  </si>
  <si>
    <t>Verify success message after creating custom field</t>
  </si>
  <si>
    <t>Valid field submitted successfully</t>
  </si>
  <si>
    <t>1. Create custom field
2. Observe notification</t>
  </si>
  <si>
    <t>Valid custom field data</t>
  </si>
  <si>
    <t>User informed about successful creation</t>
  </si>
  <si>
    <t>TC_PIM_087</t>
  </si>
  <si>
    <t>Verify long custom field names do not break table layout</t>
  </si>
  <si>
    <t>Ensure UI layout remains stable when entering very long field names</t>
  </si>
  <si>
    <t>User on Add Custom Field form</t>
  </si>
  <si>
    <t>1. Enter extremely long custom field name
2. Select valid screen and field type
3. Click Save
4. Observe table layout</t>
  </si>
  <si>
    <t>Field Name:
EmployeeIdentificationNumberForInternationalBranchOfficeManagementDepartment</t>
  </si>
  <si>
    <t>Table layout should remain aligned and readable without UI breaking</t>
  </si>
  <si>
    <t>New record displayed correctly in table</t>
  </si>
  <si>
    <t>Table layout became broken and columns overlapped</t>
  </si>
  <si>
    <t>TC_PIM_088</t>
  </si>
  <si>
    <t>Verify special characters do not cause UI issues in custom field names</t>
  </si>
  <si>
    <t>Ensure system safely handles special characters entered in field names</t>
  </si>
  <si>
    <t>1. Enter field name containing special characters
2. Select valid screen and field type
3. Click Save
4. Observe UI behavior</t>
  </si>
  <si>
    <t>Field Name: @@@###$$$%%%^^^
Screen: Personal Details
Type: Text or Number</t>
  </si>
  <si>
    <t>System should validate or safely display special characters without affecting UI</t>
  </si>
  <si>
    <t>UI remains stable and functional</t>
  </si>
  <si>
    <t>UI elements became misaligned after saving special characters</t>
  </si>
  <si>
    <t>TC_PIM_089</t>
  </si>
  <si>
    <t>Verify system prevents duplicate custom field names</t>
  </si>
  <si>
    <t>Ensure system does not allow creating duplicate custom fields with same name</t>
  </si>
  <si>
    <t>Existing custom field already available</t>
  </si>
  <si>
    <t>1. Click Add button
2. Enter existing custom field name
3. Select valid screen and type
4. Click Save</t>
  </si>
  <si>
    <t>Existing Field Name: Passport Number</t>
  </si>
  <si>
    <t>System prevents duplicate creation and displays validation message</t>
  </si>
  <si>
    <t>Duplicate field creation was prevented successfully</t>
  </si>
  <si>
    <t>TC_PIM_090</t>
  </si>
  <si>
    <t>Verify system prevents duplicate records on double Save click</t>
  </si>
  <si>
    <t>Ensure rapid repeated clicks do not create duplicate entries</t>
  </si>
  <si>
    <t>1. Enter valid custom field data
2. Double-click Save button rapidly</t>
  </si>
  <si>
    <t>Field Name: Passport Number</t>
  </si>
  <si>
    <t>Only one record should be created successfully</t>
  </si>
  <si>
    <t>Duplicate entries prevented</t>
  </si>
  <si>
    <t>System created only one record successfully</t>
  </si>
  <si>
    <t>TC_PIM_091</t>
  </si>
  <si>
    <t>Verify Edit button opens edit form with existing data</t>
  </si>
  <si>
    <t>Ensure existing record data loads correctly in edit mode</t>
  </si>
  <si>
    <t>Existing custom field available</t>
  </si>
  <si>
    <t>Existing custom field</t>
  </si>
  <si>
    <t>Edit form opens with pre-filled existing data</t>
  </si>
  <si>
    <t>TC_PIM_092</t>
  </si>
  <si>
    <t>Verify admin can update custom field details</t>
  </si>
  <si>
    <t>Ensure edited values are saved correctly</t>
  </si>
  <si>
    <t>1. Modify field data
2. Click Save</t>
  </si>
  <si>
    <t>Updated Field Name: National ID</t>
  </si>
  <si>
    <t>TC_PIM_093</t>
  </si>
  <si>
    <t>Verify updated custom field appears immediately in table</t>
  </si>
  <si>
    <t>Ensure table refreshes with latest values</t>
  </si>
  <si>
    <t>1. Update record
2. Return to table</t>
  </si>
  <si>
    <t>Updated field value</t>
  </si>
  <si>
    <t>Table displays latest updated data</t>
  </si>
  <si>
    <t>Table synced with
 latest changes</t>
  </si>
  <si>
    <t>TC_PIM_094</t>
  </si>
  <si>
    <t>Verify success message appears after updating custom field</t>
  </si>
  <si>
    <t>Ensure system confirms successful update</t>
  </si>
  <si>
    <t>Valid update submitted successfully</t>
  </si>
  <si>
    <t>1. Edit field
2. Save changes</t>
  </si>
  <si>
    <t>Valid updated values</t>
  </si>
  <si>
    <t>TC_PIM_095</t>
  </si>
  <si>
    <t>Ensure system preserves data integrity when browser refresh occurs</t>
  </si>
  <si>
    <t>1. Open Edit Custom Field form
2. Modify field data
3. Refresh browser page before saving
4. Reopen same record</t>
  </si>
  <si>
    <t>Updated Field Name: Employee National ID</t>
  </si>
  <si>
    <t>Original data should remain unchanged without corruption or partial update</t>
  </si>
  <si>
    <t>Record data remains accurate and stable</t>
  </si>
  <si>
    <t>Record data became corrupted after page refresh during editing</t>
  </si>
  <si>
    <t>TC_PIM_096</t>
  </si>
  <si>
    <t>Verify edit form loads existing field data correctly</t>
  </si>
  <si>
    <t>Ensure edit form is populated with correct existing values</t>
  </si>
  <si>
    <t>1. Click Edit button for existing field</t>
  </si>
  <si>
    <t>Edit form opens with accurate existing field data</t>
  </si>
  <si>
    <t>Existing data loaded successfully in edit form</t>
  </si>
  <si>
    <t>TC_PIM_097</t>
  </si>
  <si>
    <t>Verify custom field records can be selected using checkboxes</t>
  </si>
  <si>
    <t>Ensure admin can select one or multiple records</t>
  </si>
  <si>
    <t>Existing custom field records available</t>
  </si>
  <si>
    <t>Records marked for action</t>
  </si>
  <si>
    <t>TC_PIM_098</t>
  </si>
  <si>
    <t>Verify confirmation message appears before deletion</t>
  </si>
  <si>
    <t>1. Select custom field
2. Click Delete</t>
  </si>
  <si>
    <t>Confirmation dialog displayed successfully</t>
  </si>
  <si>
    <t>TC_PIM_099</t>
  </si>
  <si>
    <t>Verify custom field is deleted successfully after confirmation</t>
  </si>
  <si>
    <t>TC_PIM_100</t>
  </si>
  <si>
    <t>Verify deleted custom field no longer appears in table</t>
  </si>
  <si>
    <t>Ensure deleted records disappear from records table immediately</t>
  </si>
  <si>
    <t>1. Delete record
2. Observe table</t>
  </si>
  <si>
    <t>Deleted custom field</t>
  </si>
  <si>
    <t>Deleted record removed from table immediately</t>
  </si>
  <si>
    <t>TC_PIM_101</t>
  </si>
  <si>
    <t>Verify success message appears after deleting custom field</t>
  </si>
  <si>
    <t>1. Delete record
2. Observe notification</t>
  </si>
  <si>
    <t>TC_PIM_102</t>
  </si>
  <si>
    <t>Verify deleted record remains removed after page refresh</t>
  </si>
  <si>
    <t>Ensure deleted records do not reappear after refreshing the page</t>
  </si>
  <si>
    <t>1. Delete custom field
2. Refresh page
3. Search for deleted field</t>
  </si>
  <si>
    <t>Existing custom field record</t>
  </si>
  <si>
    <t>Deleted record should not appear after refresh</t>
  </si>
  <si>
    <t>Deleted record remained removed successfully after refresh</t>
  </si>
  <si>
    <t>TC_PIM_103</t>
  </si>
  <si>
    <t>Verify record is not deleted when confirmation popup is canceled</t>
  </si>
  <si>
    <t>Ensure cancellation action prevents accidental deletion</t>
  </si>
  <si>
    <t>Existing custom field selected</t>
  </si>
  <si>
    <t>1. Click Delete
2. Click Cancel on confirmation popup</t>
  </si>
  <si>
    <t>Record should remain unchanged and undeleted</t>
  </si>
  <si>
    <t>Record preserved successfully</t>
  </si>
  <si>
    <t>Record remained successfully after cancellation</t>
  </si>
  <si>
    <t>TC_PIM_104</t>
  </si>
  <si>
    <t>Verify table refreshes automatically after record deletion</t>
  </si>
  <si>
    <t>Ensure deleted records disappear immediately without manual refresh</t>
  </si>
  <si>
    <t>Existing record available</t>
  </si>
  <si>
    <t>1. Delete record
2. Observe records table</t>
  </si>
  <si>
    <t>Table updates automatically and removes deleted record instantly</t>
  </si>
  <si>
    <t>Table synchronized with latest data</t>
  </si>
  <si>
    <t>Table updated automatically after deletion</t>
  </si>
  <si>
    <t>TC_PIM_105</t>
  </si>
  <si>
    <t>Verify checkbox selection is cleared after delete operation</t>
  </si>
  <si>
    <t>Ensure checkbox state resets correctly after deletion completes</t>
  </si>
  <si>
    <t>1. Select records
2. Delete selected records
3. Observe checkbox states</t>
  </si>
  <si>
    <t>Checkbox selections cleared automatically after deletion</t>
  </si>
  <si>
    <t>Table reset for next interaction</t>
  </si>
  <si>
    <t>Checkbox states cleared successfully after deletion</t>
  </si>
  <si>
    <t>Verify Data Import option appears in the Configuration submenu</t>
  </si>
  <si>
    <t>Ensure Data Import option is displayed correctly</t>
  </si>
  <si>
    <t>Data Import option displayed successfully</t>
  </si>
  <si>
    <t>User can navigate to Data Import page</t>
  </si>
  <si>
    <t>Verify the Data Import page loads completely without UI or Console errors.</t>
  </si>
  <si>
    <t>Ensures that when an Admin selects the Data Import tool from the PIM configuration options, the designated page loads fully with all interactive elements (file dropzones, download templates, and confirmation buttons) rendered properly.</t>
  </si>
  <si>
    <t>1. Click on the Configuration dropdown menu located in the top horizontal navigation header of the PIM module.
2. Select the Data Import option from the dropdown list.
3. Wait for the page interface to populate.
4. Inspect the layout for any missing elements or overlapping UI text.</t>
  </si>
  <si>
    <t>The "Data Import" interface should open smoothly. The page heading must be clearly visible, the file upload zone/component must load correctly, and no error popups, broken image placeholders, or console crashes should occur.</t>
  </si>
  <si>
    <t>The system is ready on the Data Import interface to accept data file uploads.</t>
  </si>
  <si>
    <t>The page is loaded successfully without any errors or missing elements</t>
  </si>
  <si>
    <t>TC_PIM_106</t>
  </si>
  <si>
    <t>Verify validation error when clicking the Upload button with no file selected.</t>
  </si>
  <si>
    <t>Ensures that the system prevents form submission and prompts the user with an appropriate warning if the Upload button is clicked while the file input component remains empty.</t>
  </si>
  <si>
    <t>1. User is logged in as Admin.
2. User is on the PIM &gt; Configuration &gt; Data Import screen.
3. No file has been browsed or dragged into the file upload control.</t>
  </si>
  <si>
    <t>1. Ensure the file upload input indicator displays a state like "No File Chosen" or remains blank.
2. Directly click on the Upload / Import button.
3. Observe the system's reaction and UI response.</t>
  </si>
  <si>
    <r>
      <t xml:space="preserve">File Selected: </t>
    </r>
    <r>
      <rPr>
        <sz val="10"/>
        <color theme="1"/>
        <rFont val="Arial Unicode MS"/>
        <family val="2"/>
      </rPr>
      <t>[None]</t>
    </r>
  </si>
  <si>
    <t>The form must not submit. The system should display a clear validation error message (such as "Required" or "Please select a file") in red text directly beneath or within the upload control box to prevent an empty payload delivery.</t>
  </si>
  <si>
    <t>No backend processing or network import requests are initiated.</t>
  </si>
  <si>
    <t>The upload box is hovered by red, and the red "Required" text is displayed successfully</t>
  </si>
  <si>
    <t>TC_PIM_107</t>
  </si>
  <si>
    <t>Verify the Browse Control allows selection of a local data file.</t>
  </si>
  <si>
    <t>Ensures that interacting with the file upload dropzone/browse control successfully launches the local device OS file explorer window and captures the chosen file path.</t>
  </si>
  <si>
    <t>1. User is logged in as Admin.
2. User has navigated to the PIM &gt; Configuration &gt; Data Import screen.
3. A valid data file template (e.g., .csv format) is saved locally on the testing device.</t>
  </si>
  <si>
    <t>1. Click on the file browse link (e.g., "Browse" button or the designated drag-and-drop file container area).
2. Verify that the native operating system file dialogue window opens.
3. Locate and select the prepared data file from the local storage.
4. Click the Open / Choose button on the file dialogue.</t>
  </si>
  <si>
    <t>File Name: import_employees.csv</t>
  </si>
  <si>
    <t>The device file picker window must launch smoothly. Upon selecting the file, the local file selection window should close, and the chosen file name (import_employees.csv) should display inside or next to the upload controller area.</t>
  </si>
  <si>
    <t>The chosen file is staged in memory and ready for submission.</t>
  </si>
  <si>
    <t xml:space="preserve">The file picker launched successfully, and the chosen file is displayed </t>
  </si>
  <si>
    <t>TC_PIM_108</t>
  </si>
  <si>
    <t>Verify that the Upload button is clearly visible, clickable, and functional.</t>
  </si>
  <si>
    <t>Ensures that the interactive submission button responsible for triggering the processing of the data file is rendered correctly and changes state upon being clicked.</t>
  </si>
  <si>
    <t>1. User is logged in as Admin.
2. User is on the PIM &gt; Configuration &gt; Data Import screen.
3. A valid template file has already been selected via the upload control box.</t>
  </si>
  <si>
    <t>1. Visual inspect the interface to locate the file execution button (e.g., labeled "Upload", "Import", or "Save").
2. Verify that the button is not obscured, cut off, or grayed out after a file is selected.
3. Hover the mouse cursor over the action button to check for cursor style modification (e.g., changing to a pointer icon).
4. Click the button directly.</t>
  </si>
  <si>
    <t>The button must be explicitly visible in the layout, in accordance with standard alignment guidelines. When hovered, it should highlight or change state, and clicking it should immediately register an active click event to initiate the background file delivery process.</t>
  </si>
  <si>
    <t>The system initiates the validation or transmission routine for the staged document block.</t>
  </si>
  <si>
    <t>The button is visible in its place. When hovered, its color becomes lighter. After uploading, A green message is displayed saying how many rows are imported successfully</t>
  </si>
  <si>
    <t>TC_PIM_109</t>
  </si>
  <si>
    <t>Verify that upload control resets its state and accepts a modified file with the same name after uploading the previous one</t>
  </si>
  <si>
    <t>Ensures that if a file is uploaded before, the system clears the input value so the user can immediately browse and re-select the file again.</t>
  </si>
  <si>
    <t>1. User is logged in as Admin.
2. User is on the PIM &gt; Configuration &gt; Data Import screen.
3. The user has a file that was already uploaded before</t>
  </si>
  <si>
    <t>1. Click Browse and select invalid_data.csv.
2. Click the Upload/Import button.
3. Verify that the system displays a row error message.
4. Open invalid_data.csv locally, correct the error, and save it with the same filename.
5. Click Browse again on the Data Import page and select the updated import_employees.csv.</t>
  </si>
  <si>
    <t>The file selection control should register the second selection seamlessly. The corrected file name must appear in the upload area, and clicking Upload should process the new data successfully.</t>
  </si>
  <si>
    <t>The system allows the user to re-upload the same file path without forcing them to change the filename.</t>
  </si>
  <si>
    <t>The file name didn't appear in the ui and it was not uploaded</t>
  </si>
  <si>
    <t>لما باجي ارفع الفايل تاني بعد ما معملته upload في الموقع مبيظهرش حاجة ومبيترفعش حتى لو الـ data imported او لا</t>
  </si>
  <si>
    <t>TC_PIM_110</t>
  </si>
  <si>
    <t>Verify system rejects the import file when the column order is modified.</t>
  </si>
  <si>
    <t>Ensures that the system strictly checks the layout mapping. If any column header order is altered or swapped, the file should be rejected immediately.</t>
  </si>
  <si>
    <t>1. User is logged in as Admin.
2. User is on the PIM &gt; Configuration &gt; Data Import screen.</t>
  </si>
  <si>
    <t>1. Prepare a testing CSV file where the first two column headers are swapped (e.g., middle_name comes before first_name).
2. Click Browse and select this modified file.
3. Click the Upload button.</t>
  </si>
  <si>
    <t>Column Headers: middle_name, first_name, last_name, …</t>
  </si>
  <si>
    <t>The import execution must fail. The system should present a clear structural validation error message (e.g., "Column order mismatch" or "Invalid file format structure") and halt all database insertions.</t>
  </si>
  <si>
    <t>No database changes are committed; import template consistency is enforced.</t>
  </si>
  <si>
    <t>A message saying" No records imported" is displayed</t>
  </si>
  <si>
    <t>TC_PIM_111</t>
  </si>
  <si>
    <t>Verify data validation fails for rows missing First Name or Last Name.</t>
  </si>
  <si>
    <t>Ensures that rows lacking required identifier data (first_name or last_name) are blocked from processing.</t>
  </si>
  <si>
    <t>User is on the Data Import configuration page.</t>
  </si>
  <si>
    <t>1. Generate a CSV sheet containing test rows where first_name is left blank on one row, and last_name is blank on another row.
2. Upload and execute the file.</t>
  </si>
  <si>
    <t>Row 5: first_name = "", last_name = "Smith"
Row 6: first_name = "John", last_name = ""</t>
  </si>
  <si>
    <t>The import run should flag individual failures. The system must display row-specific compilation logs stating that "First Name and Last Name are compulsory" or "Missing mandatory field data at row X".</t>
  </si>
  <si>
    <t>Defective row items are skipped or the batch transaction is rolled back safely.</t>
  </si>
  <si>
    <t>A message saying"103 Records Successfully Imported
2 Records Failed to Import
Failed Rows
5,6" is displayed</t>
  </si>
  <si>
    <t>TC_PIM_112</t>
  </si>
  <si>
    <t>Verify that date input entries not matching YYYY-MM-DD format trigger syntax errors.</t>
  </si>
  <si>
    <t>This case confirms that date rows (like date_of_birth and license_expiry_date) reject alternative syntax configurations (e.g., DD/MM/YYYY or MM-DD-YYYY).</t>
  </si>
  <si>
    <t>1. Prepare an import template where a row has a date field configured in a localized format (e.g., 12/31/1995 or 2026.05.21).
2. Browse, stage, and submit the sheet via the main upload layout.</t>
  </si>
  <si>
    <t>Row 2: date_of_birth = 12/31/1995
Row 3: license_expiry_date = 21-05-2026</t>
  </si>
  <si>
    <t>The system validation fails. The page displays a log tracking warning error labels showing "Invalid date formatting sequence at row X. Target layout must strictly adhere to YYYY-MM-DD format."</t>
  </si>
  <si>
    <t>The data is imported with the dates successfully, even though the format of the dates is wrong</t>
  </si>
  <si>
    <t>TC_PIM_113</t>
  </si>
  <si>
    <t>Verify specified gender values are restricted entirely to 'Male' or 'Female'.</t>
  </si>
  <si>
    <t>Ensures that if text is entered inside the gender column, it must explicitly match 'Male' or 'Female'. Variations like single characters or alternative inputs should fail.</t>
  </si>
  <si>
    <t>1. Create a data sheet with three specific entries:
-Row A: gender string set to "M"
-Row B: gender string set to "Other"
-Row C: gender column completely blank ("").
2. Run the file processor.</t>
  </si>
  <si>
    <t>Row 10: gender = "M"
Row 11: gender = "Other"
Row 12: gender = ""</t>
  </si>
  <si>
    <t>Rows 10 and 11 should explicitly trigger verification errors stating "Invalid value criteria. Allowed options are Male or Female." Row 12 (blank) must pass without validation errors since it wasn't specified.</t>
  </si>
  <si>
    <t>Non-compliant strings are rejected by data entry controls.</t>
  </si>
  <si>
    <t>All data is imported successfully, but the gender of the tested row isn't imported</t>
  </si>
  <si>
    <t>TC_PIM_114</t>
  </si>
  <si>
    <t>Verify file rejection when sheet content exceeds 100 records limit.</t>
  </si>
  <si>
    <t>This test case utilizes the newly generated importData.csv matrix (which holds 105 data records) to verify the system's hard cap validation logic.</t>
  </si>
  <si>
    <t>1. User is on the Data Import configuration page.
2. The test file importData.csv (containing 105 structural data entries) is saved on the client device.</t>
  </si>
  <si>
    <t>1. Click on the file Browse option control element.
2. Target and load the importData.csv sheet containing 105 structural rows.
3. Hit the primary Upload button link to send the payload.</t>
  </si>
  <si>
    <t>File Attachment: importData.csv (105 entries total)</t>
  </si>
  <si>
    <t>The browser processing mechanism should block the data ingest immediately. An error banner or modal overlay should display indicating: "File configuration error. Maximum limit of 100 records or less exceeded." Zero rows should insert into the live system.</t>
  </si>
  <si>
    <t>Core database protection boundaries remain secure against overflow constraints.</t>
  </si>
  <si>
    <t>All data is imported successfully, even though the number of records is more than 100</t>
  </si>
  <si>
    <t>TC_PIM_115</t>
  </si>
  <si>
    <t>Verify Reporting Methods option appears in submenu</t>
  </si>
  <si>
    <t>Ensure Reporting Methods option exists inside Configuration menu</t>
  </si>
  <si>
    <t>Reporting Methods option displayed successfully</t>
  </si>
  <si>
    <t>User can access Reporting Methods page</t>
  </si>
  <si>
    <t>TC_PIM_116</t>
  </si>
  <si>
    <t>Verify system redirects admin to Reporting Methods page</t>
  </si>
  <si>
    <t>Ensure correct page opens after selecting Reporting Methods</t>
  </si>
  <si>
    <t>1. Open Configuration menu
2. Click Reporting Methods</t>
  </si>
  <si>
    <t>User redirected to Reporting Methods page successfully</t>
  </si>
  <si>
    <t>Reporting Methods page accessible</t>
  </si>
  <si>
    <t>Navigation completed successfully</t>
  </si>
  <si>
    <t>TC_PIM_117</t>
  </si>
  <si>
    <t>Verify Reporting Methods page loads without errors</t>
  </si>
  <si>
    <t>Ensure page loads completely and remains stable</t>
  </si>
  <si>
    <t>User navigated to Reporting Methods page</t>
  </si>
  <si>
    <t>1. Open Reporting Methods page
2. Observe loading behavior</t>
  </si>
  <si>
    <t>Page loads successfully without UI/system issues</t>
  </si>
  <si>
    <t>TC_PIM_118</t>
  </si>
  <si>
    <t>Verify Reporting Methods table contains correct columns</t>
  </si>
  <si>
    <t>Ensure required table columns are displayed correctly</t>
  </si>
  <si>
    <t>1. Observe records table</t>
  </si>
  <si>
    <t>Table displays:
Reporting Method Name
Description
Actions</t>
  </si>
  <si>
    <t>TC_PIM_119</t>
  </si>
  <si>
    <t>Verify Edit and Delete buttons are visible for each record</t>
  </si>
  <si>
    <t>Ensure every reporting method contains action buttons</t>
  </si>
  <si>
    <t>Existing reporting methods available</t>
  </si>
  <si>
    <t>1. Observe Actions column</t>
  </si>
  <si>
    <t>Edit and Delete buttons displayed for every row</t>
  </si>
  <si>
    <t>Records manageable by admin</t>
  </si>
  <si>
    <t>TC_PIM_120</t>
  </si>
  <si>
    <t>Verify Add button is visible and clickable</t>
  </si>
  <si>
    <t>Ensure Add button is accessible on Reporting Methods page</t>
  </si>
  <si>
    <t>1.Observe Add button</t>
  </si>
  <si>
    <t>Add button displayed and clickable successfully</t>
  </si>
  <si>
    <t>User can open Add form</t>
  </si>
  <si>
    <t>TC_PIM_121</t>
  </si>
  <si>
    <t>Verify existing reporting methods appear in table</t>
  </si>
  <si>
    <t>Ensure saved records are displayed correctly</t>
  </si>
  <si>
    <t>1. Open Reporting Methods page
2. Observe records table</t>
  </si>
  <si>
    <t>Existing reporting methods displayed successfully</t>
  </si>
  <si>
    <t>TC_PIM_122</t>
  </si>
  <si>
    <t>Verify empty-state message when no reporting methods exist</t>
  </si>
  <si>
    <t>Ensure proper feedback appears when table is empty</t>
  </si>
  <si>
    <t>No reporting methods available</t>
  </si>
  <si>
    <t>1. Navigate to Reporting Methods page</t>
  </si>
  <si>
    <t>TC_PIM_123</t>
  </si>
  <si>
    <t>Verify Add button opens Add Reporting Method form</t>
  </si>
  <si>
    <t>TC_PIM_124</t>
  </si>
  <si>
    <t>1. Leave Reporting Method Name empty
2. Click Save</t>
  </si>
  <si>
    <t>TC_PIM_125</t>
  </si>
  <si>
    <t>Ensure valid reporting method data is saved correctly</t>
  </si>
  <si>
    <t>Reporting Method Name: Direct Manager
 Review</t>
  </si>
  <si>
    <t>Reporting method created successfully</t>
  </si>
  <si>
    <t>TC_PIM_126</t>
  </si>
  <si>
    <t>Verify new reporting method appears immediately in table</t>
  </si>
  <si>
    <t>1. Save new reporting method
2. Observe records table</t>
  </si>
  <si>
    <t>New reporting method displayed immediately in table</t>
  </si>
  <si>
    <t>TC_PIM_127</t>
  </si>
  <si>
    <t>Verify success message appears after adding reporting method</t>
  </si>
  <si>
    <t>1. Create reporting method
2. Observe notification</t>
  </si>
  <si>
    <t>Valid reporting method</t>
  </si>
  <si>
    <t>TC_PIM_128</t>
  </si>
  <si>
    <t>Verify that the system correctly handles special characters in report method names in add</t>
  </si>
  <si>
    <t>Admin on Add Reporting Method form</t>
  </si>
  <si>
    <t>1. Click Add button
2. Enter reporting method name with special characters
3. Click Save
4. Observe table and UI behavior</t>
  </si>
  <si>
    <t>Reporting Method Name:
"@@@###%%%HR_Method!!!"</t>
  </si>
  <si>
    <t>TC_PIM_129</t>
  </si>
  <si>
    <t>Verify system prevents duplicate reporting methods</t>
  </si>
  <si>
    <t>Ensure duplicate reporting method names cannot be added</t>
  </si>
  <si>
    <t>1. Click Add button
2. Enter existing reporting method name
3. Click Cancel
4. Click Add button
5. Enter existing reporting method name
6. Click Save</t>
  </si>
  <si>
    <t>Reporting Method Name: HR Approval</t>
  </si>
  <si>
    <t>System prevents duplicate reporting method creation</t>
  </si>
  <si>
    <t>Duplicate reporting method created</t>
  </si>
  <si>
    <t>TC_PIM_130</t>
  </si>
  <si>
    <t>Verify duplicate reporting methods are not created on double Save click</t>
  </si>
  <si>
    <t>Add Reporting Method form opened</t>
  </si>
  <si>
    <t>1. Enter valid reporting method data
2. Double-click Save button rapidly
3. Observe Reporting Methods table</t>
  </si>
  <si>
    <t>Reporting Method Name: Operations Approval</t>
  </si>
  <si>
    <t>Only one reporting method record should be created</t>
  </si>
  <si>
    <t>Only one reporting method record created successfully</t>
  </si>
  <si>
    <t>TC_PIM_131</t>
  </si>
  <si>
    <t>TC_PIM_132</t>
  </si>
  <si>
    <t>Verify admin can update reporting method details</t>
  </si>
  <si>
    <t>1. Modify reporting method details
2. Click Save</t>
  </si>
  <si>
    <t>TC_PIM_133</t>
  </si>
  <si>
    <t>Verify updated reporting method appears immediately in table</t>
  </si>
  <si>
    <t>1. Update reporting method
2. Return to records table</t>
  </si>
  <si>
    <t>Updated reporting method</t>
  </si>
  <si>
    <t>TC_PIM_134</t>
  </si>
  <si>
    <t>Verify success message appears after updating reporting method</t>
  </si>
  <si>
    <t>1. Edit reporting method
2. Save changes
3. Observe notification</t>
  </si>
  <si>
    <t>TC_PIM_135</t>
  </si>
  <si>
    <t>Verify that the system correctly handles special characters in report method names in editing</t>
  </si>
  <si>
    <t>Admin on Edit Reporting Method form</t>
  </si>
  <si>
    <t>1. Click Edit button
2. Enter reporting method name with special characters
3. Click Save
4. Observe table and UI behavior</t>
  </si>
  <si>
    <t>TC_PIM_136</t>
  </si>
  <si>
    <t>Ensure system preserves data integrity when user refreshes the page while editing a reporting method</t>
  </si>
  <si>
    <t>1. Open Edit form for a reporting method
2. Modify reporting method name
3. Do not click Save
4. Refresh browser page (F5)
5. Return to Reporting Methods table
6. Open edited record again</t>
  </si>
  <si>
    <t>Reporting method data became corrupted after page refresh during edit process</t>
  </si>
  <si>
    <t>TC_PIM_137</t>
  </si>
  <si>
    <t>Verify reporting method records can be selected using checkboxes</t>
  </si>
  <si>
    <t>TC_PIM_138</t>
  </si>
  <si>
    <t>1. Select reporting method
2. Click Delete button</t>
  </si>
  <si>
    <t>Existing reporting method</t>
  </si>
  <si>
    <t>TC_PIM_139</t>
  </si>
  <si>
    <t>Verify reporting method is deleted successfully after confirmation</t>
  </si>
  <si>
    <t>Reporting method deleted successfully</t>
  </si>
  <si>
    <t>TC_PIM_140</t>
  </si>
  <si>
    <t>Verify deleted reporting method no longer appears in table</t>
  </si>
  <si>
    <t>1. Delete reporting method
2. Observe records table</t>
  </si>
  <si>
    <t>Deleted reporting method</t>
  </si>
  <si>
    <t>TC_PIM_141</t>
  </si>
  <si>
    <t>Verify success message appears after deleting reporting method</t>
  </si>
  <si>
    <t>1. Delete reporting method
2. Observe notification message</t>
  </si>
  <si>
    <t>TC_PIM_142</t>
  </si>
  <si>
    <t>Verify deleted reporting method does not reappear after refresh</t>
  </si>
  <si>
    <t>1. Delete reporting method
2. Refresh browser page
3. Search for deleted record</t>
  </si>
  <si>
    <t>Deleted reporting method should not appear again after refresh</t>
  </si>
  <si>
    <t>Deleted reporting method remained deleted successfully</t>
  </si>
  <si>
    <t>TC_PIM_143</t>
  </si>
  <si>
    <t>Verify reporting method is not deleted before confirmation</t>
  </si>
  <si>
    <t>Existing reporting method selected</t>
  </si>
  <si>
    <t>TC_PIM_144</t>
  </si>
  <si>
    <t>Verify Termination Reasonss option appears in submenu</t>
  </si>
  <si>
    <t>Ensure Termination Reasonss option exists inside Configuration menu</t>
  </si>
  <si>
    <t>Termination Reasonss option displayed successfully</t>
  </si>
  <si>
    <t>User can access Termination Reasonss page</t>
  </si>
  <si>
    <t>TC_PIM_145</t>
  </si>
  <si>
    <t>Verify system redirects admin to Termination Reasonss page</t>
  </si>
  <si>
    <t>Ensure correct page opens after selecting Termination Reasonss</t>
  </si>
  <si>
    <t>1. Open Configuration menu
2. Click Termination Reasonss</t>
  </si>
  <si>
    <t>User redirected to Termination Reasonss page successfully</t>
  </si>
  <si>
    <t>Termination Reasonss page accessible</t>
  </si>
  <si>
    <t>TC_PIM_146</t>
  </si>
  <si>
    <t>Verify Termination Reasonss page loads without errors</t>
  </si>
  <si>
    <t>User navigated to Termination Reasonss page</t>
  </si>
  <si>
    <t>1. Open Termination Reasonss page
2. Observe loading behavior</t>
  </si>
  <si>
    <t>TC_PIM_147</t>
  </si>
  <si>
    <t>Verify Termination Reasonss table contains correct columns</t>
  </si>
  <si>
    <t>User on Termination Reasonss page</t>
  </si>
  <si>
    <t>Table displays:
Termination Reasons Name
Description
Actions</t>
  </si>
  <si>
    <t>TC_PIM_148</t>
  </si>
  <si>
    <t>Ensure every Termination Reasons contains action buttons</t>
  </si>
  <si>
    <t>Existing Termination Reasonss available</t>
  </si>
  <si>
    <t>TC_PIM_149</t>
  </si>
  <si>
    <t>Ensure Add button is accessible on Termination Reasonss page</t>
  </si>
  <si>
    <t>TC_PIM_150</t>
  </si>
  <si>
    <t>Verify existing Termination Reasonss appear in table</t>
  </si>
  <si>
    <t>1. Open Termination Reasonss page
2. Observe records table</t>
  </si>
  <si>
    <t>Existing Termination Reasonss displayed successfully</t>
  </si>
  <si>
    <t>TC_PIM_151</t>
  </si>
  <si>
    <t>Verify empty-state message when no Termination Reasonss exist</t>
  </si>
  <si>
    <t>No Termination Reasonss available</t>
  </si>
  <si>
    <t>1. Navigate to Termination Reasonss page</t>
  </si>
  <si>
    <t>TC_PIM_152</t>
  </si>
  <si>
    <t>Verify Add button opens Add Termination Reasons form</t>
  </si>
  <si>
    <t>Add Termination Reasons form opens successfully</t>
  </si>
  <si>
    <t>TC_PIM_153</t>
  </si>
  <si>
    <t>1. Leave Termination Reasons Name empty
2. Click Save</t>
  </si>
  <si>
    <t>TC_PIM_154</t>
  </si>
  <si>
    <t>Verify Termination Reasons is created successfully with valid data</t>
  </si>
  <si>
    <t>Ensure valid Termination Reasons data is saved correctly</t>
  </si>
  <si>
    <t>1. Enter valid Termination Reasons name
2. Click Save</t>
  </si>
  <si>
    <t>Termination Reasons Name: Direct Manager
 Review</t>
  </si>
  <si>
    <t>Termination Reasons created successfully</t>
  </si>
  <si>
    <t>TC_PIM_155</t>
  </si>
  <si>
    <t>Verify new Termination Reasons appears immediately in table</t>
  </si>
  <si>
    <t>1. Save new Termination Reasons
2. Observe records table</t>
  </si>
  <si>
    <t>New Termination Reasons displayed immediately in table</t>
  </si>
  <si>
    <t>TC_PIM_156</t>
  </si>
  <si>
    <t>Verify success message appears after adding Termination Reasons</t>
  </si>
  <si>
    <t>1. Create Termination Reasons
2. Observe notification</t>
  </si>
  <si>
    <t>Valid Termination Reasons</t>
  </si>
  <si>
    <t>TC_PIM_157</t>
  </si>
  <si>
    <t>Verify that the system correctly handles special characters in Termination Reasons names in add</t>
  </si>
  <si>
    <t>Admin on Add Termination Reasons form</t>
  </si>
  <si>
    <t>1. Click Add button
2. Enter Termination Reasons name with special characters
3. Click Save
4. Observe table and UI behavior</t>
  </si>
  <si>
    <t>Termination Reasons Name:
"@@@###%%%HR_Method!!!"</t>
  </si>
  <si>
    <t>Special characters caused UI layout issues in Termination Reasonss table</t>
  </si>
  <si>
    <t>TC_PIM_158</t>
  </si>
  <si>
    <t>Verify system prevents duplicate Termination Reasonss</t>
  </si>
  <si>
    <t>Ensure duplicate Termination Reasons names cannot be added</t>
  </si>
  <si>
    <t>Existing Termination Reasons available</t>
  </si>
  <si>
    <t>1. Click Add button
2. Enter existing Termination Reasons name
3. Click Save</t>
  </si>
  <si>
    <t>Termination Reasons Name: HR Approval</t>
  </si>
  <si>
    <t>System prevents duplicate Termination Reasons creation</t>
  </si>
  <si>
    <t>Duplicate Termination Reasons was not created</t>
  </si>
  <si>
    <t>TC_PIM_159</t>
  </si>
  <si>
    <t>Verify duplicate Termination Reasonss are not created on double Save click</t>
  </si>
  <si>
    <t>Add Termination Reasons form opened</t>
  </si>
  <si>
    <t>1. Enter valid Termination Reasons data
2. Double-click Save button rapidly
3. Observe Termination Reasonss table</t>
  </si>
  <si>
    <t>Termination Reasons Name: Operations Approval</t>
  </si>
  <si>
    <t>Only one Termination Reasons record should be created</t>
  </si>
  <si>
    <t>Only one Termination Reasons record created successfully</t>
  </si>
  <si>
    <t>TC_PIM_160</t>
  </si>
  <si>
    <t>TC_PIM_161</t>
  </si>
  <si>
    <t>Verify that the system correctly handles special characters in Termination Reasons names in edit</t>
  </si>
  <si>
    <t>Admin on edit Termination Reasons form</t>
  </si>
  <si>
    <t>1. Click edit button
2. Enter Termination Reasons name with special characters
3. Click Save
4. Observe table and UI behavior</t>
  </si>
  <si>
    <t>TC_PIM_162</t>
  </si>
  <si>
    <t>Verify admin can update Termination Reasons details</t>
  </si>
  <si>
    <t>1. Modify Termination Reasons details
2. Click Save</t>
  </si>
  <si>
    <t>TC_PIM_163</t>
  </si>
  <si>
    <t>Verify updated Termination Reasons appears immediately in table</t>
  </si>
  <si>
    <t>1. Update Termination Reasons
2. Return to records table</t>
  </si>
  <si>
    <t>Updated Termination Reasons</t>
  </si>
  <si>
    <t>TC_PIM_164</t>
  </si>
  <si>
    <t>Verify success message appears after updating Termination Reasons</t>
  </si>
  <si>
    <t>1. Edit Termination Reasons
2. Save changes
3. Observe notification</t>
  </si>
  <si>
    <t>TC_PIM_165</t>
  </si>
  <si>
    <t>Ensure system preserves data integrity when user refreshes the page while editing a Termination Reasons</t>
  </si>
  <si>
    <t>1. Open Edit form for a Termination Reasons
2. Modify Termination Reasons name
3. Do not click Save
4. Refresh browser page (F5)
5. Return to Termination Reasonss table
6. Open edited record again</t>
  </si>
  <si>
    <t>Original Termination Reasons data remains unchanged and stable</t>
  </si>
  <si>
    <t>Termination Reasons data became corrupted after page refresh during edit process</t>
  </si>
  <si>
    <t>TC_PIM_166</t>
  </si>
  <si>
    <t>Verify Termination Reasons records can be selected using checkboxes</t>
  </si>
  <si>
    <t>TC_PIM_167</t>
  </si>
  <si>
    <t>1. Select Termination Reasons
2. Click Delete button</t>
  </si>
  <si>
    <t>Existing Termination Reasons</t>
  </si>
  <si>
    <t>TC_PIM_168</t>
  </si>
  <si>
    <t>Verify Termination Reasons is deleted successfully after confirmation</t>
  </si>
  <si>
    <t>Termination Reasons deleted successfully</t>
  </si>
  <si>
    <t>TC_PIM_169</t>
  </si>
  <si>
    <t>Verify deleted Termination Reasons no longer appears in table</t>
  </si>
  <si>
    <t>1. Delete Termination Reasons
2. Observe records table</t>
  </si>
  <si>
    <t>Deleted Termination Reasons</t>
  </si>
  <si>
    <t>TC_PIM_170</t>
  </si>
  <si>
    <t>Verify success message appears after deleting Termination Reasons</t>
  </si>
  <si>
    <t>1. Delete Termination Reasons
2. Observe notification message</t>
  </si>
  <si>
    <t>TC_PIM_171</t>
  </si>
  <si>
    <t>Verify deleted Termination Reasons does not reappear after refresh</t>
  </si>
  <si>
    <t>1. Delete Termination Reasons
2. Refresh browser page
3. Search for deleted record</t>
  </si>
  <si>
    <t>Deleted Termination Reasons should not appear again after refresh</t>
  </si>
  <si>
    <t>Deleted Termination Reasons remained deleted successfully</t>
  </si>
  <si>
    <t>TC_PIM_172</t>
  </si>
  <si>
    <t>Verify Termination Reasons is not deleted before confirmation</t>
  </si>
  <si>
    <t>Existing Termination Reasons selected</t>
  </si>
  <si>
    <t>TC_PIM_173</t>
  </si>
  <si>
    <t>Verify Admin can successfully navigate to and load the Reports interface.</t>
  </si>
  <si>
    <t>Validates that the Reports navigation link is visible, responsive, and loads the target view workspace cleanly without network anomalies or script errors.</t>
  </si>
  <si>
    <t>1. User is authenticated into OrangeHRM with Admin privileges.
2. User is on the core PIM module workspace screen layout.</t>
  </si>
  <si>
    <t>1. Visual inspect the PIM top horizontal navigation bar matrix line.
2. Hover over the Reports option to verify element readability and labels.
3. Click directly on the Reports button item.
4. Wait for page resolution and inspect for layout issues.</t>
  </si>
  <si>
    <t>Target URL: /pim/viewDefinedPredefinedReports</t>
  </si>
  <si>
    <t>The Reports navigation item must be highly readable and clearly labeled. Clicking it redirects the browser smoothly to the Reports page, which loads fully with no broken placeholders or unhandled client exceptions.</t>
  </si>
  <si>
    <t>The Predefined Reports panel remains active and ready for input processing.</t>
  </si>
  <si>
    <t>The page is loaded successfully, and all items rendered successfully</t>
  </si>
  <si>
    <t>TC_PIM_174</t>
  </si>
  <si>
    <t>Verify data grid structure shows Report Name and Actions column values.</t>
  </si>
  <si>
    <t>Checks table design definitions to confirm column headers conform directly to layout specifications.</t>
  </si>
  <si>
    <t>User is on the Reports view layout section; reports exist in the database.</t>
  </si>
  <si>
    <t>1. Focus on the central summary records table block layout area.
2. Map out column title cells across the structural header bar line.
3. Verify system records populate cleanly across rows matching those headers.</t>
  </si>
  <si>
    <t>Grid layout map metrics.</t>
  </si>
  <si>
    <t>A structured data presentation table must load on page view. Each distinct record row item entry must explicitly feature data under a Report Name header column and an Actions column.</t>
  </si>
  <si>
    <t>The records of the table are loaded successfully, and their data are under their distinct header</t>
  </si>
  <si>
    <t>TC_PIM_175</t>
  </si>
  <si>
    <t>Verify search filter results show only report names matching your query.</t>
  </si>
  <si>
    <t>Assures the filter system reduces table rows down to target configurations matching your input search string.</t>
  </si>
  <si>
    <t>User is on the Reports view page; multiple standard records (e.g., "PIM Sample Report") exist.</t>
  </si>
  <si>
    <t>1. Enter a valid string query (e.g., "Sample") inside the Report Name text field line box.
2. Click the primary inline Search action button execution target.
3. Inspect row text matches displayed inside the data table collection grid below.</t>
  </si>
  <si>
    <t>Input Query: Sample</t>
  </si>
  <si>
    <t>The interface refreshes rows dynamically. The records list table displays only reports matching the term "Sample" in their title.</t>
  </si>
  <si>
    <t>Table data arrays display filtered subsets of report rows.</t>
  </si>
  <si>
    <t>After typing an existing report name manually and pressing the search button, it gives invalid</t>
  </si>
  <si>
    <t>TC_PIM_176</t>
  </si>
  <si>
    <t>Verify that clicking the View button successfully executes and displays the report data.</t>
  </si>
  <si>
    <t>Confirms that selecting the View/Run icon (often represented by a document, chart, or play icon) dynamically compiles the query parameters and routes the Admin to the report generation results page.</t>
  </si>
  <si>
    <t>1. User is logged in as Admin.
2. User is on the PIM &gt; Reports page.
3. At least one valid report record (e.g., "PIM Sample Report") is present in the list grid row.</t>
  </si>
  <si>
    <t>1. Locate the target report row line within the data list matrix.
2. Move the cursor to the right side Actions column cell for that row.
3. Click precisely on the View button icon component.
4. Monitor the browser loading sequence and page display.</t>
  </si>
  <si>
    <t>Target Row: PIM Sample Report</t>
  </si>
  <si>
    <t>The application redirects smoothly to the designated report display framework layout. The summary page heading must display the exact report name, and a generated tabular compilation of the employee records matching that report layout must render without exceptions.</t>
  </si>
  <si>
    <t>The user is viewing the live generated report output criteria page view.</t>
  </si>
  <si>
    <t>After pressing the view button, it redirects to the report table data successfully</t>
  </si>
  <si>
    <t>TC_PIM_177</t>
  </si>
  <si>
    <t>Verify that clicking the Edit button routes the Admin to the Report Edit Wizard form.</t>
  </si>
  <si>
    <t>This case validates that clicking the inline Edit pencil icon opens the underlying query workspace configuration screen, pre-populating it with the saved properties of that report item.</t>
  </si>
  <si>
    <t>1. User is logged in as Admin.
2. User is on the PIM &gt; Reports page.
3. A predefined report record entry is available in the table view grid summary.</t>
  </si>
  <si>
    <t>1. Scroll over to the targeted report row tracking line block.
2. In the corresponding Actions data column cell area, click on the Edit (pencil icon) control option element.
3. Check if all form inputs fill out correctly with historical metadata entries.</t>
  </si>
  <si>
    <t>The page shifts seamlessly to the "Define Report" or "Edit Report" input configuration workspace view structure. The Report Name string line textbox and corresponding selected criteria checkline options must be fully editable and pre-populated with the target report's existing data configuration.</t>
  </si>
  <si>
    <t>The interface remains open in edit configuration entry mode waiting for adjustments.</t>
  </si>
  <si>
    <t>After clicking the edit button, it redirects to the edit report page successfully</t>
  </si>
  <si>
    <t>TC_PIM_178</t>
  </si>
  <si>
    <t>Verify Admin can update details, receive a success message, and view changes in the table.</t>
  </si>
  <si>
    <t>Confirms that changing the report's text attributes and criteria settings updates the database cleanly, triggers a success toast notification, and returns the user to an updated summary table.</t>
  </si>
  <si>
    <t>User has successfully loaded the Edit Report form for QA Team Performance Report 2026.</t>
  </si>
  <si>
    <t>1. Click inside the Report Name input field, append text to alter the name, and modify an active criterion.
2. Click the primary Save button element.
3. Monitor the incoming transient notification alert type.
4. Trace the modified listing row details back on the primary Predefined Reports dashboard table grid.</t>
  </si>
  <si>
    <t>Updated Report Name: QA Team Performance Report 2026 - RevisedAdded Display Field: Personal &gt; Employee ID</t>
  </si>
  <si>
    <t>The transaction processes successfully. A green "Successfully Updated" toast notification slides into view, the wizard redirects back to the main reports table list view, and the modified title QA Team Performance Report 2026 - Revised is actively displayed in its corresponding row.</t>
  </si>
  <si>
    <t>The report definition metadata modifications are permanently written into active data schema blocks.</t>
  </si>
  <si>
    <t>After saving, the table is updated with the ID successfully</t>
  </si>
  <si>
    <t>TC_PIM_179</t>
  </si>
  <si>
    <t>Verify that clicking the Delete button brings up a confirmation warning to securely drop the item.</t>
  </si>
  <si>
    <t>Assures the trash bin button acts defensively by showing an authorization confirmation modal overlay block before unlinking data, preventing accidental drops.</t>
  </si>
  <si>
    <t>1. User is logged in as Admin.
2. User is on the PIM &gt; Reports page.
3. A temporary or old report record exists in the table view matrix.</t>
  </si>
  <si>
    <t>1. Identify the specific report row targeted for system removal entries.
2. Go to the right margin tracking cell block area and click on the inline Delete (trash bin icon) button element.
3. Observe the interception dialog prompt container layout.
4. Click the affirmative confirmation action option button reading Yes, Delete.</t>
  </si>
  <si>
    <t>Target Row: Temporary Testing Layout Report</t>
  </si>
  <si>
    <t>An explicit confirmation pop-up modal panel intercepts the action click sequence immediately. Upon hitting the confirm selection option, a green "Successfully Deleted" notification bar prints out, and the targeted report row line immediately vanishes from the data table display list view.</t>
  </si>
  <si>
    <t>The chosen query layout record is permanently removed from the system.</t>
  </si>
  <si>
    <t>The green message is displayed, and the record is deleted successfully</t>
  </si>
  <si>
    <t>TC_PIM_180</t>
  </si>
  <si>
    <t>Verify clicking the Add button displays the Add Report form with standard layout controls.</t>
  </si>
  <si>
    <t>Validates that interacting with the primary "+ Add" control correctly changes the view state to display the form with all expected input fields.</t>
  </si>
  <si>
    <t>1. User is logged into the OrangeHRM demo website as Admin
.2. User is on the PIM &gt; Predefined Reports list view screen.</t>
  </si>
  <si>
    <t>1. Click on the + Add button element located above the main summary grid matrix.
2. Wait for the layout conversion transition.
3. Inspect the view structure to confirm form headers, input containers, and button actions render properly.</t>
  </si>
  <si>
    <t>Action: Click + Add button element.</t>
  </si>
  <si>
    <t>The interface changes to the "Add Report" form page. The wizard must display a clear form layout containing the required Report Name input block, selection criteria drop-zones, display field blocks, and a Save action button element.</t>
  </si>
  <si>
    <t>The system stands ready on the blank creation form space.</t>
  </si>
  <si>
    <t>The button redirects to the "Add Report" page successfully</t>
  </si>
  <si>
    <t>TC_PIM_181</t>
  </si>
  <si>
    <t>Verify successful report creation, transient feedback alerts, and new grid item visibility.</t>
  </si>
  <si>
    <t>Validates a complete creation cycle, tracking that a valid submission saves to the database, prompts a success message, and registers as a row item in the table list.</t>
  </si>
  <si>
    <t>User is on the blank Add Report configuration form layout space.</t>
  </si>
  <si>
    <t>1. Type a unique, valid string inside the Report Name field line box.
2. Define required criteria groupings and select display data fields (e.g., First Name, Last Name).
3. Click on the Save button element to execute compilation logs.
4. Monitor the transient notification type and trace listings back on the summary dashboard.</t>
  </si>
  <si>
    <t>Report Name: QA Team Performance Report 2026
Selection Criteria: Job Title &gt; QA Engineer
Display Fields: Personal &gt; First Name, Personal &gt; Last Name</t>
  </si>
  <si>
    <t>The transaction completes successfully. A green "Successfully Saved" toast notification transitions into view, the wizard routes the browser back to the main Predefined Reports list view layout, and QA Team Performance Report 2026 appears as an active row entry inside the data list table.</t>
  </si>
  <si>
    <t>A fresh report query definition layout is written into active schema tables.</t>
  </si>
  <si>
    <t>After pressing the save button, the report is displayed and saved successfully</t>
  </si>
  <si>
    <t>TC_PIM_182</t>
  </si>
  <si>
    <t>Verify form submission is blocked and throws validation alerts when Report Name is empty.</t>
  </si>
  <si>
    <t>Assures the form controller runs a data evaluation script before transmitting payloads to prevent blank records from fracturing the system repository.</t>
  </si>
  <si>
    <t>User has accessed the empty Add Report configuration form layout space.</t>
  </si>
  <si>
    <t>1. Leave the Report Name text string input box completely blank ("").
2. Configure valid mock definitions for display criteria components below (e.g., choose selection options).
3. Directly click the primary Save button control point.</t>
  </si>
  <si>
    <t>Report Name: "" (Blank)
Display Fields: Personal &gt; First Name selected.</t>
  </si>
  <si>
    <t>The creation request is blocked. The application remains on the creation form pane, and a distinct red formatting warning label reading "Required" prints directly beneath the blank Report Name input box container.</t>
  </si>
  <si>
    <t>No backend records are generated; the entry form remains open in an un-submitted state.</t>
  </si>
  <si>
    <t>After Clicking the save button, the red label beneath the report name box is displayed successfully</t>
  </si>
  <si>
    <t>TC_PIM_183</t>
  </si>
  <si>
    <t>Verify form submission is blocked and throws warning alerts when no display field is added.</t>
  </si>
  <si>
    <t>This test case verifies that if the Admin inputs a valid report name but fails to select or add any display fields to the report layout, the system prevents final submission and displays a warning toast message alerting the user that a report must have at least one display field.</t>
  </si>
  <si>
    <t>1. User is logged into the OrangeHRM demo website as Admin.2. User has clicked the + Add button and is on the Define Report configuration form space.</t>
  </si>
  <si>
    <t>1. Click inside the Report Name input textbox field and type a valid, unique name.
2. Leave all selection criteria and display fields at their default values.
3. Click the primary Save button.</t>
  </si>
  <si>
    <t>Report Name: Incomplete Layout Test ReportDisplay Fields Selection: [None Selected]</t>
  </si>
  <si>
    <t>The form submission is halted. A yellow warning notification message must slide into view in the top right corner of the screen, explicitly displaying text such as "At least one display field should be selected" or a similar layout configuration warning. The application must remain on the edit page with your inputted report name preserved.</t>
  </si>
  <si>
    <t>No backend report record is generated; the user is required to add display criteria to continue.</t>
  </si>
  <si>
    <t>The yellow message say "
Warning
At least one display field should be added" is displayed successfully</t>
  </si>
  <si>
    <t>TC_LEAVE_001</t>
  </si>
  <si>
    <t>Leave</t>
  </si>
  <si>
    <t>US_035</t>
  </si>
  <si>
    <t>Verify Apply Leave page refresh behavior</t>
  </si>
  <si>
    <t>Ensure Apply Leave page remains functional after browser refresh</t>
  </si>
  <si>
    <t>User logged in and Apply Leave page accessible</t>
  </si>
  <si>
    <t>1. Navigate to Leave → Apply
2. Refresh browser page
3. Verify page elements</t>
  </si>
  <si>
    <t>Apply Leave page loads successfully and all controls remain available</t>
  </si>
  <si>
    <t>Apply Leave page remains accessible</t>
  </si>
  <si>
    <t>Apply Leave page loaded successfully and all required fields were displayed correctly</t>
  </si>
  <si>
    <t>TC_LEAVE_002</t>
  </si>
  <si>
    <t>Verify leave request appears in Leave List after submission</t>
  </si>
  <si>
    <t>Ensure submitted leave request is visible in employee records</t>
  </si>
  <si>
    <t>User has valid leave balance</t>
  </si>
  <si>
    <t>1. Submit valid leave request
2. Navigate to My Leave
3. Search submitted request</t>
  </si>
  <si>
    <t>Annual Leave</t>
  </si>
  <si>
    <t>Submitted request displayed correctly in leave history</t>
  </si>
  <si>
    <t>Leave request stored successfully</t>
  </si>
  <si>
    <t>Leave request was submitted successfully and appeared in My Leave list</t>
  </si>
  <si>
    <t>TC_LEAVE_003</t>
  </si>
  <si>
    <t>Verify Apply button behavior with incomplete form</t>
  </si>
  <si>
    <t>Ensure system blocks submission before processing request</t>
  </si>
  <si>
    <t>Apply Leave page opened</t>
  </si>
  <si>
    <t>1. Enter partial data
2. Leave required field empty
3. Click Apply</t>
  </si>
  <si>
    <t>Missing Leave Type</t>
  </si>
  <si>
    <t>Request is not processed and user remains on form page</t>
  </si>
  <si>
    <t>No leave request created</t>
  </si>
  <si>
    <t>Validation messages appeared and the request was not submitted</t>
  </si>
  <si>
    <t>TC_LEAVE_004</t>
  </si>
  <si>
    <t>Verify leave duration calculation for one-day leave</t>
  </si>
  <si>
    <t>Ensure duration value is calculated correctly</t>
  </si>
  <si>
    <t>Employee on Apply Leave page</t>
  </si>
  <si>
    <t>1. Select same start/end date
2. Observe calculated duration</t>
  </si>
  <si>
    <t>Duration displayed as 1 day before submission</t>
  </si>
  <si>
    <t>Duration calculated successfully</t>
  </si>
  <si>
    <t>System calculated leave duration as 1 day correctly</t>
  </si>
  <si>
    <t>TC_LEAVE_005</t>
  </si>
  <si>
    <t>Verify total leave days calculation across multiple dates</t>
  </si>
  <si>
    <t>Ensure leave duration is calculated accurately</t>
  </si>
  <si>
    <t>Leave balance available</t>
  </si>
  <si>
    <t>1. Select multi-day range
2. Review calculated duration</t>
  </si>
  <si>
    <t>01-Aug-2026 → 05-Aug-2026</t>
  </si>
  <si>
    <t>System calculates total leave days correctly</t>
  </si>
  <si>
    <t>Duration displayed correctly</t>
  </si>
  <si>
    <t>Total leave days were calculated correctly for the selected date range</t>
  </si>
  <si>
    <t>TC_LEAVE_006</t>
  </si>
  <si>
    <t>Verify half-day option visibility by leave type</t>
  </si>
  <si>
    <t>Ensure Half Day option appears only when allowed</t>
  </si>
  <si>
    <t>Leave type configuration exists</t>
  </si>
  <si>
    <t>1. Select leave type
2. Review duration options</t>
  </si>
  <si>
    <t>Sick Leave</t>
  </si>
  <si>
    <t>Eligible leave types display Half Day option</t>
  </si>
  <si>
    <t>Duration options loaded correctly</t>
  </si>
  <si>
    <t>Half Day option was displayed and functioned correctly</t>
  </si>
  <si>
    <t>TC_LEAVE_007</t>
  </si>
  <si>
    <t>Verify leave hours calculation for specified time request</t>
  </si>
  <si>
    <t>Ensure requested hours are calculated correctly</t>
  </si>
  <si>
    <t>Specify Time enabled</t>
  </si>
  <si>
    <t>1. Select Specify Time
2. Enter valid time range</t>
  </si>
  <si>
    <t>09:00 AM – 12:00 PM</t>
  </si>
  <si>
    <t>Requested hours calculated and displayed correctly</t>
  </si>
  <si>
    <t>Hours calculated successfully</t>
  </si>
  <si>
    <t>Leave hours were calculated and displayed correctly</t>
  </si>
  <si>
    <t>TC_LEAVE_008</t>
  </si>
  <si>
    <t>Verify date picker restrictions</t>
  </si>
  <si>
    <t>Ensure invalid dates cannot be selected easily</t>
  </si>
  <si>
    <t>1. Open date picker
2. Select end date before start date</t>
  </si>
  <si>
    <t>From: 20-Aug
To: 18-Aug</t>
  </si>
  <si>
    <t>System restricts or warns against invalid selection</t>
  </si>
  <si>
    <t>Invalid range prevented</t>
  </si>
  <si>
    <t>Validation error was displayed for invalid date range</t>
  </si>
  <si>
    <t>TC_LEAVE_009</t>
  </si>
  <si>
    <t>Verify leave balance updates after leave type change</t>
  </si>
  <si>
    <t>Ensure balance refreshes dynamically</t>
  </si>
  <si>
    <t>Multiple leave types configured</t>
  </si>
  <si>
    <t>1. Select Leave Type A
2. Change to Leave Type B</t>
  </si>
  <si>
    <t>Annual / Sick Leave</t>
  </si>
  <si>
    <t>Balance updates according to selected leave type</t>
  </si>
  <si>
    <t>Correct balance displayed</t>
  </si>
  <si>
    <t>Leave balance updated correctly after changing leave type</t>
  </si>
  <si>
    <t>TC_LEAVE_010</t>
  </si>
  <si>
    <t>Verify special characters in leave comment</t>
  </si>
  <si>
    <t>Ensure comment field accepts supported text values</t>
  </si>
  <si>
    <t>1. Enter comment with symbols and numbers
2. Submit request</t>
  </si>
  <si>
    <t>"Medical appointment #2026"</t>
  </si>
  <si>
    <t>Comment saved without data corruption</t>
  </si>
  <si>
    <t>Comment stored successfully</t>
  </si>
  <si>
    <t>Comment was saved successfully with the leave request</t>
  </si>
  <si>
    <t>TC_LEAVE_011</t>
  </si>
  <si>
    <t>US_036</t>
  </si>
  <si>
    <t>Verify My Leave page accessibility</t>
  </si>
  <si>
    <t>Ensure employee can open My Leave page successfully from Leave module</t>
  </si>
  <si>
    <t>Employee logged into system</t>
  </si>
  <si>
    <t>1. Navigate to Leave module
2. Click My Leave</t>
  </si>
  <si>
    <t>Employee account</t>
  </si>
  <si>
    <t>My Leave page opens successfully without errors</t>
  </si>
  <si>
    <t>My Leave page displayed successfully</t>
  </si>
  <si>
    <t>TC_LEAVE_012</t>
  </si>
  <si>
    <t>Verify employee leave requests visibility on My Leave page</t>
  </si>
  <si>
    <t>Ensure employee submitted leave requests appear in list/grid view</t>
  </si>
  <si>
    <t>Existing leave requests available</t>
  </si>
  <si>
    <t>1. Navigate to Leave → My Leave
2. Observe displayed records</t>
  </si>
  <si>
    <t>Existing leave requests</t>
  </si>
  <si>
    <t>Employee leave requests displayed successfully in list/grid view</t>
  </si>
  <si>
    <t>Leave records visible successfully</t>
  </si>
  <si>
    <t>Leave requests displayed successfully</t>
  </si>
  <si>
    <t>TC_LEAVE_013</t>
  </si>
  <si>
    <t>Verify employee sees only own leave records</t>
  </si>
  <si>
    <t>Ensure My Leave page displays only leave requests belonging to logged-in employee</t>
  </si>
  <si>
    <t>Multiple employee leave requests exist</t>
  </si>
  <si>
    <t>1. Login as Employee A
2. Navigate to My Leave
3. Observe displayed records</t>
  </si>
  <si>
    <t>Employee A / Employee B leave records</t>
  </si>
  <si>
    <t>Only logged-in employee leave requests displayed</t>
  </si>
  <si>
    <t>Employee data isolated successfully</t>
  </si>
  <si>
    <t>Own leave records displayed successfully</t>
  </si>
  <si>
    <t>TC_LEAVE_014</t>
  </si>
  <si>
    <t>Verify My Leave behavior when no leave requests exist</t>
  </si>
  <si>
    <t>Ensure system handles empty leave history correctly</t>
  </si>
  <si>
    <t>Employee account with no leave requests</t>
  </si>
  <si>
    <t>1. Login using employee without leave requests
2. Navigate to My Leave</t>
  </si>
  <si>
    <t>Employee without leave history</t>
  </si>
  <si>
    <t>System displays empty state / No Records Found message</t>
  </si>
  <si>
    <t>Empty view displayed successfully</t>
  </si>
  <si>
    <t>Empty state displayed successfully</t>
  </si>
  <si>
    <t>TC_LEAVE_015</t>
  </si>
  <si>
    <t>My Leave user on Email Configuration page</t>
  </si>
  <si>
    <t>The remaining menu items were hidden inside the 'More' button after returning to the desktop view</t>
  </si>
  <si>
    <t>TC_LEAVE_016</t>
  </si>
  <si>
    <t>Verify Leave Type visibility in My Leave records</t>
  </si>
  <si>
    <t>Ensure each leave request displays Leave Type correctly</t>
  </si>
  <si>
    <t>Employee has submitted leave requests</t>
  </si>
  <si>
    <t>1. Navigate to Leave → My Leave
2. Observe leave records list
3. Check Leave Type column/value</t>
  </si>
  <si>
    <t>Leave Type: US - Personal</t>
  </si>
  <si>
    <t>Leave Type displayed correctly for each leave request</t>
  </si>
  <si>
    <t>Leave Type visible successfully</t>
  </si>
  <si>
    <t>Leave Type displayed successfully</t>
  </si>
  <si>
    <t>TC_LEAVE_017</t>
  </si>
  <si>
    <t>Verify From Date visibility in My Leave records</t>
  </si>
  <si>
    <t>Ensure each leave request displays From Date correctly</t>
  </si>
  <si>
    <t>1. Open My Leave page
2. Observe leave entries
3. Verify From Date values</t>
  </si>
  <si>
    <t>From Date: 2026-24-05</t>
  </si>
  <si>
    <t>TC_LEAVE_018</t>
  </si>
  <si>
    <t>Verify To Date visibility in My Leave records</t>
  </si>
  <si>
    <t>Ensure each leave request displays To Date correctly</t>
  </si>
  <si>
    <t>Leave requests available</t>
  </si>
  <si>
    <t>1. Navigate to My Leave
2. Observe records
3. Verify To Date values</t>
  </si>
  <si>
    <t>To Date: 2026-31-13</t>
  </si>
  <si>
    <t>To Date displayed correctly for all records</t>
  </si>
  <si>
    <t>Date visible successfully</t>
  </si>
  <si>
    <t>To Date displayed successfully</t>
  </si>
  <si>
    <t>TC_LEAVE_019</t>
  </si>
  <si>
    <t>Verify leave duration visibility in My Leave records</t>
  </si>
  <si>
    <t>Ensure Number of Days displayed correctly for each leave request</t>
  </si>
  <si>
    <t>1. Open My Leave page
2. Observe Number of Days field</t>
  </si>
  <si>
    <t>Leave Duration: 3 Days</t>
  </si>
  <si>
    <t>Correct Number of Days displayed</t>
  </si>
  <si>
    <t>Leave duration visible successfully</t>
  </si>
  <si>
    <t>Number of Days displayed successfully</t>
  </si>
  <si>
    <t>TC_LEAVE_020</t>
  </si>
  <si>
    <t>Verify Status visibility in My Leave records</t>
  </si>
  <si>
    <t>Ensure leave request status displayed correctly</t>
  </si>
  <si>
    <t>Leave requests available with different statuses</t>
  </si>
  <si>
    <t>1. Navigate to My Leave
2. Observe Status values</t>
  </si>
  <si>
    <t>Pending / Approved / Rejected</t>
  </si>
  <si>
    <t>Correct leave status displayed for each request</t>
  </si>
  <si>
    <t>Status visible successfully</t>
  </si>
  <si>
    <t>TC_LEAVE_021</t>
  </si>
  <si>
    <t>Verify Comments visibility in leave request details</t>
  </si>
  <si>
    <t>Ensure Comments displayed only when available</t>
  </si>
  <si>
    <t>Leave request contains comment</t>
  </si>
  <si>
    <t>1. Open My Leave page
2. Observe leave request details
3. Check Comments field</t>
  </si>
  <si>
    <t>Comment: Family event</t>
  </si>
  <si>
    <t>Comments displayed when available</t>
  </si>
  <si>
    <t>Comment visible successfully</t>
  </si>
  <si>
    <t>Comments displayed successfully</t>
  </si>
  <si>
    <t>TC_LEAVE_022</t>
  </si>
  <si>
    <t>Verify My Leave filtering by valid date range</t>
  </si>
  <si>
    <t>Ensure system displays leave requests only within selected date range</t>
  </si>
  <si>
    <t>My Leave page opened</t>
  </si>
  <si>
    <t>1. Enter valid From Date
2. Enter valid To Date
3. Click Search
4. Observe results</t>
  </si>
  <si>
    <t>From Date: 01-05-2026
To Date: 31-05-2026</t>
  </si>
  <si>
    <t>Only leave requests within selected range displayed</t>
  </si>
  <si>
    <t>Filtered results displayed successfully</t>
  </si>
  <si>
    <t>Filtered records displayed successfully</t>
  </si>
  <si>
    <t>TC_LEAVE_023</t>
  </si>
  <si>
    <t>Verify out-of-range leave requests hidden after filtering</t>
  </si>
  <si>
    <t>Ensure leave requests outside selected range are not displayed</t>
  </si>
  <si>
    <t>Leave records exist inside and outside target range</t>
  </si>
  <si>
    <t>1. Enter date range
2. Click Search
3. Compare displayed records</t>
  </si>
  <si>
    <t>Range: 01-05-2026 → 31-05-2026</t>
  </si>
  <si>
    <t>Records outside selected range not displayed</t>
  </si>
  <si>
    <t>Only matching records remain visible</t>
  </si>
  <si>
    <t>Out-of-range records hidden successfully</t>
  </si>
  <si>
    <t>TC_LEAVE_024</t>
  </si>
  <si>
    <t>Verify Search button refreshes leave results</t>
  </si>
  <si>
    <t>Ensure Search updates displayed records after applying date filter</t>
  </si>
  <si>
    <t>1. Enter From Date
2. Enter To Date
3. Click Search
4. Observe result list refresh</t>
  </si>
  <si>
    <t>From: 10-05-2026
To: 20-05-2026</t>
  </si>
  <si>
    <t>Results updated according to selected range</t>
  </si>
  <si>
    <t>Results updated successfully</t>
  </si>
  <si>
    <t>TC_LEAVE_025</t>
  </si>
  <si>
    <t>Verify My Leave handling when no records match selected range</t>
  </si>
  <si>
    <t>Ensure system handles empty search result correctly</t>
  </si>
  <si>
    <t>No leave requests exist within selected range</t>
  </si>
  <si>
    <t>1. Enter date range without records
2. Click Search</t>
  </si>
  <si>
    <t>From Date: 01-01-2025
To Date: 02-01-2025</t>
  </si>
  <si>
    <t>System displays No Records Found message</t>
  </si>
  <si>
    <t>Empty result handled successfully</t>
  </si>
  <si>
    <t>TC_LEAVE_026</t>
  </si>
  <si>
    <t>Verify My Leave filtering using one status value</t>
  </si>
  <si>
    <t>Ensure system displays leave requests matching selected status only</t>
  </si>
  <si>
    <t>Leave requests with multiple statuses available</t>
  </si>
  <si>
    <t>1. Select one status from Status filter
2. Click Search
3. Observe displayed records</t>
  </si>
  <si>
    <t>Status: Pending Approval</t>
  </si>
  <si>
    <t>Only leave requests with selected status displayed</t>
  </si>
  <si>
    <t>TC_LEAVE_027</t>
  </si>
  <si>
    <t>Verify My Leave filtering by multiple status values</t>
  </si>
  <si>
    <t>Ensure system supports filtering using more than one leave status</t>
  </si>
  <si>
    <t>Multiple leave statuses available</t>
  </si>
  <si>
    <t>1. Select multiple statuses
2. Click Search
3. Observe results</t>
  </si>
  <si>
    <t>Pending Approval + Scheduled + Taken</t>
  </si>
  <si>
    <t>Only leave requests matching selected statuses displayed</t>
  </si>
  <si>
    <t>Matching results displayed successfully</t>
  </si>
  <si>
    <t>TC_LEAVE_028</t>
  </si>
  <si>
    <t>Verify filtering by Rejected leave status</t>
  </si>
  <si>
    <t>Ensure rejected leave requests displayed correctly when selected</t>
  </si>
  <si>
    <t>Rejected leave requests available</t>
  </si>
  <si>
    <t>1. Select Rejected status
2. Click Search</t>
  </si>
  <si>
    <t>Status: Rejected</t>
  </si>
  <si>
    <t>Only rejected leave requests displayed</t>
  </si>
  <si>
    <t>Rejected records visible successfully</t>
  </si>
  <si>
    <t>Rejected records displayed successfully</t>
  </si>
  <si>
    <t>TC_LEAVE_029</t>
  </si>
  <si>
    <t>Verify filtering by Cancelled leave status</t>
  </si>
  <si>
    <t>Ensure cancelled leave requests displayed correctly when selected</t>
  </si>
  <si>
    <t>Cancelled leave requests available</t>
  </si>
  <si>
    <t>1. Select Cancelled
2. Click Search</t>
  </si>
  <si>
    <t>Status: Cancelled</t>
  </si>
  <si>
    <t>Only cancelled leave requests displayed</t>
  </si>
  <si>
    <t>Cancelled records visible successfully</t>
  </si>
  <si>
    <t>Cancelled records displayed successfully</t>
  </si>
  <si>
    <t>TC_LEAVE_030</t>
  </si>
  <si>
    <t>Verify non-selected statuses hidden after filtering</t>
  </si>
  <si>
    <t>Ensure leave requests with unselected statuses are excluded from results</t>
  </si>
  <si>
    <t>Multiple leave statuses exist</t>
  </si>
  <si>
    <t>1. Select specific status values
2. Click Search
3. Observe displayed records</t>
  </si>
  <si>
    <t>Selected: Pending Approval</t>
  </si>
  <si>
    <t>Records with Scheduled / Taken / Rejected / Cancelled not displayed</t>
  </si>
  <si>
    <t>Only selected status records visible</t>
  </si>
  <si>
    <t>Non-selected statuses excluded successfully</t>
  </si>
  <si>
    <t>TC_LEAVE_031</t>
  </si>
  <si>
    <t>Verify successful leave search using valid filters</t>
  </si>
  <si>
    <t>Ensure search returns matching leave requests after applying valid filters</t>
  </si>
  <si>
    <t>1. Apply valid filters
2. Click Search
3. Observe results</t>
  </si>
  <si>
    <t>Date Range: 01-05-2026 → 31-05-2026
Status: Pending Approval</t>
  </si>
  <si>
    <t>Matching leave records displayed correctly</t>
  </si>
  <si>
    <t>TC_LEAVE_032</t>
  </si>
  <si>
    <t>Verify search refreshes records after changing filters</t>
  </si>
  <si>
    <t>Ensure result list updates after applying different filter values</t>
  </si>
  <si>
    <t>1. Apply first filter set
2. Click Search
3. Change filters
4. Click Search again</t>
  </si>
  <si>
    <t>Search 1 → Pending Approval
Search 2 → Taken</t>
  </si>
  <si>
    <t>Results updated according to latest filters</t>
  </si>
  <si>
    <t>New results displayed successfully</t>
  </si>
  <si>
    <t>TC_LEAVE_033</t>
  </si>
  <si>
    <t>Verify search accuracy for filtered leave records</t>
  </si>
  <si>
    <t>Ensure returned leave records match applied filters only</t>
  </si>
  <si>
    <t>Multiple leave records exist</t>
  </si>
  <si>
    <t>1. Apply valid filters
2. Click Search
3. Review displayed records</t>
  </si>
  <si>
    <t>Status: Scheduled
Date: May 2026</t>
  </si>
  <si>
    <t>Only matching leave records displayed</t>
  </si>
  <si>
    <t>Accurate records shown successfully</t>
  </si>
  <si>
    <t>Search results accurate successfully</t>
  </si>
  <si>
    <t>TC_LEAVE_034</t>
  </si>
  <si>
    <t>Verify Reset clears search filters on My Leave page</t>
  </si>
  <si>
    <t>Ensure Reset button clears all applied search filters successfully</t>
  </si>
  <si>
    <t>mployee logged into system</t>
  </si>
  <si>
    <t>1. Apply search filters
2. Click Reset
3. Observe filter fields</t>
  </si>
  <si>
    <t>Date Range: 01-05-2026 → 31-05-2026</t>
  </si>
  <si>
    <t>All applied filters cleared successfully</t>
  </si>
  <si>
    <t>Default filter state restored</t>
  </si>
  <si>
    <t>TC_LEAVE_035</t>
  </si>
  <si>
    <t>Verify full leave records restored after Reset</t>
  </si>
  <si>
    <t>Ensure complete leave list displayed after clearing filters</t>
  </si>
  <si>
    <t>1. Apply filters
2. Click Search
3. Click Reset
4. Observe leave records</t>
  </si>
  <si>
    <t>Filtered records available</t>
  </si>
  <si>
    <t>Full leave list displayed successfully</t>
  </si>
  <si>
    <t>All leave records visible again</t>
  </si>
  <si>
    <t>Complete leave list displayed successfully</t>
  </si>
  <si>
    <t>TC_LEAVE_036</t>
  </si>
  <si>
    <t>Verify My Leave results refresh after Reset</t>
  </si>
  <si>
    <t>Ensure result list refreshes immediately after Reset action</t>
  </si>
  <si>
    <t>Filtered results already displayed</t>
  </si>
  <si>
    <t>1. Apply filters
2. Search results
3. Click Reset</t>
  </si>
  <si>
    <t>Result list refreshed automatically after Reset</t>
  </si>
  <si>
    <t>TC_LEAVE_037</t>
  </si>
  <si>
    <t>Verify Reset button clears From Date and To Date fields</t>
  </si>
  <si>
    <t>Ensure Reset removes entered date values from search filters</t>
  </si>
  <si>
    <t>Date filters entered successfully</t>
  </si>
  <si>
    <t>1. Enter From Date
2. Enter To Date
3. Click Search (optional)
4. Click Reset
5. Observe date fields</t>
  </si>
  <si>
    <t>From Date and To Date fields should be cleared after clicking Reset</t>
  </si>
  <si>
    <t>Date fields reset successfully</t>
  </si>
  <si>
    <t>Date values remained displayed and were not cleared after clicking Reset</t>
  </si>
  <si>
    <t>TC_LEAVE_038</t>
  </si>
  <si>
    <t>Verify selection of Pending Approval leave request</t>
  </si>
  <si>
    <t>Ensure employee can select leave requests with Pending Approval status</t>
  </si>
  <si>
    <t>1. Navigate to My Leave
2. Locate leave request with Pending Approval status
3. Select the leave request</t>
  </si>
  <si>
    <t>Pending leave request selected successfully</t>
  </si>
  <si>
    <t>Leave request ready for action</t>
  </si>
  <si>
    <t>Request selected successfully</t>
  </si>
  <si>
    <t>TC_LEAVE_039</t>
  </si>
  <si>
    <t>Verify Cancel button availability for pending leave</t>
  </si>
  <si>
    <t>Ensure Cancel action available only for pending requests</t>
  </si>
  <si>
    <t>Pending leave request selected</t>
  </si>
  <si>
    <t>1. Select pending request
2. Observe available actions</t>
  </si>
  <si>
    <t>Cancel action available successfully</t>
  </si>
  <si>
    <t>Cancellation action enabled</t>
  </si>
  <si>
    <t>Cancel action displayed successfully</t>
  </si>
  <si>
    <t>TC_LEAVE_040</t>
  </si>
  <si>
    <t>Verify confirmation popup during leave cancellation</t>
  </si>
  <si>
    <t>Ensure confirmation dialog displayed before canceling leave request</t>
  </si>
  <si>
    <t>Pending request selected</t>
  </si>
  <si>
    <t>1. Select pending request
2. Click Cancel
3. Observe popup</t>
  </si>
  <si>
    <t>Pending leave request</t>
  </si>
  <si>
    <t>Cancellation waits for confirmation</t>
  </si>
  <si>
    <t>TC_LEAVE_041</t>
  </si>
  <si>
    <t>Verify successful cancellation of pending leave request</t>
  </si>
  <si>
    <t>Ensure leave status changes after confirmation</t>
  </si>
  <si>
    <t>Confirmation dialog opened</t>
  </si>
  <si>
    <t>1. Click Confirm
2. Observe leave request status</t>
  </si>
  <si>
    <t>Status Before: Pending Approval</t>
  </si>
  <si>
    <t>Leave request status changes to Cancelled</t>
  </si>
  <si>
    <t>Request cancelled successfully</t>
  </si>
  <si>
    <t>Status changed successfully to Cancelled</t>
  </si>
  <si>
    <t>TC_LEAVE_042</t>
  </si>
  <si>
    <t>Verify cancellation persistence after refresh</t>
  </si>
  <si>
    <t>Ensure cancelled leave request remains updated after page refresh</t>
  </si>
  <si>
    <t>Leave request cancelled successfully</t>
  </si>
  <si>
    <t>1. Cancel leave request
2. Refresh page
3. Search for request</t>
  </si>
  <si>
    <t>Cancelled request</t>
  </si>
  <si>
    <t>Request remains Cancelled after refresh</t>
  </si>
  <si>
    <t>Cancelled state retained successfully</t>
  </si>
  <si>
    <t>Cancelled status remained successfully</t>
  </si>
  <si>
    <t>TC_LEAVE_043</t>
  </si>
  <si>
    <t>Verify cancellation prevention for approved leave request</t>
  </si>
  <si>
    <t>Ensure system prevents cancellation of approved leave requests</t>
  </si>
  <si>
    <t>Approved leave request exists</t>
  </si>
  <si>
    <t>1. Locate leave request with Approved status
2. Attempt cancellation
3. Observe system behavior</t>
  </si>
  <si>
    <t>Status: Approved</t>
  </si>
  <si>
    <t>System should prevent cancellation of approved leave request</t>
  </si>
  <si>
    <t>Leave request remains unchanged</t>
  </si>
  <si>
    <t>Cancellation blocked successfully</t>
  </si>
  <si>
    <t>TC_LEAVE_044</t>
  </si>
  <si>
    <t>Verify cancellation prevention for taken leave request</t>
  </si>
  <si>
    <t>Ensure system prevents cancellation of taken leave requests</t>
  </si>
  <si>
    <t>Taken leave request exists</t>
  </si>
  <si>
    <t>1. Locate request with Taken status
2. Attempt cancellation</t>
  </si>
  <si>
    <t>Status: Taken</t>
  </si>
  <si>
    <t>Cancellation should be blocked successfully</t>
  </si>
  <si>
    <t>Cancellation prevented successfully</t>
  </si>
  <si>
    <t>TC_LEAVE_045</t>
  </si>
  <si>
    <t>Verify warning message for restricted cancellation</t>
  </si>
  <si>
    <t>Ensure system displays message when cancelling approved/taken leave</t>
  </si>
  <si>
    <t>Approved / Taken request exists</t>
  </si>
  <si>
    <t>1. Attempt cancellation
2. Observe displayed message</t>
  </si>
  <si>
    <t>Approved Leave Request</t>
  </si>
  <si>
    <t>Appropriate validation / warning message displayed</t>
  </si>
  <si>
    <t>TC_LEAVE_046</t>
  </si>
  <si>
    <t>Verify leave request unchanged after blocked cancellation</t>
  </si>
  <si>
    <t>Ensure leave status remains original after failed cancellation attempt</t>
  </si>
  <si>
    <t>Approved leave exists</t>
  </si>
  <si>
    <t>1. Attempt cancellation
2. Refresh page
3. Observe request status</t>
  </si>
  <si>
    <t>Status Before: Approved</t>
  </si>
  <si>
    <t>Leave status remains unchanged</t>
  </si>
  <si>
    <t>Original status retained successfully</t>
  </si>
  <si>
    <t>Status remained unchanged successfully</t>
  </si>
  <si>
    <t>TC_LEAVE_047</t>
  </si>
  <si>
    <t>Verify comments visibility in leave request details</t>
  </si>
  <si>
    <t>Ensure comments related to leave request displayed correctly</t>
  </si>
  <si>
    <t>Leave request contains comments</t>
  </si>
  <si>
    <t>1. Open My Leave
2. Select leave request containing comments
3. Open leave details</t>
  </si>
  <si>
    <t>Comment: Medical appointment</t>
  </si>
  <si>
    <t>All related comments displayed successfully</t>
  </si>
  <si>
    <t>Comments visible successfully</t>
  </si>
  <si>
    <t>TC_LEAVE_048</t>
  </si>
  <si>
    <t>Verify multiple leave comments visibility</t>
  </si>
  <si>
    <t>Ensure all available comments displayed without omission</t>
  </si>
  <si>
    <t>Leave request contains multiple comments</t>
  </si>
  <si>
    <t>1. Open leave request details
2. Observe comments section</t>
  </si>
  <si>
    <t>Comment 1: Family event
Comment 2: Approved by manager</t>
  </si>
  <si>
    <t>All comments displayed successfully</t>
  </si>
  <si>
    <t>Complete comments history visible</t>
  </si>
  <si>
    <t>TC_LEAVE_049</t>
  </si>
  <si>
    <t>Verify comments belong to selected leave request only</t>
  </si>
  <si>
    <t>Ensure unrelated comments are not displayed</t>
  </si>
  <si>
    <t>Multiple leave requests with comments exist</t>
  </si>
  <si>
    <t>1. Open first leave request details
2. Observe comments
3. Open another leave request</t>
  </si>
  <si>
    <t>Request A / Request B</t>
  </si>
  <si>
    <t>Only comments related to selected request displayed</t>
  </si>
  <si>
    <t>Comments mapped correctly</t>
  </si>
  <si>
    <t>Related comments displayed successfully</t>
  </si>
  <si>
    <t>TC_LEAVE_050</t>
  </si>
  <si>
    <t>Verify empty result handling after leave search</t>
  </si>
  <si>
    <t>Ensure system displays proper message when filters return no leave requests</t>
  </si>
  <si>
    <t>1. Apply filters with no matching records
2. Click Search
3. Observe result area</t>
  </si>
  <si>
    <t>Status: Rejected
Date Range: 01-01-2025 → 02-01-2025</t>
  </si>
  <si>
    <t>System displays: "No Records Found"</t>
  </si>
  <si>
    <t>TC_LEAVE_051</t>
  </si>
  <si>
    <t>Verify old leave records removed after empty search result</t>
  </si>
  <si>
    <t>Ensure previous search results disappear when no records match filters</t>
  </si>
  <si>
    <t>Existing search results displayed initially</t>
  </si>
  <si>
    <t>1. Search records with matching filters
2. Change filters to unmatched values
3. Click Search</t>
  </si>
  <si>
    <t>Previous: Pending Approval
Current: No matching range</t>
  </si>
  <si>
    <t>Previous results cleared and empty state displayed</t>
  </si>
  <si>
    <t>Only empty state visible</t>
  </si>
  <si>
    <t>Results cleared successfully</t>
  </si>
  <si>
    <t>TC_LEAVE_052</t>
  </si>
  <si>
    <t>Verify pagination visibility in My Leave page</t>
  </si>
  <si>
    <t>Ensure pagination controls appear when leave records exceed page size limit</t>
  </si>
  <si>
    <t>Leave requests count exceeds page limit</t>
  </si>
  <si>
    <t>1. Open My Leave page
2. Observe bottom section of records table</t>
  </si>
  <si>
    <t>Leave records &gt; page limit</t>
  </si>
  <si>
    <t>TC_LEAVE_053</t>
  </si>
  <si>
    <t>Verify records displayed after moving to next page</t>
  </si>
  <si>
    <t>Ensure correct leave records displayed when navigating forward</t>
  </si>
  <si>
    <t>Multiple pages available</t>
  </si>
  <si>
    <t>1. Open My Leave page
2. Click Next Page
3. Observe records</t>
  </si>
  <si>
    <t>Page 2 records</t>
  </si>
  <si>
    <t>Correct leave requests displayed for selected page</t>
  </si>
  <si>
    <t>Page changed successfully</t>
  </si>
  <si>
    <t>TC_LEAVE_054</t>
  </si>
  <si>
    <t>Verify records displayed after moving to previous page</t>
  </si>
  <si>
    <t>Ensure employee can navigate back between leave pages correctly</t>
  </si>
  <si>
    <t>User currently on Page 2 or later</t>
  </si>
  <si>
    <t>1. Navigate to next page
2. Click Previous
3. Observe records</t>
  </si>
  <si>
    <t>Page 1 records</t>
  </si>
  <si>
    <t>Previous page records displayed correctly</t>
  </si>
  <si>
    <t>Page returned successfully</t>
  </si>
  <si>
    <t>TC_LEAVE_055</t>
  </si>
  <si>
    <t>Verify page content accuracy during pagination</t>
  </si>
  <si>
    <t>Ensure each page displays its own leave records only</t>
  </si>
  <si>
    <t>Multiple leave pages available</t>
  </si>
  <si>
    <t>1. Open Page 1
2. Note records
3. Navigate to Page 2
4. Compare displayed records</t>
  </si>
  <si>
    <t>Page 1 / Page 2 records</t>
  </si>
  <si>
    <t>Each page displays correct leave records without overlap</t>
  </si>
  <si>
    <t>Pagination accuracy verified successfully</t>
  </si>
  <si>
    <t>TC_LEAVE_056</t>
  </si>
  <si>
    <t>Verify employee can navigate to last leave page</t>
  </si>
  <si>
    <t>Ensure last page loads correct leave records</t>
  </si>
  <si>
    <t>More than two pages available</t>
  </si>
  <si>
    <t>1. Navigate through pages
2. Open last page
3. Observe records</t>
  </si>
  <si>
    <t>Last page records</t>
  </si>
  <si>
    <t>Last page records displayed successfully</t>
  </si>
  <si>
    <t>Last page loaded successfully</t>
  </si>
  <si>
    <t>TC_LEAVE_057</t>
  </si>
  <si>
    <t>Verify multi-day leave request appears as one grouped record</t>
  </si>
  <si>
    <t>Ensure leave requests spanning multiple days displayed as single entry in My Leave list</t>
  </si>
  <si>
    <t>Multi-day leave request exists</t>
  </si>
  <si>
    <t>1. Submit leave request spanning multiple days
2. Open My Leave page
3. Observe leave list</t>
  </si>
  <si>
    <t>From Date: 01-06-2026
To Date: 05-06-2026</t>
  </si>
  <si>
    <t>Multi-day leave request displayed as one grouped record</t>
  </si>
  <si>
    <t>Single leave entry visible successfully</t>
  </si>
  <si>
    <t>Leave request displayed successfully as grouped record</t>
  </si>
  <si>
    <t>TC_LEAVE_058</t>
  </si>
  <si>
    <t>Verify multi-day leave is not duplicated per day</t>
  </si>
  <si>
    <t>Ensure leave request is not separated into daily records</t>
  </si>
  <si>
    <t>Existing multi-day leave request available</t>
  </si>
  <si>
    <t>1. Open My Leave page
2. Locate multi-day request
3. Count displayed entries</t>
  </si>
  <si>
    <t>Leave Duration: 5 days</t>
  </si>
  <si>
    <t>Single record displayed instead of separate daily records</t>
  </si>
  <si>
    <t>No duplicate entries displayed</t>
  </si>
  <si>
    <t>Single entry displayed successfully</t>
  </si>
  <si>
    <t>TC_LEAVE_059</t>
  </si>
  <si>
    <t>Verify grouped leave displays correct duration information</t>
  </si>
  <si>
    <t>Ensure grouped leave record keeps correct date range and day count</t>
  </si>
  <si>
    <t>Multi-day leave request available</t>
  </si>
  <si>
    <t>1. Open My Leave page
2. Locate grouped request
3. Verify date range and duration</t>
  </si>
  <si>
    <t>01-06-2026 → 05-06-2026 (5 Days)</t>
  </si>
  <si>
    <t>Grouped record displays correct duration information</t>
  </si>
  <si>
    <t>Leave information retained successfully</t>
  </si>
  <si>
    <t>Duration displayed successfully</t>
  </si>
  <si>
    <t>TC_LEAVE_060</t>
  </si>
  <si>
    <t>Verify expand functionality for multi-day leave request</t>
  </si>
  <si>
    <t>Ensure employee can expand grouped multi-day leave record</t>
  </si>
  <si>
    <t>Grouped multi-day leave request exists</t>
  </si>
  <si>
    <t>1. Navigate to My Leave
2. Locate grouped multi-day leave request
3. Click expand icon / details view</t>
  </si>
  <si>
    <t>Leave Duration: 5 Days</t>
  </si>
  <si>
    <t>Leave request expands successfully</t>
  </si>
  <si>
    <t>Detailed leave view displayed</t>
  </si>
  <si>
    <t>Request expanded successfully</t>
  </si>
  <si>
    <t>TC_LEAVE_061</t>
  </si>
  <si>
    <t>Verify daily breakdown in expanded leave request</t>
  </si>
  <si>
    <t>Ensure expanded multi-day leave displays individual leave entries for each day</t>
  </si>
  <si>
    <t>Expanded leave request available</t>
  </si>
  <si>
    <t>1. Expand multi-day leave request
2. Observe displayed details</t>
  </si>
  <si>
    <t>01-06-2026 → 05-06-2026</t>
  </si>
  <si>
    <t>System displays leave details separately for each day</t>
  </si>
  <si>
    <t>Daily entries visible successfully</t>
  </si>
  <si>
    <t>Daily details displayed successfully</t>
  </si>
  <si>
    <t>TC_LEAVE_062</t>
  </si>
  <si>
    <t>Verify expanded leave details accuracy</t>
  </si>
  <si>
    <t>Ensure expanded daily records match original leave request duration</t>
  </si>
  <si>
    <t>Multi-day leave request expanded</t>
  </si>
  <si>
    <t>1. Expand request
2. Count displayed days
3. Compare with original duration</t>
  </si>
  <si>
    <t>Original Request: 5 Days</t>
  </si>
  <si>
    <t>Expanded details match original leave duration exactly</t>
  </si>
  <si>
    <t>Leave details verified successfully</t>
  </si>
  <si>
    <t>TC_LEAVE_063</t>
  </si>
  <si>
    <t>Verify expanded leave details persistence after refresh</t>
  </si>
  <si>
    <t>Ensure leave details remain accessible after page reload</t>
  </si>
  <si>
    <t>Expanded multi-day leave exists</t>
  </si>
  <si>
    <t>1. Expand request
2. Refresh page
3. Expand again
4. Observe details</t>
  </si>
  <si>
    <t>Multi-day leave request</t>
  </si>
  <si>
    <t>Daily details displayed correctly after refresh</t>
  </si>
  <si>
    <t>Expanded view works successfully</t>
  </si>
  <si>
    <t>Details displayed successfully</t>
  </si>
  <si>
    <t>TC_LEAVE_064</t>
  </si>
  <si>
    <t>US_037</t>
  </si>
  <si>
    <t>Verify Add Leave Entitlement page loads correctly</t>
  </si>
  <si>
    <t>Ensure Add Leave Entitlement page is accessible and displays all required controls</t>
  </si>
  <si>
    <t>User logged in as HR Admin</t>
  </si>
  <si>
    <t>1. Navigate to Leave → Entitlements → Add Entitlements
2. Observe page layout</t>
  </si>
  <si>
    <t>Page loads successfully and all entitlement fields are displayed correctly</t>
  </si>
  <si>
    <t>Add Leave Entitlement page remains available</t>
  </si>
  <si>
    <t>Page loaded successfully and all required fields were displayed correctly</t>
  </si>
  <si>
    <t>Regression</t>
  </si>
  <si>
    <t>TBD</t>
  </si>
  <si>
    <t>TC_LEAVE_065</t>
  </si>
  <si>
    <t>US_028</t>
  </si>
  <si>
    <t>Verify entitlement record creation for single employee</t>
  </si>
  <si>
    <t>Ensure entitlement is added successfully for an individual employee</t>
  </si>
  <si>
    <t>Employee record exists</t>
  </si>
  <si>
    <t>1. Enter employee name
2. Select leave type and period
3. Enter entitlement value
4. Save and confirm</t>
  </si>
  <si>
    <t>Employee: John Smith
Entitlement: 10 Days</t>
  </si>
  <si>
    <t>Entitlement record created successfully after confirmation</t>
  </si>
  <si>
    <t>New entitlement available in system</t>
  </si>
  <si>
    <t>Entitlement was added successfully after confirmation</t>
  </si>
  <si>
    <t>TC_LEAVE_066</t>
  </si>
  <si>
    <t>Verify entitlement assignment to employee group</t>
  </si>
  <si>
    <t>Ensure entitlement can be applied to multiple employees using filters</t>
  </si>
  <si>
    <t>Multiple employees exist under selected criteria</t>
  </si>
  <si>
    <t>1. Enable Add to Multiple Employees
2. Select Location and Subunit
3. Complete required fields
4. Save</t>
  </si>
  <si>
    <t>Location: HQ
Subunit: IT</t>
  </si>
  <si>
    <t>Entitlements applied to all matching employees</t>
  </si>
  <si>
    <t>Employee balances updated</t>
  </si>
  <si>
    <t>Leave entitlements were applied successfully to matching employees</t>
  </si>
  <si>
    <t>TC_LEAVE_067</t>
  </si>
  <si>
    <t>Verify Save button behavior with incomplete data</t>
  </si>
  <si>
    <t>Ensure mandatory fields are enforced before record creation</t>
  </si>
  <si>
    <t>Add Leave Entitlement page opened</t>
  </si>
  <si>
    <t>Empty form</t>
  </si>
  <si>
    <t>Validation messages displayed and record not created</t>
  </si>
  <si>
    <t>No entitlement created</t>
  </si>
  <si>
    <t>Validation messages were displayed and no entitlement was created</t>
  </si>
  <si>
    <t>TC_LEAVE_068</t>
  </si>
  <si>
    <t>Verify employee search suggestions accuracy</t>
  </si>
  <si>
    <t>Ensure employee auto-complete returns matching results</t>
  </si>
  <si>
    <t>Employee records exist</t>
  </si>
  <si>
    <t>1. Enter partial employee name
2. Observe suggestion list</t>
  </si>
  <si>
    <t>"Joh"</t>
  </si>
  <si>
    <t>Matching employee suggestions displayed dynamically</t>
  </si>
  <si>
    <t>Employee selected from list if needed</t>
  </si>
  <si>
    <t>Employee suggestions were displayed correctly based on entered text</t>
  </si>
  <si>
    <t>TC_LEAVE_069</t>
  </si>
  <si>
    <t>Verify Leave Type dropdown displays configured values</t>
  </si>
  <si>
    <t>Ensure all configured leave types are available for selection</t>
  </si>
  <si>
    <t>Leave types configured in system</t>
  </si>
  <si>
    <t>1. Open Add Leave Entitlement page
2. Open Leave Type dropdown</t>
  </si>
  <si>
    <t>Configured leave types</t>
  </si>
  <si>
    <t>All configured leave types are displayed correctly</t>
  </si>
  <si>
    <t>User can select desired leave type</t>
  </si>
  <si>
    <t>All configured leave types were displayed successfully</t>
  </si>
  <si>
    <t>TC_LEAVE_070</t>
  </si>
  <si>
    <t>Verify negative entitlement value acceptance</t>
  </si>
  <si>
    <t>Ensure negative entitlement values can be saved when allowed by business rules</t>
  </si>
  <si>
    <t>Negative entitlement feature enabled</t>
  </si>
  <si>
    <t>1. Enter employee details
2. Enter negative entitlement value
3. Save and confirm</t>
  </si>
  <si>
    <t>Entitlement: -2</t>
  </si>
  <si>
    <t>Negative entitlement saved successfully</t>
  </si>
  <si>
    <t>Employee entitlement updated</t>
  </si>
  <si>
    <t>Negative entitlement value was saved successfully</t>
  </si>
  <si>
    <t>TC_LEAVE_071</t>
  </si>
  <si>
    <t>Verify hour-based entitlement creation</t>
  </si>
  <si>
    <t>Ensure entitlement can be added using hours instead of days</t>
  </si>
  <si>
    <t>Hour-based leave type configured</t>
  </si>
  <si>
    <t>1. Select hour-based leave type
2. Enter entitlement hours
3. Save and confirm</t>
  </si>
  <si>
    <t>40 Hours</t>
  </si>
  <si>
    <t>Hour-based entitlement created successfully</t>
  </si>
  <si>
    <t>Employee balance updated in hours</t>
  </si>
  <si>
    <t>Hour-based entitlement was created successfully</t>
  </si>
  <si>
    <t>TC_LEAVE_072</t>
  </si>
  <si>
    <t>Verify entitlement confirmation screen details</t>
  </si>
  <si>
    <t>Ensure confirmation page displays entitlement changes before update</t>
  </si>
  <si>
    <t>Valid entitlement data entered</t>
  </si>
  <si>
    <t>1. Complete entitlement form
2. Click Save</t>
  </si>
  <si>
    <t>Employee entitlement data</t>
  </si>
  <si>
    <t>Confirmation screen displays affected employees, old entitlement, and new entitlement values</t>
  </si>
  <si>
    <t>User can confirm or cancel update</t>
  </si>
  <si>
    <t>Confirmation screen displayed entitlement details correctly</t>
  </si>
  <si>
    <t>TC_LEAVE_073</t>
  </si>
  <si>
    <t>Verify entitlement update after confirmation</t>
  </si>
  <si>
    <t>Ensure entitlement changes are applied after user confirmation</t>
  </si>
  <si>
    <t>Confirmation screen displayed</t>
  </si>
  <si>
    <t>1. Review confirmation details
2. Click Confirm</t>
  </si>
  <si>
    <t>Updated entitlement values</t>
  </si>
  <si>
    <t>Entitlement changes applied successfully</t>
  </si>
  <si>
    <t>Employee entitlement balance updated</t>
  </si>
  <si>
    <t>Entitlement changes were applied successfully after confirmation</t>
  </si>
  <si>
    <t>TC_LEAVE_074</t>
  </si>
  <si>
    <t>Verify cancel entitlement update functionality</t>
  </si>
  <si>
    <t>Ensure entitlement changes are not applied when user cancels confirmation</t>
  </si>
  <si>
    <t>1. Enter valid entitlement data
2. Click Save
3. Click Cancel on confirmation screen</t>
  </si>
  <si>
    <t>No entitlement changes are applied</t>
  </si>
  <si>
    <t>Existing entitlement remains unchanged</t>
  </si>
  <si>
    <t>Entitlement update was cancelled successfully and no changes were applied</t>
  </si>
  <si>
    <t>TC_LEAVE_075</t>
  </si>
  <si>
    <t>Verify comment field is saved with entitlement record</t>
  </si>
  <si>
    <t>Ensure comments entered during entitlement creation are stored correctly</t>
  </si>
  <si>
    <t>1. Enter valid entitlement details
2. Add comment
3. Save and confirm</t>
  </si>
  <si>
    <t>Comment: Annual entitlement adjustment</t>
  </si>
  <si>
    <t>Comment saved and associated with entitlement record</t>
  </si>
  <si>
    <t>Entitlement record contains comment information</t>
  </si>
  <si>
    <t>Comment was saved successfully with the entitlement record</t>
  </si>
  <si>
    <t>TC_LEAVE_076</t>
  </si>
  <si>
    <t>Verify decimal entitlement values are accepted</t>
  </si>
  <si>
    <t>Ensure decimal leave entitlement values can be saved successfully</t>
  </si>
  <si>
    <t>System supports decimal entitlements</t>
  </si>
  <si>
    <t>1. Enter valid entitlement details
2. Enter decimal value
3. Save and confirm</t>
  </si>
  <si>
    <t>Entitlement: 7.5</t>
  </si>
  <si>
    <t>Decimal entitlement value saved successfully</t>
  </si>
  <si>
    <t>Employee balance updated with decimal value</t>
  </si>
  <si>
    <t>Decimal entitlement value was saved successfully</t>
  </si>
  <si>
    <t>TC_LEAVE_077</t>
  </si>
  <si>
    <t>Verify invalid entitlement value validation</t>
  </si>
  <si>
    <t>Ensure invalid entitlement formats are rejected</t>
  </si>
  <si>
    <t>1. Enter invalid entitlement value
2. Click Save</t>
  </si>
  <si>
    <t>ABC, @@@, Empty Value</t>
  </si>
  <si>
    <t>Validation messages displayed and entitlement not created</t>
  </si>
  <si>
    <t>No entitlement record created</t>
  </si>
  <si>
    <t>Validation messages were displayed and invalid entitlement was not saved</t>
  </si>
  <si>
    <t>TC_LEAVE_078</t>
  </si>
  <si>
    <t>Verify location and subunit visibility behavior</t>
  </si>
  <si>
    <t>Ensure Location and Subunit fields appear only when multiple employee mode is enabled</t>
  </si>
  <si>
    <t>1. Verify fields while checkbox unchecked
2. Enable Add to Multiple Employees checkbox</t>
  </si>
  <si>
    <t>Fields hidden initially and displayed after checkbox selection</t>
  </si>
  <si>
    <t>UI reflects selected mode correctly</t>
  </si>
  <si>
    <t>Location and Subunit fields behaved according to configuration</t>
  </si>
  <si>
    <t>TC_LEAVE_079</t>
  </si>
  <si>
    <t>Verify duplicate entitlement handling</t>
  </si>
  <si>
    <t>Ensure system processes duplicate entitlement requests according to business rules</t>
  </si>
  <si>
    <t>Existing entitlement record available</t>
  </si>
  <si>
    <t>1. Create entitlement for employee
2. Attempt another entitlement for same employee, leave type, and period</t>
  </si>
  <si>
    <t>Existing entitlement data</t>
  </si>
  <si>
    <t>System creates separate record or updates entitlement based on configured rules</t>
  </si>
  <si>
    <t>Entitlement records handled according to business logic</t>
  </si>
  <si>
    <t>Duplicate entitlement was processed according to configured business rules</t>
  </si>
  <si>
    <t>TC_LEAVE_080</t>
  </si>
  <si>
    <t>Verify unauthorized access restriction</t>
  </si>
  <si>
    <t>Ensure non-admin users cannot access Add Leave Entitlement page</t>
  </si>
  <si>
    <t>User logged in with non-admin role</t>
  </si>
  <si>
    <t>1. Access Add Leave Entitlement URL directly</t>
  </si>
  <si>
    <t>Non-admin account</t>
  </si>
  <si>
    <t>Access denied or authorization message displayed</t>
  </si>
  <si>
    <t>Unauthorized user remains restricted</t>
  </si>
  <si>
    <t>Access was restricted successfully for unauthorized user</t>
  </si>
  <si>
    <t>TC_LEAVE_081</t>
  </si>
  <si>
    <t>Verify entitlement record appears in entitlement list</t>
  </si>
  <si>
    <t>Ensure newly added entitlement is visible in Entitlement List page</t>
  </si>
  <si>
    <t>Entitlement created successfully</t>
  </si>
  <si>
    <t>1. Create entitlement
2. Navigate to Entitlement List
3. Search for created record</t>
  </si>
  <si>
    <t>Newly created entitlement</t>
  </si>
  <si>
    <t>New entitlement displayed correctly in list</t>
  </si>
  <si>
    <t>Entitlement available for future management</t>
  </si>
  <si>
    <t>Newly created entitlement appeared correctly in the entitlement list</t>
  </si>
  <si>
    <t>TC_LEAVE_082</t>
  </si>
  <si>
    <t>US_038</t>
  </si>
  <si>
    <t>Verify Leave Entitlements page loads successfully</t>
  </si>
  <si>
    <t>Ensure Employee Entitlements page opens and displays all search controls</t>
  </si>
  <si>
    <t>1. Navigate to Leave → Entitlements → Employee Entitlements
2. Observe page elements</t>
  </si>
  <si>
    <t>Employee Name, Leave Type, Leave Period, Search and Reset buttons are displayed</t>
  </si>
  <si>
    <t>Leave Entitlements page remains available</t>
  </si>
  <si>
    <t>Page loaded successfully and all required search fields were displayed</t>
  </si>
  <si>
    <t>TC_LEAVE_083</t>
  </si>
  <si>
    <t>Verify entitlement search functionality</t>
  </si>
  <si>
    <t>Ensure entitlement records can be retrieved using valid search criteria</t>
  </si>
  <si>
    <t>Entitlement records exist</t>
  </si>
  <si>
    <t>1. Enter valid search criteria
2. Click Search</t>
  </si>
  <si>
    <t>Employee: John Smith</t>
  </si>
  <si>
    <t>Matching entitlement records displayed in results grid</t>
  </si>
  <si>
    <t>Search results available for review</t>
  </si>
  <si>
    <t>Matching leave entitlement records were displayed successfully</t>
  </si>
  <si>
    <t>TC_LEAVE_084</t>
  </si>
  <si>
    <t>Verify entitlement details displayed correctly</t>
  </si>
  <si>
    <t>Ensure entitlement result grid shows complete entitlement information</t>
  </si>
  <si>
    <t>Search results available</t>
  </si>
  <si>
    <t>1. Perform entitlement search
2. Review results grid</t>
  </si>
  <si>
    <t>Existing entitlement records</t>
  </si>
  <si>
    <t>Employee Name, Leave Type, Leave Period, Entitlement, Days Used, and Balance are displayed</t>
  </si>
  <si>
    <t>User can review entitlement details</t>
  </si>
  <si>
    <t>All entitlement details were displayed correctly in the results grid</t>
  </si>
  <si>
    <t>TC_LEAVE_085</t>
  </si>
  <si>
    <t>Ensure search returns records only for selected employee</t>
  </si>
  <si>
    <t>Employee entitlement records exist</t>
  </si>
  <si>
    <t>1. Enter employee name
2. Click Search</t>
  </si>
  <si>
    <t>John Smith</t>
  </si>
  <si>
    <t>Only entitlement records related to selected employee are displayed</t>
  </si>
  <si>
    <t>Employee-specific records shown</t>
  </si>
  <si>
    <t>Employee entitlement records were filtered correctly</t>
  </si>
  <si>
    <t>TC_LEAVE_086</t>
  </si>
  <si>
    <t>Verify employee auto-suggestion functionality</t>
  </si>
  <si>
    <t>Ensure employee suggestions appear while typing employee name</t>
  </si>
  <si>
    <t>Matching employee suggestions appear dynamically</t>
  </si>
  <si>
    <t>Employee can be selected from suggestions</t>
  </si>
  <si>
    <t>Matching employee suggestions were displayed successfully</t>
  </si>
  <si>
    <t>TC_LEAVE_087</t>
  </si>
  <si>
    <t>Verify search by leave type</t>
  </si>
  <si>
    <t>Ensure entitlement records can be filtered by leave type</t>
  </si>
  <si>
    <t>Leave entitlement records exist</t>
  </si>
  <si>
    <t>1. Select Leave Type
2. Click Search</t>
  </si>
  <si>
    <t>Only entitlement records related to selected leave type are displayed</t>
  </si>
  <si>
    <t>Leave entitlement records were filtered correctly by leave type</t>
  </si>
  <si>
    <t>TC_LEAVE_088</t>
  </si>
  <si>
    <t>Verify search by leave period</t>
  </si>
  <si>
    <t>Ensure entitlement records can be filtered by leave period</t>
  </si>
  <si>
    <t>Multiple leave periods exist</t>
  </si>
  <si>
    <t>1. Select Leave Period
2. Click Search</t>
  </si>
  <si>
    <t>2025-2026 Leave Period</t>
  </si>
  <si>
    <t>Only entitlement records for selected leave period are displayed</t>
  </si>
  <si>
    <t>Leave entitlement records were filtered correctly by leave period</t>
  </si>
  <si>
    <t>TC_LEAVE_089</t>
  </si>
  <si>
    <t>Verify combined search filters</t>
  </si>
  <si>
    <t>Ensure multiple search criteria can be applied together successfully</t>
  </si>
  <si>
    <t>1. Enter Employee Name
2. Select Leave Type
3. Select Leave Period
4. Click Search</t>
  </si>
  <si>
    <t>Employee: John Smith
Leave Type: Annual Leave
Period: 2025-2026</t>
  </si>
  <si>
    <t>Records matching all selected criteria are displayed</t>
  </si>
  <si>
    <t>Records matching all selected search criteria were displayed successfully</t>
  </si>
  <si>
    <t>TC_LEAVE_090</t>
  </si>
  <si>
    <t>Verify reset search filters functionality</t>
  </si>
  <si>
    <t>Ensure Reset button clears all applied search filters</t>
  </si>
  <si>
    <t>Search filters applied</t>
  </si>
  <si>
    <t>1. Enter search criteria
2. Click Search
3. Click Reset</t>
  </si>
  <si>
    <t>Employee Name, Leave Type, Leave Period</t>
  </si>
  <si>
    <t>All search fields are cleared and default state is restored</t>
  </si>
  <si>
    <t>Search form reset successfully</t>
  </si>
  <si>
    <t>All search filters were cleared successfully after clicking Reset</t>
  </si>
  <si>
    <t>TC_LEAVE_091</t>
  </si>
  <si>
    <t>Verify no records found message</t>
  </si>
  <si>
    <t>Ensure system displays proper message when no matching records exist</t>
  </si>
  <si>
    <t>No records available for selected criteria</t>
  </si>
  <si>
    <t>1. Enter non-existing search criteria
2. Click Search</t>
  </si>
  <si>
    <t>Employee: Invalid Employee</t>
  </si>
  <si>
    <t>"No Records Found" message is displayed</t>
  </si>
  <si>
    <t>Empty result set displayed</t>
  </si>
  <si>
    <t>No Records Found message was displayed correctly</t>
  </si>
  <si>
    <t>TC_LEAVE_092</t>
  </si>
  <si>
    <t>Ensure entitlement records are displayed correctly across multiple pages</t>
  </si>
  <si>
    <t>Records exceed page size limit</t>
  </si>
  <si>
    <t>1. Perform search
2. Navigate between pages</t>
  </si>
  <si>
    <t>Multiple entitlement records</t>
  </si>
  <si>
    <t>Correct records displayed on selected page</t>
  </si>
  <si>
    <t>Pagination navigation completed</t>
  </si>
  <si>
    <t>Pagination displayed the correct entitlement records successfully</t>
  </si>
  <si>
    <t>TC_LEAVE_093</t>
  </si>
  <si>
    <t>Verify entitlement balance calculation</t>
  </si>
  <si>
    <t>Ensure entitlement balance is calculated correctly</t>
  </si>
  <si>
    <t>1. Perform search
2. Review entitlement values</t>
  </si>
  <si>
    <t>Entitlement: 20
Days Used: 5</t>
  </si>
  <si>
    <t>Balance displayed as 15</t>
  </si>
  <si>
    <t>Entitlement calculations verified</t>
  </si>
  <si>
    <t>Balance calculation was displayed correctly based on entitlement and used days</t>
  </si>
  <si>
    <t>TC_LEAVE_094</t>
  </si>
  <si>
    <t>Verify Leave Type dropdown values</t>
  </si>
  <si>
    <t>Ensure all configured leave types appear in dropdown list</t>
  </si>
  <si>
    <t>1. Open Leave Type dropdown</t>
  </si>
  <si>
    <t>All configured leave types displayed</t>
  </si>
  <si>
    <t>User can select leave type</t>
  </si>
  <si>
    <t>TC_LEAVE_095</t>
  </si>
  <si>
    <t>Verify Leave Period dropdown values</t>
  </si>
  <si>
    <t>Ensure all available leave periods appear in dropdown list</t>
  </si>
  <si>
    <t>Leave periods configured</t>
  </si>
  <si>
    <t>1. Open Leave Period dropdown</t>
  </si>
  <si>
    <t>Available leave periods</t>
  </si>
  <si>
    <t>All available leave periods displayed</t>
  </si>
  <si>
    <t>User can select leave period</t>
  </si>
  <si>
    <t>All available leave periods were displayed successfully</t>
  </si>
  <si>
    <t>TC_LEAVE_096</t>
  </si>
  <si>
    <t>Verify entitlement edit access</t>
  </si>
  <si>
    <t>Ensure authorized users can navigate to entitlement edit functionality</t>
  </si>
  <si>
    <t>Entitlement records displayed</t>
  </si>
  <si>
    <t>1. Search entitlement records
2. Select entitlement record</t>
  </si>
  <si>
    <t>Existing entitlement record</t>
  </si>
  <si>
    <t>User can access entitlement edit/update page if authorized</t>
  </si>
  <si>
    <t>Edit page opened successfully</t>
  </si>
  <si>
    <t>Entitlement edit functionality was accessible according to permissions</t>
  </si>
  <si>
    <t>TC_LEAVE_097</t>
  </si>
  <si>
    <t>Ensure non-admin users cannot access Employee Entitlements page</t>
  </si>
  <si>
    <t>User logged in as non-admin</t>
  </si>
  <si>
    <t>1. Access Employee Entitlements URL directly</t>
  </si>
  <si>
    <t>Restricted access enforced</t>
  </si>
  <si>
    <t>Unauthorized access was restricted successfully</t>
  </si>
  <si>
    <t>TC_LEAVE_098</t>
  </si>
  <si>
    <t>Verify data persistence after refresh</t>
  </si>
  <si>
    <t>Ensure entitlement data remains accessible after page refresh</t>
  </si>
  <si>
    <t>1. Perform search
2. Refresh page</t>
  </si>
  <si>
    <t>Page reloads successfully and entitlement data remains available</t>
  </si>
  <si>
    <t>System remains stable after refresh</t>
  </si>
  <si>
    <t>Entitlement data remained accessible after page refresh</t>
  </si>
  <si>
    <t>TC_LEAVE_099</t>
  </si>
  <si>
    <t>Verify numeric values formatting</t>
  </si>
  <si>
    <t>Ensure decimal entitlement values display correctly</t>
  </si>
  <si>
    <t>Entitlement records contain decimal values</t>
  </si>
  <si>
    <t>1. Search entitlement records
2. Review numeric fields</t>
  </si>
  <si>
    <t>Decimal values displayed using proper formatting</t>
  </si>
  <si>
    <t>Numeric data displayed correctly</t>
  </si>
  <si>
    <t>Numeric values were displayed correctly with proper formatting</t>
  </si>
  <si>
    <t>TC_LEAVE_100</t>
  </si>
  <si>
    <t>Verify entitlement search performance</t>
  </si>
  <si>
    <t>Ensure search results load within acceptable response time</t>
  </si>
  <si>
    <t>Large entitlement dataset exists</t>
  </si>
  <si>
    <t>1. Enter search criteria
2. Click Search</t>
  </si>
  <si>
    <t>Large dataset</t>
  </si>
  <si>
    <t>Results displayed within acceptable performance threshold</t>
  </si>
  <si>
    <t>Search completed successfully</t>
  </si>
  <si>
    <t>Search results loaded within acceptable response time</t>
  </si>
  <si>
    <t>TC_LEAVE_101</t>
  </si>
  <si>
    <t>Verify mandatory search validation</t>
  </si>
  <si>
    <t>Ensure validation messages appear when required filters are missing</t>
  </si>
  <si>
    <t>Mandatory search configuration enabled</t>
  </si>
  <si>
    <t>1. Leave required fields empty
2. Click Search</t>
  </si>
  <si>
    <t>Validation messages displayed and search not executed</t>
  </si>
  <si>
    <t>User prompted to complete required fields</t>
  </si>
  <si>
    <t>Validation messages were displayed successfully for required fields</t>
  </si>
  <si>
    <t>TC_LEAVE_102</t>
  </si>
  <si>
    <t>US_039</t>
  </si>
  <si>
    <t>Verify My Leave Entitlements page loads</t>
  </si>
  <si>
    <t>Ensure user can open My Entitlements page and view records</t>
  </si>
  <si>
    <t>1. Navigate to Leave → Entitlements → My Entitlements</t>
  </si>
  <si>
    <t>Page opens successfully with entitlement list/grid displayed</t>
  </si>
  <si>
    <t>My Leave Entitlements page opened successfully and data displayed</t>
  </si>
  <si>
    <t>TC_LEAVE_103</t>
  </si>
  <si>
    <t>US_029</t>
  </si>
  <si>
    <t>Verify entitlement details display</t>
  </si>
  <si>
    <t>Ensure entitlement records show all required fields</t>
  </si>
  <si>
    <t>1. Load page
2. View grid</t>
  </si>
  <si>
    <t>Existing entitlements</t>
  </si>
  <si>
    <t>Leave Type, Entitlement Type, Credited On, Valid From, Valid To, Expired Days, Days Entitled displayed</t>
  </si>
  <si>
    <t>Data visible to user</t>
  </si>
  <si>
    <t>All entitlement details displayed correctly in grid</t>
  </si>
  <si>
    <t>TC_LEAVE_104</t>
  </si>
  <si>
    <t>Verify leave balance visibility</t>
  </si>
  <si>
    <t>Ensure user can view current balance per leave type</t>
  </si>
  <si>
    <t>Entitlements exist</t>
  </si>
  <si>
    <t>1. Open page
2. Check balance column</t>
  </si>
  <si>
    <t>Existing leave balances</t>
  </si>
  <si>
    <t>Correct balance displayed per leave type</t>
  </si>
  <si>
    <t>Balance shown correctly</t>
  </si>
  <si>
    <t>Leave balances displayed correctly for all entitlement records</t>
  </si>
  <si>
    <t>TC_LEAVE_105</t>
  </si>
  <si>
    <t>Ensure filtering works using leave type</t>
  </si>
  <si>
    <t>Multiple entitlements exist</t>
  </si>
  <si>
    <t>Only matching leave type records displayed</t>
  </si>
  <si>
    <t>Filter applied</t>
  </si>
  <si>
    <t>Leave type filtering worked successfully</t>
  </si>
  <si>
    <t>TC_LEAVE_106</t>
  </si>
  <si>
    <t>Ensure entitlement filtering by leave period works</t>
  </si>
  <si>
    <t>Leave periods exist</t>
  </si>
  <si>
    <t>2025-2026</t>
  </si>
  <si>
    <t>Only records for selected period displayed</t>
  </si>
  <si>
    <t>Leave period filtering worked successfully</t>
  </si>
  <si>
    <t>TC_LEAVE_107</t>
  </si>
  <si>
    <t>Ensure multiple filters work together</t>
  </si>
  <si>
    <t>1. Select Leave Type
2. Select Leave Period
3. Click Search</t>
  </si>
  <si>
    <t>Annual Leave + 2025-2026</t>
  </si>
  <si>
    <t>Only matching combined criteria records displayed</t>
  </si>
  <si>
    <t>Combined filters returned correct results</t>
  </si>
  <si>
    <t>TC_LEAVE_108</t>
  </si>
  <si>
    <t>Verify reset filters functionality</t>
  </si>
  <si>
    <t>Ensure reset clears all filters</t>
  </si>
  <si>
    <t>Filters applied</t>
  </si>
  <si>
    <t>1. Apply filters
2. Click Reset</t>
  </si>
  <si>
    <t>Any filter values</t>
  </si>
  <si>
    <t>All filters cleared and default list shown</t>
  </si>
  <si>
    <t>Filters reset</t>
  </si>
  <si>
    <t>Reset functionality worked correctly</t>
  </si>
  <si>
    <t>TC_LEAVE_109</t>
  </si>
  <si>
    <t>Ensure system handles empty results properly</t>
  </si>
  <si>
    <t>No matching data</t>
  </si>
  <si>
    <t>1. Search with invalid criteria</t>
  </si>
  <si>
    <t>Invalid filter</t>
  </si>
  <si>
    <t>"No Records Found" message displayed</t>
  </si>
  <si>
    <t>Empty result state</t>
  </si>
  <si>
    <t>No Records Found message displayed correctly</t>
  </si>
  <si>
    <t>TC_LEAVE_110</t>
  </si>
  <si>
    <t>Ensure pagination displays correct records per page</t>
  </si>
  <si>
    <t>Large dataset exists</t>
  </si>
  <si>
    <t>1. Navigate pages</t>
  </si>
  <si>
    <t>Correct records shown per page</t>
  </si>
  <si>
    <t>Page navigation works</t>
  </si>
  <si>
    <t>Pagination worked correctly</t>
  </si>
  <si>
    <t>TC_LEAVE_111</t>
  </si>
  <si>
    <t>Verify entitlement validity period display</t>
  </si>
  <si>
    <t>Ensure valid from/to dates are displayed correctly</t>
  </si>
  <si>
    <t>1. Load page
2. Check validity columns</t>
  </si>
  <si>
    <t>Valid From and Valid To displayed correctly</t>
  </si>
  <si>
    <t>Data displayed</t>
  </si>
  <si>
    <t>Validity dates displayed correctly</t>
  </si>
  <si>
    <t>TC_LEAVE_112</t>
  </si>
  <si>
    <t>Verify expired entitlement display</t>
  </si>
  <si>
    <t>Ensure expired days column shows correct values</t>
  </si>
  <si>
    <t>Some expired entitlements exist</t>
  </si>
  <si>
    <t>1. Load page
2. Check expired column</t>
  </si>
  <si>
    <t>Expired records</t>
  </si>
  <si>
    <t>Expired days displayed correctly</t>
  </si>
  <si>
    <t>Data shown</t>
  </si>
  <si>
    <t>Expired entitlement values displayed correctly</t>
  </si>
  <si>
    <t>TC_LEAVE_113</t>
  </si>
  <si>
    <t>Verify entitlement types display</t>
  </si>
  <si>
    <t>Ensure system shows correct entitlement types</t>
  </si>
  <si>
    <t>Multiple types exist</t>
  </si>
  <si>
    <t>1. Load page
2. View entitlement type column</t>
  </si>
  <si>
    <t>Added/Accrued/Brought Forward</t>
  </si>
  <si>
    <t>Correct entitlement type displayed</t>
  </si>
  <si>
    <t>Entitlement types displayed correctly</t>
  </si>
  <si>
    <t>TC_LEAVE_114</t>
  </si>
  <si>
    <t>Verify numeric formatting</t>
  </si>
  <si>
    <t>Ensure decimal values are displayed properly</t>
  </si>
  <si>
    <t>Decimal entitlements exist</t>
  </si>
  <si>
    <t>1. Load records
2. Check numeric values</t>
  </si>
  <si>
    <t>12.5, 7.25</t>
  </si>
  <si>
    <t>Values formatted correctly</t>
  </si>
  <si>
    <t>Data formatted</t>
  </si>
  <si>
    <t>Numeric formatting displayed correctly</t>
  </si>
  <si>
    <t>TC_LEAVE_115</t>
  </si>
  <si>
    <t>Verify entitlement breakdown view</t>
  </si>
  <si>
    <t>Ensure breakdown values are displayed correctly</t>
  </si>
  <si>
    <t>Entitlement details exist</t>
  </si>
  <si>
    <t>1. Open entitlement details</t>
  </si>
  <si>
    <t>Added, Used, Remaining</t>
  </si>
  <si>
    <t>Breakdown displayed correctly</t>
  </si>
  <si>
    <t>Details visible</t>
  </si>
  <si>
    <t>Entitlement breakdown displayed successfully</t>
  </si>
  <si>
    <t>TC_LEAVE_116</t>
  </si>
  <si>
    <t>Verify navigation to leave details</t>
  </si>
  <si>
    <t>Ensure clickable entitlement leads to leave details</t>
  </si>
  <si>
    <t>Clickable balances exist</t>
  </si>
  <si>
    <t>1. Click entitlement value</t>
  </si>
  <si>
    <t>Existing entitlement</t>
  </si>
  <si>
    <t>Redirect to leave details page</t>
  </si>
  <si>
    <t>Navigation completed</t>
  </si>
  <si>
    <t>Navigation to leave details worked correctly</t>
  </si>
  <si>
    <t>TC_LEAVE_117</t>
  </si>
  <si>
    <t>Ensure data remains available after refresh</t>
  </si>
  <si>
    <t>Entitlements loaded</t>
  </si>
  <si>
    <t>1. Load page
2. Refresh browser</t>
  </si>
  <si>
    <t>Data reloads correctly without loss</t>
  </si>
  <si>
    <t>Page refreshed</t>
  </si>
  <si>
    <t>Data persisted successfully after refresh</t>
  </si>
  <si>
    <t>TC_LEAVE_118</t>
  </si>
  <si>
    <t>Verify unauthorized access handling</t>
  </si>
  <si>
    <t>Ensure only authenticated users can access page</t>
  </si>
  <si>
    <t>1. Access URL directly</t>
  </si>
  <si>
    <t>Direct URL access</t>
  </si>
  <si>
    <t>Redirect to login or access denied</t>
  </si>
  <si>
    <t>Security enforced</t>
  </si>
  <si>
    <t>Unauthorized access blocked successfully</t>
  </si>
  <si>
    <t>TC_LEAVE_119</t>
  </si>
  <si>
    <t>Verify performance of entitlement loading</t>
  </si>
  <si>
    <t>Ensure page loads within acceptable time</t>
  </si>
  <si>
    <t>1. Open page or search</t>
  </si>
  <si>
    <t>Large records</t>
  </si>
  <si>
    <t>Results load within acceptable response time</t>
  </si>
  <si>
    <t>Performance stable</t>
  </si>
  <si>
    <t>Page loaded within acceptable time successfully</t>
  </si>
  <si>
    <t>TC_LEAVE_120</t>
  </si>
  <si>
    <t>US_040</t>
  </si>
  <si>
    <t>Verify Leave Entitlements and Usage Report page access</t>
  </si>
  <si>
    <t>Ensure report page opens successfully from navigation</t>
  </si>
  <si>
    <t>User logged in with permissions</t>
  </si>
  <si>
    <t>1. Navigate to Leave → Reports → Leave Entitlements and Usage Report</t>
  </si>
  <si>
    <t>Report page is displayed successfully</t>
  </si>
  <si>
    <t>Report page loaded</t>
  </si>
  <si>
    <t>Leave Entitlements and Usage Report page opened successfully</t>
  </si>
  <si>
    <t>TC_LEAVE_121</t>
  </si>
  <si>
    <t>US_030</t>
  </si>
  <si>
    <t>Verify report generation for specific employee</t>
  </si>
  <si>
    <t>Ensure report shows data for selected employee only</t>
  </si>
  <si>
    <t>Employees exist in system</t>
  </si>
  <si>
    <t>1. Select employee
2. Click Generate</t>
  </si>
  <si>
    <t>Report displays entitlement details for selected employee</t>
  </si>
  <si>
    <t>Report generated</t>
  </si>
  <si>
    <t>Report displayed correct employee-specific data</t>
  </si>
  <si>
    <t>TC_LEAVE_122</t>
  </si>
  <si>
    <t>Verify report generation for all employees</t>
  </si>
  <si>
    <t>Ensure system can generate report for all employees</t>
  </si>
  <si>
    <t>1. Do not select employee
2. Click Generate</t>
  </si>
  <si>
    <t>All Employees</t>
  </si>
  <si>
    <t>Report displays all eligible employee records</t>
  </si>
  <si>
    <t>Full report generated</t>
  </si>
  <si>
    <t>Report displayed all employee records correctly</t>
  </si>
  <si>
    <t>TC_LEAVE_123</t>
  </si>
  <si>
    <t>Verify filter by leave type</t>
  </si>
  <si>
    <t>Ensure report filters data based on leave type</t>
  </si>
  <si>
    <t>Report data exists</t>
  </si>
  <si>
    <t>1. Select leave type
2. Click Generate</t>
  </si>
  <si>
    <t>Only selected leave type records displayed</t>
  </si>
  <si>
    <t>Leave type filter worked correctly</t>
  </si>
  <si>
    <t>TC_LEAVE_124</t>
  </si>
  <si>
    <t>Verify leave entitlement values display</t>
  </si>
  <si>
    <t>Ensure all entitlement values are displayed correctly</t>
  </si>
  <si>
    <t>1. Generate report
2. View results</t>
  </si>
  <si>
    <t>Existing leave data</t>
  </si>
  <si>
    <t>Entitlement, leave taken, scheduled leave, balance displayed correctly</t>
  </si>
  <si>
    <t>All entitlement values displayed correctly</t>
  </si>
  <si>
    <t>TC_LEAVE_125</t>
  </si>
  <si>
    <t>Verify employee search auto-suggestion</t>
  </si>
  <si>
    <t>Ensure partial employee name shows suggestions</t>
  </si>
  <si>
    <t>1. Type partial name in employee field</t>
  </si>
  <si>
    <t>Matching employee suggestions appear</t>
  </si>
  <si>
    <t>Suggestion list shown</t>
  </si>
  <si>
    <t>Employee auto-suggestions displayed correctly</t>
  </si>
  <si>
    <t>TC_LEAVE_126</t>
  </si>
  <si>
    <t>Verify invalid employee search handling</t>
  </si>
  <si>
    <t>Ensure system returns no results for invalid employee</t>
  </si>
  <si>
    <t>Employee field available</t>
  </si>
  <si>
    <t>1. Enter non-existing employee
2. Click Generate</t>
  </si>
  <si>
    <t>Invalid Employee Name</t>
  </si>
  <si>
    <t>No matching records returned</t>
  </si>
  <si>
    <t>No records returned as expected</t>
  </si>
  <si>
    <t>TC_LEAVE_127</t>
  </si>
  <si>
    <t>Ensure all filters reset to default state</t>
  </si>
  <si>
    <t>All filters cleared and reset</t>
  </si>
  <si>
    <t>TC_LEAVE_128</t>
  </si>
  <si>
    <t>No matching data exists</t>
  </si>
  <si>
    <t>1. Apply filters
2. Generate report</t>
  </si>
  <si>
    <t>Invalid criteria</t>
  </si>
  <si>
    <t>Empty result handled</t>
  </si>
  <si>
    <t>TC_LEAVE_129</t>
  </si>
  <si>
    <t>Verify permission-based access restriction</t>
  </si>
  <si>
    <t>Ensure unauthorized users cannot access report</t>
  </si>
  <si>
    <t>User without permission</t>
  </si>
  <si>
    <t>1. Try accessing report page</t>
  </si>
  <si>
    <t>Unauthorized user</t>
  </si>
  <si>
    <t>Access restricted or denied</t>
  </si>
  <si>
    <t>Access restriction worked successfully</t>
  </si>
  <si>
    <t>TC_LEAVE_130</t>
  </si>
  <si>
    <t>Verify data accuracy in report</t>
  </si>
  <si>
    <t>Ensure report matches actual leave records</t>
  </si>
  <si>
    <t>Leave transactions exist</t>
  </si>
  <si>
    <t>1. Generate report
2. Compare data</t>
  </si>
  <si>
    <t>Employee leave history</t>
  </si>
  <si>
    <t>Report values match system records</t>
  </si>
  <si>
    <t>Data validated</t>
  </si>
  <si>
    <t>Report data matched backend records</t>
  </si>
  <si>
    <t>TC_LEAVE_131</t>
  </si>
  <si>
    <t>Verify report refresh after filter change</t>
  </si>
  <si>
    <t>Ensure updated filters refresh results</t>
  </si>
  <si>
    <t>Report already generated</t>
  </si>
  <si>
    <t>1. Change filters
2. Click Generate</t>
  </si>
  <si>
    <t>Updated filter values</t>
  </si>
  <si>
    <t>Report refreshes with new data</t>
  </si>
  <si>
    <t>Updated report displayed</t>
  </si>
  <si>
    <t>Report refreshed correctly after filter change</t>
  </si>
  <si>
    <t>TC_LEAVE_132</t>
  </si>
  <si>
    <t>Verify mandatory field validation</t>
  </si>
  <si>
    <t>Ensure system validates required inputs</t>
  </si>
  <si>
    <t>Mandatory fields configured</t>
  </si>
  <si>
    <t>1. Leave required fields empty
2. Click Generate</t>
  </si>
  <si>
    <t>Empty fields</t>
  </si>
  <si>
    <t>Validation messages displayed</t>
  </si>
  <si>
    <t>Submission blocked</t>
  </si>
  <si>
    <t>Validation messages displayed correctly</t>
  </si>
  <si>
    <t>TC_LEAVE_133</t>
  </si>
  <si>
    <t>Verify report performance</t>
  </si>
  <si>
    <t>Ensure report loads within acceptable time</t>
  </si>
  <si>
    <t>1. Generate report</t>
  </si>
  <si>
    <t>Report loads within acceptable response time</t>
  </si>
  <si>
    <t>Performance validated</t>
  </si>
  <si>
    <t>Report loaded within acceptable time</t>
  </si>
  <si>
    <t>TC_LEAVE_134</t>
  </si>
  <si>
    <t>US_041</t>
  </si>
  <si>
    <t>Verify My Leave Report page access</t>
  </si>
  <si>
    <t>Ensure employee can open My Leave Entitlements and Usage Report page</t>
  </si>
  <si>
    <t>Employee logged in</t>
  </si>
  <si>
    <t>1. Navigate to Leave → Reports → My Leave Entitlements and Usage Report</t>
  </si>
  <si>
    <t>Report page opens successfully</t>
  </si>
  <si>
    <t>My Leave report page displayed successfully</t>
  </si>
  <si>
    <t>TC_LEAVE_135</t>
  </si>
  <si>
    <t>US_031</t>
  </si>
  <si>
    <t>Verify report generation for logged-in employee</t>
  </si>
  <si>
    <t>Ensure report shows data only for current employee</t>
  </si>
  <si>
    <t>Leave records exist</t>
  </si>
  <si>
    <t>1. Click Generate</t>
  </si>
  <si>
    <t>Current employee session</t>
  </si>
  <si>
    <t>Only logged-in employee report displayed</t>
  </si>
  <si>
    <t>Report displayed correct employee data only</t>
  </si>
  <si>
    <t>TC_LEAVE_136</t>
  </si>
  <si>
    <t>Verify leave balances display</t>
  </si>
  <si>
    <t>Ensure all balance fields are shown correctly</t>
  </si>
  <si>
    <t>Entitlement, taken, scheduled, remaining balance shown</t>
  </si>
  <si>
    <t>Leave balances displayed correctly</t>
  </si>
  <si>
    <t>TC_LEAVE_137</t>
  </si>
  <si>
    <t>Ensure filtering by leave type works correctly</t>
  </si>
  <si>
    <t>1. Select Leave Type
2. Click Generate</t>
  </si>
  <si>
    <t>TC_LEAVE_138</t>
  </si>
  <si>
    <t>Verify filter by leave period</t>
  </si>
  <si>
    <t>Ensure filtering by leave period works correctly</t>
  </si>
  <si>
    <t>Multiple periods exist</t>
  </si>
  <si>
    <t>1. Select Leave Period
2. Click Generate</t>
  </si>
  <si>
    <t>Only records in selected period displayed</t>
  </si>
  <si>
    <t>Leave period filter worked correctly</t>
  </si>
  <si>
    <t>TC_LEAVE_139</t>
  </si>
  <si>
    <t>Ensure filters reset to default state</t>
  </si>
  <si>
    <t>Any filters</t>
  </si>
  <si>
    <t>All filters cleared</t>
  </si>
  <si>
    <t>Reset applied</t>
  </si>
  <si>
    <t>Filters reset successfully</t>
  </si>
  <si>
    <t>TC_LEAVE_140</t>
  </si>
  <si>
    <t>Verify no records found handling</t>
  </si>
  <si>
    <t>Ensure system shows proper message when no data exists</t>
  </si>
  <si>
    <t>No matching records</t>
  </si>
  <si>
    <t>Empty state handled</t>
  </si>
  <si>
    <t>TC_LEAVE_141</t>
  </si>
  <si>
    <t>Verify report data accuracy</t>
  </si>
  <si>
    <t>Ensure report matches backend leave data</t>
  </si>
  <si>
    <t>1. Generate report
2. Validate values</t>
  </si>
  <si>
    <t>Report data matched backend correctly</t>
  </si>
  <si>
    <t>TC_LEAVE_142</t>
  </si>
  <si>
    <t>Ensure updated filters refresh report correctly</t>
  </si>
  <si>
    <t>1. Change filter
2. Click Generate</t>
  </si>
  <si>
    <t>Updated filters</t>
  </si>
  <si>
    <t>Report updates with new results</t>
  </si>
  <si>
    <t>Refreshed report</t>
  </si>
  <si>
    <t>Report refreshed correctly after changes</t>
  </si>
  <si>
    <t>TC_LEAVE_143</t>
  </si>
  <si>
    <t>Verify access restriction for employee data</t>
  </si>
  <si>
    <t>Ensure employee can only view their own leave report</t>
  </si>
  <si>
    <t>1. Open report page</t>
  </si>
  <si>
    <t>Current user session</t>
  </si>
  <si>
    <t>Only personal leave data visible</t>
  </si>
  <si>
    <t>Employee saw only own data correctly</t>
  </si>
  <si>
    <t>TC_LEAVE_144</t>
  </si>
  <si>
    <t>Verify leave type dropdown values</t>
  </si>
  <si>
    <t>Ensure valid leave types are available for selection</t>
  </si>
  <si>
    <t>Leave types configured</t>
  </si>
  <si>
    <t>System leave types</t>
  </si>
  <si>
    <t>All eligible leave types displayed</t>
  </si>
  <si>
    <t>Selection available</t>
  </si>
  <si>
    <t>Leave types displayed correctly</t>
  </si>
  <si>
    <t>TC_LEAVE_145</t>
  </si>
  <si>
    <t>Leave data exists</t>
  </si>
  <si>
    <t>Standard dataset</t>
  </si>
  <si>
    <t>Report loads within performance threshold</t>
  </si>
  <si>
    <t>Report loaded within acceptable response time</t>
  </si>
  <si>
    <t>TC_LEAVE_146</t>
  </si>
  <si>
    <t>Verify navigation consistency</t>
  </si>
  <si>
    <t>Ensure report page loads correctly after navigation</t>
  </si>
  <si>
    <t>User navigates away</t>
  </si>
  <si>
    <t>1. Open report
2. Navigate away
3. Return</t>
  </si>
  <si>
    <t>Browser navigation</t>
  </si>
  <si>
    <t>Page loads correctly without errors</t>
  </si>
  <si>
    <t>Page restored</t>
  </si>
  <si>
    <t>Report page reloaded successfully</t>
  </si>
  <si>
    <t>TC_LEAVE_147</t>
  </si>
  <si>
    <t>Verify empty leave history handling</t>
  </si>
  <si>
    <t>Ensure system shows empty state when no records exist</t>
  </si>
  <si>
    <t>Employee has no leave records</t>
  </si>
  <si>
    <t>No leave data</t>
  </si>
  <si>
    <t>"No Records Found" or empty state message shown</t>
  </si>
  <si>
    <t>Empty handled</t>
  </si>
  <si>
    <t>Empty state displayed correctly</t>
  </si>
  <si>
    <t>TC_LEAVE_148</t>
  </si>
  <si>
    <t>US_042</t>
  </si>
  <si>
    <t>Verify Leave Period page access</t>
  </si>
  <si>
    <t>Ensure admin can open Leave Period configuration page</t>
  </si>
  <si>
    <t>Admin logged in with permission</t>
  </si>
  <si>
    <t>1. Navigate to Leave → Configure → Leave Period</t>
  </si>
  <si>
    <t>Leave Period page opens successfully</t>
  </si>
  <si>
    <t>Leave Period page displayed successfully</t>
  </si>
  <si>
    <t>TC_LEAVE_149</t>
  </si>
  <si>
    <t>US_032</t>
  </si>
  <si>
    <t>Verify current leave period display</t>
  </si>
  <si>
    <t>Ensure system shows existing leave period settings</t>
  </si>
  <si>
    <t>Existing leave period configured</t>
  </si>
  <si>
    <t>1. Open Leave Period page</t>
  </si>
  <si>
    <t>System config</t>
  </si>
  <si>
    <t>Current leave period values displayed</t>
  </si>
  <si>
    <t>Data loaded</t>
  </si>
  <si>
    <t>Current leave period displayed correctly</t>
  </si>
  <si>
    <t>TC_LEAVE_150</t>
  </si>
  <si>
    <t>Verify leave period start date update</t>
  </si>
  <si>
    <t>Ensure admin can set valid start month/day</t>
  </si>
  <si>
    <t>1. Select start month/day 2. Save</t>
  </si>
  <si>
    <t>Valid date (Jan 1)</t>
  </si>
  <si>
    <t>Leave period updated successfully</t>
  </si>
  <si>
    <t>Config saved</t>
  </si>
  <si>
    <t>TC_LEAVE_151</t>
  </si>
  <si>
    <t>Verify save leave period configuration</t>
  </si>
  <si>
    <t>Ensure system saves configuration correctly</t>
  </si>
  <si>
    <t>Valid inputs provided</t>
  </si>
  <si>
    <t>1. Enter values 2. Click Save</t>
  </si>
  <si>
    <t>Valid period data</t>
  </si>
  <si>
    <t>Leave period saved successfully</t>
  </si>
  <si>
    <t>TC_LEAVE_152</t>
  </si>
  <si>
    <t>Verify update existing leave period</t>
  </si>
  <si>
    <t>Ensure modifications reflect correctly in system</t>
  </si>
  <si>
    <t>Existing configuration exists</t>
  </si>
  <si>
    <t>1. Modify values 2. Save</t>
  </si>
  <si>
    <t>Updated period</t>
  </si>
  <si>
    <t>Updated leave period reflected</t>
  </si>
  <si>
    <t>Updated config stored</t>
  </si>
  <si>
    <t>TC_LEAVE_153</t>
  </si>
  <si>
    <t>Ensure mandatory fields are validated</t>
  </si>
  <si>
    <t>Leave Period page open</t>
  </si>
  <si>
    <t>1. Leave fields empty 2. Click Save</t>
  </si>
  <si>
    <t>No changes saved</t>
  </si>
  <si>
    <t>TC_LEAVE_154</t>
  </si>
  <si>
    <t>Verify invalid date prevention</t>
  </si>
  <si>
    <t>Ensure invalid date combinations are blocked</t>
  </si>
  <si>
    <t>Form displayed</t>
  </si>
  <si>
    <t>1. Select invalid date 2. Save</t>
  </si>
  <si>
    <t>Invalid date combo</t>
  </si>
  <si>
    <t>System prevents invalid selection</t>
  </si>
  <si>
    <t>No save executed</t>
  </si>
  <si>
    <t>Invalid date prevented successfully</t>
  </si>
  <si>
    <t>TC_LEAVE_155</t>
  </si>
  <si>
    <t>Verify persistence after refresh</t>
  </si>
  <si>
    <t>Ensure saved data remains after reload</t>
  </si>
  <si>
    <t>Configuration saved</t>
  </si>
  <si>
    <t>1. Refresh page</t>
  </si>
  <si>
    <t>Existing config</t>
  </si>
  <si>
    <t>Data remains unchanged</t>
  </si>
  <si>
    <t>State retained</t>
  </si>
  <si>
    <t>Data persisted after refresh successfully</t>
  </si>
  <si>
    <t>TC_LEAVE_156</t>
  </si>
  <si>
    <t>Verify persistence after logout/login</t>
  </si>
  <si>
    <t>Ensure config persists across sessions</t>
  </si>
  <si>
    <t>1. Logout 2. Login again</t>
  </si>
  <si>
    <t>System session</t>
  </si>
  <si>
    <t>Leave period still displayed correctly</t>
  </si>
  <si>
    <t>Session restored</t>
  </si>
  <si>
    <t>Data persisted after re-login successfully</t>
  </si>
  <si>
    <t>TC_LEAVE_157</t>
  </si>
  <si>
    <t>Ensure non-authorized users cannot access page</t>
  </si>
  <si>
    <t>Non-admin user</t>
  </si>
  <si>
    <t>Unauthorized role</t>
  </si>
  <si>
    <t>Access denied / redirected</t>
  </si>
  <si>
    <t>Access restricted successfully</t>
  </si>
  <si>
    <t>TC_LEAVE_158</t>
  </si>
  <si>
    <t>Verify success message display</t>
  </si>
  <si>
    <t>Ensure confirmation message appears after save</t>
  </si>
  <si>
    <t>Valid config saved</t>
  </si>
  <si>
    <t>1. Click Save</t>
  </si>
  <si>
    <t>Valid input</t>
  </si>
  <si>
    <t>Confirmation shown</t>
  </si>
  <si>
    <t>TC_LEAVE_159</t>
  </si>
  <si>
    <t>Verify data integrity</t>
  </si>
  <si>
    <t>Ensure saved data matches retrieved data</t>
  </si>
  <si>
    <t>Config exists</t>
  </si>
  <si>
    <t>1. Save data 2. Reload</t>
  </si>
  <si>
    <t>Saved config</t>
  </si>
  <si>
    <t>Retrieved values match saved values</t>
  </si>
  <si>
    <t>Data integrity verified successfully</t>
  </si>
  <si>
    <t>TC_LEAVE_160</t>
  </si>
  <si>
    <t>Verify multiple updates handling</t>
  </si>
  <si>
    <t>Ensure repeated updates work correctly</t>
  </si>
  <si>
    <t>Page available</t>
  </si>
  <si>
    <t>1. Update multiple times</t>
  </si>
  <si>
    <t>Different periods</t>
  </si>
  <si>
    <t>Each update saved correctly</t>
  </si>
  <si>
    <t>Latest config stored</t>
  </si>
  <si>
    <t>Multiple updates handled successfully</t>
  </si>
  <si>
    <t>TC_LEAVE_161</t>
  </si>
  <si>
    <t>Verify discard changes on refresh</t>
  </si>
  <si>
    <t>Ensure unsaved changes are not applied</t>
  </si>
  <si>
    <t>Fields modified but not saved</t>
  </si>
  <si>
    <t>1. Modify fields 2. Refresh</t>
  </si>
  <si>
    <t>Unsaved data</t>
  </si>
  <si>
    <t>No persistence</t>
  </si>
  <si>
    <t>Unsaved changes discarded successfully</t>
  </si>
  <si>
    <t>TC_LEAVE_162</t>
  </si>
  <si>
    <t>Verify page load performance</t>
  </si>
  <si>
    <t>Admin navigates page</t>
  </si>
  <si>
    <t>Page loads quickly with controls visible</t>
  </si>
  <si>
    <t>Page ready</t>
  </si>
  <si>
    <t>Page loaded within acceptable time</t>
  </si>
  <si>
    <t>TC_LEAVE_163</t>
  </si>
  <si>
    <t>US_033</t>
  </si>
  <si>
    <t>Verify Leave Types page access</t>
  </si>
  <si>
    <t>Ensure admin can open Leave Types page successfully</t>
  </si>
  <si>
    <t>Admin logged in with permissions</t>
  </si>
  <si>
    <t>1. Navigate to Leave → Configure → Leave Types</t>
  </si>
  <si>
    <t>Leave Types page opens successfully</t>
  </si>
  <si>
    <t>Leave Types page displayed successfully</t>
  </si>
  <si>
    <t>TC_LEAVE_164</t>
  </si>
  <si>
    <t>Verify existing leave types display</t>
  </si>
  <si>
    <t>Ensure all leave types are listed correctly</t>
  </si>
  <si>
    <t>Leave types exist in system</t>
  </si>
  <si>
    <t>1. Open Leave Types page</t>
  </si>
  <si>
    <t>All leave types displayed</t>
  </si>
  <si>
    <t>Data visible</t>
  </si>
  <si>
    <t>Leave types displayed successfully</t>
  </si>
  <si>
    <t>TC_LEAVE_165</t>
  </si>
  <si>
    <t>Verify add new leave type</t>
  </si>
  <si>
    <t>Ensure admin can create leave type successfully</t>
  </si>
  <si>
    <t>Admin on Leave Types page</t>
  </si>
  <si>
    <t>1. Click Add 2. Enter data 3. Save</t>
  </si>
  <si>
    <t>Valid leave type</t>
  </si>
  <si>
    <t>New leave type created</t>
  </si>
  <si>
    <t>Record added</t>
  </si>
  <si>
    <t>Leave type created successfully</t>
  </si>
  <si>
    <t>TC_LEAVE_166</t>
  </si>
  <si>
    <t>Verify add with required fields only</t>
  </si>
  <si>
    <t>Ensure system allows minimal required input</t>
  </si>
  <si>
    <t>1. Enter required fields 2. Save</t>
  </si>
  <si>
    <t>Minimal data</t>
  </si>
  <si>
    <t>Record saved</t>
  </si>
  <si>
    <t>TC_LEAVE_167</t>
  </si>
  <si>
    <t>Ensure validation appears for empty fields</t>
  </si>
  <si>
    <t>1. Leave fields empty 2. Save</t>
  </si>
  <si>
    <t>TC_LEAVE_168</t>
  </si>
  <si>
    <t>Verify duplicate leave type validation</t>
  </si>
  <si>
    <t>Ensure duplicate names are prevented</t>
  </si>
  <si>
    <t>Existing leave type exists</t>
  </si>
  <si>
    <t>1. Add duplicate name 2. Save</t>
  </si>
  <si>
    <t>Duplicate name</t>
  </si>
  <si>
    <t>System prevents duplication</t>
  </si>
  <si>
    <t>No duplicate created</t>
  </si>
  <si>
    <t>Duplicate prevented successfully</t>
  </si>
  <si>
    <t>TC_LEAVE_169</t>
  </si>
  <si>
    <t>Verify edit leave type</t>
  </si>
  <si>
    <t>Ensure leave type can be updated</t>
  </si>
  <si>
    <t>1. Edit record 2. Save</t>
  </si>
  <si>
    <t>Updated data</t>
  </si>
  <si>
    <t>Leave type updated successfully</t>
  </si>
  <si>
    <t>TC_LEAVE_170</t>
  </si>
  <si>
    <t>Verify cancel add leave type</t>
  </si>
  <si>
    <t>Ensure cancel does not save data</t>
  </si>
  <si>
    <t>1. Enter data 2. Click Cancel</t>
  </si>
  <si>
    <t>Sample input</t>
  </si>
  <si>
    <t>No data saved</t>
  </si>
  <si>
    <t>Form closed</t>
  </si>
  <si>
    <t>UI</t>
  </si>
  <si>
    <t>TC_LEAVE_171</t>
  </si>
  <si>
    <t>Verify delete leave type</t>
  </si>
  <si>
    <t>Ensure leave type can be deleted</t>
  </si>
  <si>
    <t>Leave type exists</t>
  </si>
  <si>
    <t>1. Select delete 2. Confirm</t>
  </si>
  <si>
    <t>Valid record</t>
  </si>
  <si>
    <t>Leave type removed</t>
  </si>
  <si>
    <t>Deleted successfully</t>
  </si>
  <si>
    <t>TC_LEAVE_172</t>
  </si>
  <si>
    <t>Verify cancel delete</t>
  </si>
  <si>
    <t>Ensure cancel keeps record</t>
  </si>
  <si>
    <t>Delete dialog open</t>
  </si>
  <si>
    <t>1. Click delete 2. Cancel</t>
  </si>
  <si>
    <t>Record remains unchanged</t>
  </si>
  <si>
    <t>No deletion</t>
  </si>
  <si>
    <t>Cancel works successfully</t>
  </si>
  <si>
    <t>TC_LEAVE_173</t>
  </si>
  <si>
    <t>Verify leave type in dropdowns</t>
  </si>
  <si>
    <t>Ensure new type appears in forms</t>
  </si>
  <si>
    <t>New leave type exists</t>
  </si>
  <si>
    <t>1. Open dropdown</t>
  </si>
  <si>
    <t>New type</t>
  </si>
  <si>
    <t>Leave type available in dropdown</t>
  </si>
  <si>
    <t>Available for selection</t>
  </si>
  <si>
    <t>Visible successfully</t>
  </si>
  <si>
    <t>Integration</t>
  </si>
  <si>
    <t>TC_LEAVE_174</t>
  </si>
  <si>
    <t>Verify search/filter leave types</t>
  </si>
  <si>
    <t>Ensure filtering works correctly</t>
  </si>
  <si>
    <t>Multiple leave types exist</t>
  </si>
  <si>
    <t>1. Search data</t>
  </si>
  <si>
    <t>Search keyword</t>
  </si>
  <si>
    <t>Matching results displayed</t>
  </si>
  <si>
    <t>TC_LEAVE_175</t>
  </si>
  <si>
    <t>Verify data persistence</t>
  </si>
  <si>
    <t>Ensure data remains after refresh/login</t>
  </si>
  <si>
    <t>Data exists</t>
  </si>
  <si>
    <t>Persistent state</t>
  </si>
  <si>
    <t>Data persisted successfully</t>
  </si>
  <si>
    <t>TC_LEAVE_176</t>
  </si>
  <si>
    <t>Verify permission restriction</t>
  </si>
  <si>
    <t>Ensure unauthorized users blocked</t>
  </si>
  <si>
    <t>1. Access page</t>
  </si>
  <si>
    <t>Access denied</t>
  </si>
  <si>
    <t>TC_LEAVE_177</t>
  </si>
  <si>
    <t>Verify active leave type usage handling</t>
  </si>
  <si>
    <t>Ensure system handles used leave types correctly</t>
  </si>
  <si>
    <t>Leave type used in records</t>
  </si>
  <si>
    <t>1. Attempt delete/edit</t>
  </si>
  <si>
    <t>Active record</t>
  </si>
  <si>
    <t>System enforces business rules</t>
  </si>
  <si>
    <t>Controlled action</t>
  </si>
  <si>
    <t>Handled successfully</t>
  </si>
  <si>
    <t>Business</t>
  </si>
  <si>
    <t>TC_LEAVE_178</t>
  </si>
  <si>
    <t>Verify no records found state</t>
  </si>
  <si>
    <t>Ensure empty state message appears</t>
  </si>
  <si>
    <t>No data exists</t>
  </si>
  <si>
    <t>1. Open page</t>
  </si>
  <si>
    <t>Empty dataset</t>
  </si>
  <si>
    <t>No Records Found displayed</t>
  </si>
  <si>
    <t>Displayed successfully</t>
  </si>
  <si>
    <t>TC_LEAVE_179</t>
  </si>
  <si>
    <t>Verify success notifications</t>
  </si>
  <si>
    <t>Ensure success message appears after actions</t>
  </si>
  <si>
    <t>Action performed</t>
  </si>
  <si>
    <t>1. Add/Edit/Delete</t>
  </si>
  <si>
    <t>Valid action</t>
  </si>
  <si>
    <t>User notified</t>
  </si>
  <si>
    <t>Notification shown successfully</t>
  </si>
  <si>
    <t>TC_LEAVE_180</t>
  </si>
  <si>
    <t>Page accessed</t>
  </si>
  <si>
    <t>Page loads quickly</t>
  </si>
  <si>
    <t>Performance acceptable</t>
  </si>
  <si>
    <t>Performance</t>
  </si>
  <si>
    <t>TC_LEAVE_181</t>
  </si>
  <si>
    <t>US_034</t>
  </si>
  <si>
    <t>Access Work Week Page</t>
  </si>
  <si>
    <t>Verify admin can open Work Week configuration page</t>
  </si>
  <si>
    <t>1. Navigate to Leave → Configure → Work Week</t>
  </si>
  <si>
    <t>Valid admin user</t>
  </si>
  <si>
    <t>Work Week page opens successfully</t>
  </si>
  <si>
    <t>Page displayed successfully</t>
  </si>
  <si>
    <t>Smoke</t>
  </si>
  <si>
    <t>TC_LEAVE_182</t>
  </si>
  <si>
    <t>View current work week settings</t>
  </si>
  <si>
    <t>Verify all week days configuration is displayed</t>
  </si>
  <si>
    <t>Work Week page open</t>
  </si>
  <si>
    <t>Existing configuration</t>
  </si>
  <si>
    <t>All days displayed correctly</t>
  </si>
  <si>
    <t>Configuration displayed successfully</t>
  </si>
  <si>
    <t>TC_LEAVE_183</t>
  </si>
  <si>
    <t>Configure standard work week</t>
  </si>
  <si>
    <t>Verify Mon–Fri working, Sat–Sun off setup</t>
  </si>
  <si>
    <t>1. Set Mon–Fri working 2. Sat–Sun off 3. Save</t>
  </si>
  <si>
    <t>Standard week setup</t>
  </si>
  <si>
    <t>Settings saved</t>
  </si>
  <si>
    <t>Work week updated successfully</t>
  </si>
  <si>
    <t>TC_LEAVE_184</t>
  </si>
  <si>
    <t>Configure custom work week</t>
  </si>
  <si>
    <t>Verify custom combination can be saved</t>
  </si>
  <si>
    <t>1. Select custom days 2. Save</t>
  </si>
  <si>
    <t>Custom configuration</t>
  </si>
  <si>
    <t>Custom work week saved</t>
  </si>
  <si>
    <t>TC_LEAVE_185</t>
  </si>
  <si>
    <t>Mark working day as non-working</t>
  </si>
  <si>
    <t>Verify switching working day to off day works</t>
  </si>
  <si>
    <t>Existing config exists</t>
  </si>
  <si>
    <t>1. Change working day 2. Save</t>
  </si>
  <si>
    <t>Day switch change</t>
  </si>
  <si>
    <t>Update reflected successfully</t>
  </si>
  <si>
    <t>Updated config saved</t>
  </si>
  <si>
    <t>Updated successfully</t>
  </si>
  <si>
    <t>TC_LEAVE_186</t>
  </si>
  <si>
    <t>Mark non-working day as working</t>
  </si>
  <si>
    <t>Verify switching off day to working day works</t>
  </si>
  <si>
    <t>1. Change non-working day 2. Save</t>
  </si>
  <si>
    <t>TC_LEAVE_187</t>
  </si>
  <si>
    <t>Save work week configuration</t>
  </si>
  <si>
    <t>Verify save functionality works correctly</t>
  </si>
  <si>
    <t>Valid configuration selected</t>
  </si>
  <si>
    <t>Valid week setup</t>
  </si>
  <si>
    <t>Saved successfully</t>
  </si>
  <si>
    <t>TC_LEAVE_188</t>
  </si>
  <si>
    <t>Persistence after refresh</t>
  </si>
  <si>
    <t>Verify data remains after page refresh</t>
  </si>
  <si>
    <t>1. Save 2. Refresh page</t>
  </si>
  <si>
    <t>Saved configuration</t>
  </si>
  <si>
    <t>Persistent data</t>
  </si>
  <si>
    <t>TC_LEAVE_189</t>
  </si>
  <si>
    <t>Persistence after logout</t>
  </si>
  <si>
    <t>Verify data persists after re-login</t>
  </si>
  <si>
    <t>Configuration still visible</t>
  </si>
  <si>
    <t>Data retained</t>
  </si>
  <si>
    <t>Persisted successfully</t>
  </si>
  <si>
    <t>TC_LEAVE_190</t>
  </si>
  <si>
    <t>Leave calculation impact</t>
  </si>
  <si>
    <t>Verify leave calculation follows work week rules</t>
  </si>
  <si>
    <t>Work week configured</t>
  </si>
  <si>
    <t>1. Apply leave request including weekends</t>
  </si>
  <si>
    <t>Leave request data</t>
  </si>
  <si>
    <t>Leave calculation respects config</t>
  </si>
  <si>
    <t>Correct calculation applied</t>
  </si>
  <si>
    <t>Calculated correctly</t>
  </si>
  <si>
    <t>TC_LEAVE_191</t>
  </si>
  <si>
    <t>Permission validation</t>
  </si>
  <si>
    <t>Verify unauthorized users cannot access page</t>
  </si>
  <si>
    <t>1. Access page directly</t>
  </si>
  <si>
    <t>Page blocked</t>
  </si>
  <si>
    <t>TC_LEAVE_192</t>
  </si>
  <si>
    <t>Multiple consecutive updates</t>
  </si>
  <si>
    <t>Verify multiple updates save correctly</t>
  </si>
  <si>
    <t>Page open</t>
  </si>
  <si>
    <t>Different configs</t>
  </si>
  <si>
    <t>Each update saved successfully</t>
  </si>
  <si>
    <t>Latest state stored</t>
  </si>
  <si>
    <t>Updates saved successfully</t>
  </si>
  <si>
    <t>TC_LEAVE_193</t>
  </si>
  <si>
    <t>Unsaved changes handling</t>
  </si>
  <si>
    <t>Verify unsaved changes are not applied</t>
  </si>
  <si>
    <t>Page open with changes</t>
  </si>
  <si>
    <t>1. Modify settings 2. Navigate away</t>
  </si>
  <si>
    <t>Unsaved changes</t>
  </si>
  <si>
    <t>Changes not applied</t>
  </si>
  <si>
    <t>Discarded successfully</t>
  </si>
  <si>
    <t>TC_LEAVE_194</t>
  </si>
  <si>
    <t>Verify all days configurable</t>
  </si>
  <si>
    <t>Ensure all days Mon–Sun are configurable</t>
  </si>
  <si>
    <t>1. Review all day toggles</t>
  </si>
  <si>
    <t>Week days</t>
  </si>
  <si>
    <t>All days editable</t>
  </si>
  <si>
    <t>Config options available</t>
  </si>
  <si>
    <t>All days configurable</t>
  </si>
  <si>
    <t>TC_LEAVE_195</t>
  </si>
  <si>
    <t>Data integrity validation</t>
  </si>
  <si>
    <t>Verify saved configuration matches retrieved data</t>
  </si>
  <si>
    <t>1. Save 2. Reopen page</t>
  </si>
  <si>
    <t>Saved settings</t>
  </si>
  <si>
    <t>Data matches exactly</t>
  </si>
  <si>
    <t>Consistent data</t>
  </si>
  <si>
    <t>Integrity maintained</t>
  </si>
  <si>
    <t>TC_LEAVE_196</t>
  </si>
  <si>
    <t>Page load performance</t>
  </si>
  <si>
    <t>Verify page loads within acceptable time</t>
  </si>
  <si>
    <t>Admin accesses page</t>
  </si>
  <si>
    <t>TC_LEAVE_197</t>
  </si>
  <si>
    <t>Browser compatibility validation</t>
  </si>
  <si>
    <t>Verify functionality works across browsers</t>
  </si>
  <si>
    <t>Supported browsers used</t>
  </si>
  <si>
    <t>1. Open page 2. Modify settings</t>
  </si>
  <si>
    <t>Chrome/Firefox/Edge</t>
  </si>
  <si>
    <t>Consistent behavior across browsers</t>
  </si>
  <si>
    <t>Config saved correctly</t>
  </si>
  <si>
    <t>Works across browsers</t>
  </si>
  <si>
    <t>Cross-browser</t>
  </si>
  <si>
    <t>TC_LEAVE_198</t>
  </si>
  <si>
    <t>Access Holidays page</t>
  </si>
  <si>
    <t>Verify admin can open Holidays configuration page</t>
  </si>
  <si>
    <t>1. Navigate to Leave → Configure → Holidays</t>
  </si>
  <si>
    <t>Holidays page opens successfully</t>
  </si>
  <si>
    <t>TC_LEAVE_199</t>
  </si>
  <si>
    <t>View existing holidays</t>
  </si>
  <si>
    <t>Verify all holidays are displayed correctly</t>
  </si>
  <si>
    <t>Holidays exist in system</t>
  </si>
  <si>
    <t>1. Open Holidays page</t>
  </si>
  <si>
    <t>Holiday list displayed</t>
  </si>
  <si>
    <t>Holidays displayed successfully</t>
  </si>
  <si>
    <t>TC_LEAVE_200</t>
  </si>
  <si>
    <t>Add new holiday</t>
  </si>
  <si>
    <t>Verify admin can create holiday successfully</t>
  </si>
  <si>
    <t>Holidays page open</t>
  </si>
  <si>
    <t>1. Click Add 2. Enter details 3. Save</t>
  </si>
  <si>
    <t>Valid holiday data</t>
  </si>
  <si>
    <t>Holiday created successfully</t>
  </si>
  <si>
    <t>TC_LEAVE_201</t>
  </si>
  <si>
    <t>Add holiday with required fields only</t>
  </si>
  <si>
    <t>Verify minimal required input works</t>
  </si>
  <si>
    <t>Holiday added successfully</t>
  </si>
  <si>
    <t>TC_LEAVE_202</t>
  </si>
  <si>
    <t>Required field validation</t>
  </si>
  <si>
    <t>Verify validation messages appear for empty fields</t>
  </si>
  <si>
    <t>TC_LEAVE_203</t>
  </si>
  <si>
    <t>Add single-day holiday</t>
  </si>
  <si>
    <t>Verify same start/end date creates one-day holiday</t>
  </si>
  <si>
    <t>1. Select same start &amp; end date 2. Save</t>
  </si>
  <si>
    <t>Single date</t>
  </si>
  <si>
    <t>One-day holiday created</t>
  </si>
  <si>
    <t>One-day holiday created successfully</t>
  </si>
  <si>
    <t>TC_LEAVE_204</t>
  </si>
  <si>
    <t>Add multi-day holiday</t>
  </si>
  <si>
    <t>Verify date range holiday creation</t>
  </si>
  <si>
    <t>1. Select date range 2. Save</t>
  </si>
  <si>
    <t>Date range</t>
  </si>
  <si>
    <t>Holiday spans multiple days</t>
  </si>
  <si>
    <t>Multi-day holiday created successfully</t>
  </si>
  <si>
    <t>TC_LEAVE_205</t>
  </si>
  <si>
    <t>Edit holiday</t>
  </si>
  <si>
    <t>Verify holiday update works correctly</t>
  </si>
  <si>
    <t>Holiday exists</t>
  </si>
  <si>
    <t>Holiday updated successfully</t>
  </si>
  <si>
    <t>TC_LEAVE_206</t>
  </si>
  <si>
    <t>Delete holiday</t>
  </si>
  <si>
    <t>Verify holiday deletion works</t>
  </si>
  <si>
    <t>Holiday removed</t>
  </si>
  <si>
    <t>TC_LEAVE_207</t>
  </si>
  <si>
    <t>Cancel holiday deletion</t>
  </si>
  <si>
    <t>Verify cancel keeps record unchanged</t>
  </si>
  <si>
    <t>No deletion occurs</t>
  </si>
  <si>
    <t>Data unchanged</t>
  </si>
  <si>
    <t>TC_LEAVE_208</t>
  </si>
  <si>
    <t>Duplicate holiday validation</t>
  </si>
  <si>
    <t>Verify duplicate holiday handling</t>
  </si>
  <si>
    <t>Holiday already exists</t>
  </si>
  <si>
    <t>1. Add same date holiday</t>
  </si>
  <si>
    <t>Duplicate date</t>
  </si>
  <si>
    <t>System handles duplicate per rules</t>
  </si>
  <si>
    <t>No invalid record</t>
  </si>
  <si>
    <t>TC_LEAVE_209</t>
  </si>
  <si>
    <t>Invalid date range validation</t>
  </si>
  <si>
    <t>Prevent end date earlier than start</t>
  </si>
  <si>
    <t>1. Set invalid range 2. Save</t>
  </si>
  <si>
    <t>Wrong date range</t>
  </si>
  <si>
    <t>Validation message shown</t>
  </si>
  <si>
    <t>Validation triggered successfully</t>
  </si>
  <si>
    <t>TC_LEAVE_210</t>
  </si>
  <si>
    <t>Holiday search by year</t>
  </si>
  <si>
    <t>Verify filtering by year works</t>
  </si>
  <si>
    <t>Multiple years exist</t>
  </si>
  <si>
    <t>1. Select year filter</t>
  </si>
  <si>
    <t>Year value</t>
  </si>
  <si>
    <t>Only selected year holidays shown</t>
  </si>
  <si>
    <t>Filter works successfully</t>
  </si>
  <si>
    <t>TC_LEAVE_211</t>
  </si>
  <si>
    <t>Verify holiday appears in list</t>
  </si>
  <si>
    <t>Ensure new holiday appears after refresh</t>
  </si>
  <si>
    <t>Holiday added</t>
  </si>
  <si>
    <t>Existing holiday</t>
  </si>
  <si>
    <t>Holiday visible in list</t>
  </si>
  <si>
    <t>TC_LEAVE_212</t>
  </si>
  <si>
    <t>Verify data remains after re-login</t>
  </si>
  <si>
    <t>Holiday saved</t>
  </si>
  <si>
    <t>1. Logout 2. Login</t>
  </si>
  <si>
    <t>Saved holiday</t>
  </si>
  <si>
    <t>Data still exists</t>
  </si>
  <si>
    <t>TC_LEAVE_213</t>
  </si>
  <si>
    <t>Verify holiday affects leave calculations</t>
  </si>
  <si>
    <t>Holiday configured</t>
  </si>
  <si>
    <t>1. Apply leave over holiday</t>
  </si>
  <si>
    <t>Leave request</t>
  </si>
  <si>
    <t>Calculation respects holiday</t>
  </si>
  <si>
    <t>Correct leave logic applied</t>
  </si>
  <si>
    <t>TC_LEAVE_214</t>
  </si>
  <si>
    <t>Verify unauthorized access is blocked</t>
  </si>
  <si>
    <t>TC_LEAVE_215</t>
  </si>
  <si>
    <t>No records found state</t>
  </si>
  <si>
    <t>Verify empty state message appears</t>
  </si>
  <si>
    <t>No holidays exist</t>
  </si>
  <si>
    <t>1. Open page/filter year</t>
  </si>
  <si>
    <t>TC_LEAVE_216</t>
  </si>
  <si>
    <t>Success notifications</t>
  </si>
  <si>
    <t>Verify success message appears after actions</t>
  </si>
  <si>
    <t>TC_LEAVE_217</t>
  </si>
  <si>
    <t>TC_LEAVE_218</t>
  </si>
  <si>
    <t>Access Leave List page</t>
  </si>
  <si>
    <t>Verify user can open Leave List page</t>
  </si>
  <si>
    <t>1. Navigate to Leave → Leave List</t>
  </si>
  <si>
    <t>Valid user</t>
  </si>
  <si>
    <t>Page opens successfully</t>
  </si>
  <si>
    <t>TC_LEAVE_219</t>
  </si>
  <si>
    <t>View all leave requests</t>
  </si>
  <si>
    <t>Verify default leave records are displayed</t>
  </si>
  <si>
    <t>Leave requests exist</t>
  </si>
  <si>
    <t>All matching default criteria shown</t>
  </si>
  <si>
    <t>TC_LEAVE_220</t>
  </si>
  <si>
    <t>Search by employee name</t>
  </si>
  <si>
    <t>Verify filtering by employee name</t>
  </si>
  <si>
    <t>Multiple requests exist</t>
  </si>
  <si>
    <t>1. Enter name 2. Search</t>
  </si>
  <si>
    <t>Employee name</t>
  </si>
  <si>
    <t>Only matching requests shown</t>
  </si>
  <si>
    <t>TC_LEAVE_221</t>
  </si>
  <si>
    <t>Search by leave status</t>
  </si>
  <si>
    <t>Verify status filtering works</t>
  </si>
  <si>
    <t>Different statuses exist</t>
  </si>
  <si>
    <t>1. Select status 2. Search</t>
  </si>
  <si>
    <t>Leave status</t>
  </si>
  <si>
    <t>Status filter works</t>
  </si>
  <si>
    <t>TC_LEAVE_222</t>
  </si>
  <si>
    <t>Search by leave type</t>
  </si>
  <si>
    <t>Verify type filtering works</t>
  </si>
  <si>
    <t>Different leave types exist</t>
  </si>
  <si>
    <t>1. Select type 2. Search</t>
  </si>
  <si>
    <t>Leave type</t>
  </si>
  <si>
    <t>Matching records shown</t>
  </si>
  <si>
    <t>Type filter works successfully</t>
  </si>
  <si>
    <t>TC_LEAVE_223</t>
  </si>
  <si>
    <t>Search by date range</t>
  </si>
  <si>
    <t>Verify date filtering works</t>
  </si>
  <si>
    <t>Requests exist across dates</t>
  </si>
  <si>
    <t>1. Set date range 2. Search</t>
  </si>
  <si>
    <t>Only matching date records shown</t>
  </si>
  <si>
    <t>Date filter works successfully</t>
  </si>
  <si>
    <t>TC_LEAVE_224</t>
  </si>
  <si>
    <t>Multi-filter search</t>
  </si>
  <si>
    <t>Verify combined filters work</t>
  </si>
  <si>
    <t>1. Apply multiple filters 2. Search</t>
  </si>
  <si>
    <t>Mixed filters</t>
  </si>
  <si>
    <t>Results match all criteria</t>
  </si>
  <si>
    <t>Multi-filter works successfully</t>
  </si>
  <si>
    <t>TC_LEAVE_225</t>
  </si>
  <si>
    <t>Reset filters</t>
  </si>
  <si>
    <t>Verify reset clears all filters</t>
  </si>
  <si>
    <t>1. Click Reset</t>
  </si>
  <si>
    <t>Existing filters</t>
  </si>
  <si>
    <t>Filters reset to default</t>
  </si>
  <si>
    <t>Filters cleared</t>
  </si>
  <si>
    <t>Reset works successfully</t>
  </si>
  <si>
    <t>TC_LEAVE_226</t>
  </si>
  <si>
    <t>No records found</t>
  </si>
  <si>
    <t>Verify empty result handling</t>
  </si>
  <si>
    <t>1. Search with invalid filters</t>
  </si>
  <si>
    <t>No data shown</t>
  </si>
  <si>
    <t>TC_LEAVE_227</t>
  </si>
  <si>
    <t>View leave request details</t>
  </si>
  <si>
    <t>Verify request detail view opens</t>
  </si>
  <si>
    <t>Leave request exists</t>
  </si>
  <si>
    <t>1. Select record</t>
  </si>
  <si>
    <t>Existing request</t>
  </si>
  <si>
    <t>Detailed view displayed</t>
  </si>
  <si>
    <t>Detail opened</t>
  </si>
  <si>
    <t>TC_LEAVE_228</t>
  </si>
  <si>
    <t>Approve leave request</t>
  </si>
  <si>
    <t>Verify approval updates status</t>
  </si>
  <si>
    <t>Pending request exists</t>
  </si>
  <si>
    <t>1. Approve request</t>
  </si>
  <si>
    <t>Pending leave</t>
  </si>
  <si>
    <t>Status updated to Approved</t>
  </si>
  <si>
    <t>Approved successfully</t>
  </si>
  <si>
    <t>TC_LEAVE_229</t>
  </si>
  <si>
    <t>Reject leave request</t>
  </si>
  <si>
    <t>Verify rejection updates status</t>
  </si>
  <si>
    <t>1. Reject request</t>
  </si>
  <si>
    <t>Status updated to Rejected</t>
  </si>
  <si>
    <t>Rejected successfully</t>
  </si>
  <si>
    <t>TC_LEAVE_230</t>
  </si>
  <si>
    <t>Cancel approved request</t>
  </si>
  <si>
    <t>Verify cancellation updates status</t>
  </si>
  <si>
    <t>Approved request exists</t>
  </si>
  <si>
    <t>1. Cancel request</t>
  </si>
  <si>
    <t>Approved leave</t>
  </si>
  <si>
    <t>Status updated correctly</t>
  </si>
  <si>
    <t>Cancelled successfully</t>
  </si>
  <si>
    <t>TC_LEAVE_231</t>
  </si>
  <si>
    <t>Bulk approve requests</t>
  </si>
  <si>
    <t>Verify bulk approval works</t>
  </si>
  <si>
    <t>Multiple pending requests</t>
  </si>
  <si>
    <t>1. Select records 2. Approve</t>
  </si>
  <si>
    <t>Multiple leaves</t>
  </si>
  <si>
    <t>All approved successfully</t>
  </si>
  <si>
    <t>Bulk approve successful</t>
  </si>
  <si>
    <t>TC_LEAVE_232</t>
  </si>
  <si>
    <t>Bulk reject requests</t>
  </si>
  <si>
    <t>Verify bulk rejection works</t>
  </si>
  <si>
    <t>1. Select records 2. Reject</t>
  </si>
  <si>
    <t>All rejected successfully</t>
  </si>
  <si>
    <t>Bulk reject successful</t>
  </si>
  <si>
    <t>TC_LEAVE_233</t>
  </si>
  <si>
    <t>Verify leave balance impact</t>
  </si>
  <si>
    <t>Verify balance updates correctly</t>
  </si>
  <si>
    <t>Leave action performed</t>
  </si>
  <si>
    <t>1. Check balance</t>
  </si>
  <si>
    <t>Leave records</t>
  </si>
  <si>
    <t>Balance updated correctly</t>
  </si>
  <si>
    <t>Data synced</t>
  </si>
  <si>
    <t>Balance updated successfully</t>
  </si>
  <si>
    <t>TC_LEAVE_234</t>
  </si>
  <si>
    <t>Employee auto-complete</t>
  </si>
  <si>
    <t>Verify employee suggestion works</t>
  </si>
  <si>
    <t>1. Type partial name</t>
  </si>
  <si>
    <t>Partial name</t>
  </si>
  <si>
    <t>Suggestions displayed</t>
  </si>
  <si>
    <t>UI updated</t>
  </si>
  <si>
    <t>Auto-complete works</t>
  </si>
  <si>
    <t>TC_LEAVE_235</t>
  </si>
  <si>
    <t>Invalid date validation</t>
  </si>
  <si>
    <t>Verify invalid date is blocked</t>
  </si>
  <si>
    <t>1. Enter wrong date range</t>
  </si>
  <si>
    <t>Invalid dates</t>
  </si>
  <si>
    <t>No search executed</t>
  </si>
  <si>
    <t>Validation works</t>
  </si>
  <si>
    <t>TC_LEAVE_236</t>
  </si>
  <si>
    <t>Verify unauthorized access blocked</t>
  </si>
  <si>
    <t>No permission user</t>
  </si>
  <si>
    <t>Blocked successfully</t>
  </si>
  <si>
    <t>TC_LEAVE_237</t>
  </si>
  <si>
    <t>Data persistence after refresh</t>
  </si>
  <si>
    <t>Verify data reloads correctly</t>
  </si>
  <si>
    <t>Latest data shown</t>
  </si>
  <si>
    <t>State refreshed</t>
  </si>
  <si>
    <t>TC_LEAVE_238</t>
  </si>
  <si>
    <t>Verify leave status accuracy</t>
  </si>
  <si>
    <t>Ensure correct status display</t>
  </si>
  <si>
    <t>Mixed statuses exist</t>
  </si>
  <si>
    <t>1. View results</t>
  </si>
  <si>
    <t>Correct status shown</t>
  </si>
  <si>
    <t>UI consistent</t>
  </si>
  <si>
    <t>Status correct</t>
  </si>
  <si>
    <t>TC_LEAVE_239</t>
  </si>
  <si>
    <t>Pagination validation</t>
  </si>
  <si>
    <t>Verify paging works correctly</t>
  </si>
  <si>
    <t>Many records exist</t>
  </si>
  <si>
    <t>Correct records per page</t>
  </si>
  <si>
    <t>Paging applied</t>
  </si>
  <si>
    <t>Pagination works</t>
  </si>
  <si>
    <t>TC_LEAVE_240</t>
  </si>
  <si>
    <t>Success notification</t>
  </si>
  <si>
    <t>Verify success message appears</t>
  </si>
  <si>
    <t>Action completed</t>
  </si>
  <si>
    <t>1. Perform action</t>
  </si>
  <si>
    <t>Notification displayed</t>
  </si>
  <si>
    <t>TC_LEAVE_241</t>
  </si>
  <si>
    <t>Verify page loads fast</t>
  </si>
  <si>
    <t>TC_LEAVE_242</t>
  </si>
  <si>
    <t>Access Assign Leave page</t>
  </si>
  <si>
    <t>Verify user can open Assign Leave page</t>
  </si>
  <si>
    <t>1. Navigate to Leave → Assign Leave</t>
  </si>
  <si>
    <t>TC_LEAVE_243</t>
  </si>
  <si>
    <t>Assign leave successfully</t>
  </si>
  <si>
    <t>Verify leave is assigned correctly</t>
  </si>
  <si>
    <t>Valid employee exists</t>
  </si>
  <si>
    <t>1. Select employee 2. Choose leave type 3. Submit</t>
  </si>
  <si>
    <t>Valid leave data</t>
  </si>
  <si>
    <t>Leave assigned successfully</t>
  </si>
  <si>
    <t>Record created</t>
  </si>
  <si>
    <t>TC_LEAVE_244</t>
  </si>
  <si>
    <t>Verify employee suggestions appear</t>
  </si>
  <si>
    <t>Partial employee name</t>
  </si>
  <si>
    <t>TC_LEAVE_245</t>
  </si>
  <si>
    <t>Invalid employee validation</t>
  </si>
  <si>
    <t>Verify non-existing employee handling</t>
  </si>
  <si>
    <t>Assign page open</t>
  </si>
  <si>
    <t>1. Enter invalid employee</t>
  </si>
  <si>
    <t>Wrong name</t>
  </si>
  <si>
    <t>No assignment</t>
  </si>
  <si>
    <t>TC_LEAVE_246</t>
  </si>
  <si>
    <t>Leave type selection</t>
  </si>
  <si>
    <t>Verify dropdown shows valid types</t>
  </si>
  <si>
    <t>Leave types exist</t>
  </si>
  <si>
    <t>All types shown</t>
  </si>
  <si>
    <t>Dropdown works</t>
  </si>
  <si>
    <t>TC_LEAVE_247</t>
  </si>
  <si>
    <t>Single-day leave assignment</t>
  </si>
  <si>
    <t>Verify same start/end date works</t>
  </si>
  <si>
    <t>1. Select same date 2. Submit</t>
  </si>
  <si>
    <t>One-day leave created</t>
  </si>
  <si>
    <t>Leave created successfully</t>
  </si>
  <si>
    <t>TC_LEAVE_248</t>
  </si>
  <si>
    <t>Multi-day leave assignment</t>
  </si>
  <si>
    <t>Verify date range assignment</t>
  </si>
  <si>
    <t>1. Select range 2. Submit</t>
  </si>
  <si>
    <t>Leave created for range</t>
  </si>
  <si>
    <t>Multi-day leave created</t>
  </si>
  <si>
    <t>TC_LEAVE_249</t>
  </si>
  <si>
    <t>Assign leave with comment</t>
  </si>
  <si>
    <t>Verify comment is saved</t>
  </si>
  <si>
    <t>Comment field available</t>
  </si>
  <si>
    <t>1. Enter comment 2. Submit</t>
  </si>
  <si>
    <t>Valid comment</t>
  </si>
  <si>
    <t>Leave saved with comment</t>
  </si>
  <si>
    <t>Comment saved successfully</t>
  </si>
  <si>
    <t>TC_LEAVE_250</t>
  </si>
  <si>
    <t>Mandatory field validation</t>
  </si>
  <si>
    <t>Verify required fields validation</t>
  </si>
  <si>
    <t>1. Submit empty form</t>
  </si>
  <si>
    <t>Empty data</t>
  </si>
  <si>
    <t>Validation messages shown</t>
  </si>
  <si>
    <t>TC_LEAVE_251</t>
  </si>
  <si>
    <t>Insufficient balance validation</t>
  </si>
  <si>
    <t>Verify balance check works</t>
  </si>
  <si>
    <t>Employee has low balance</t>
  </si>
  <si>
    <t>1. Assign excessive leave</t>
  </si>
  <si>
    <t>Excess days</t>
  </si>
  <si>
    <t>Warning shown</t>
  </si>
  <si>
    <t>Validation triggered</t>
  </si>
  <si>
    <t>TC_LEAVE_252</t>
  </si>
  <si>
    <t>Overlapping leave validation</t>
  </si>
  <si>
    <t>Verify conflict handling</t>
  </si>
  <si>
    <t>Existing leave exists</t>
  </si>
  <si>
    <t>1. Assign overlapping dates</t>
  </si>
  <si>
    <t>Overlap dates</t>
  </si>
  <si>
    <t>Conflict handled</t>
  </si>
  <si>
    <t>No duplicate</t>
  </si>
  <si>
    <t>TC_LEAVE_253</t>
  </si>
  <si>
    <t>Prevent wrong date selection</t>
  </si>
  <si>
    <t>1. End date &lt; Start date</t>
  </si>
  <si>
    <t>No submission</t>
  </si>
  <si>
    <t>TC_LEAVE_254</t>
  </si>
  <si>
    <t>Holiday handling validation</t>
  </si>
  <si>
    <t>Verify holiday rules applied</t>
  </si>
  <si>
    <t>Holidays configured</t>
  </si>
  <si>
    <t>1. Assign leave on holiday</t>
  </si>
  <si>
    <t>Holiday date</t>
  </si>
  <si>
    <t>Holiday rule applied</t>
  </si>
  <si>
    <t>TC_LEAVE_255</t>
  </si>
  <si>
    <t>Non-working day validation</t>
  </si>
  <si>
    <t>Verify work week rules applied</t>
  </si>
  <si>
    <t>1. Assign leave on weekend</t>
  </si>
  <si>
    <t>Weekend dates</t>
  </si>
  <si>
    <t>Correct calculation</t>
  </si>
  <si>
    <t>Rule applied successfully</t>
  </si>
  <si>
    <t>TC_LEAVE_256</t>
  </si>
  <si>
    <t>Partial day leave assignment</t>
  </si>
  <si>
    <t>Verify half-day support</t>
  </si>
  <si>
    <t>Partial leave enabled</t>
  </si>
  <si>
    <t>1. Select half-day 2. Submit</t>
  </si>
  <si>
    <t>Half-day data</t>
  </si>
  <si>
    <t>Duration calculated correctly</t>
  </si>
  <si>
    <t>Partial leave created</t>
  </si>
  <si>
    <t>TC_LEAVE_257</t>
  </si>
  <si>
    <t>Leave balance update</t>
  </si>
  <si>
    <t>Verify balance updates after assignment</t>
  </si>
  <si>
    <t>Leave assigned</t>
  </si>
  <si>
    <t>Assigned leave</t>
  </si>
  <si>
    <t>Balance updated</t>
  </si>
  <si>
    <t>TC_LEAVE_258</t>
  </si>
  <si>
    <t>Cancel assignment</t>
  </si>
  <si>
    <t>Verify cancel prevents save</t>
  </si>
  <si>
    <t>Form open with data</t>
  </si>
  <si>
    <t>Cancel works</t>
  </si>
  <si>
    <t>TC_LEAVE_259</t>
  </si>
  <si>
    <t>Verify access restriction</t>
  </si>
  <si>
    <t>TC_LEAVE_260</t>
  </si>
  <si>
    <t>Duplicate submission prevention</t>
  </si>
  <si>
    <t>Prevent double submission</t>
  </si>
  <si>
    <t>Form filled</t>
  </si>
  <si>
    <t>1. Click Assign multiple times</t>
  </si>
  <si>
    <t>Same request</t>
  </si>
  <si>
    <t>Only one record created</t>
  </si>
  <si>
    <t>No duplicates</t>
  </si>
  <si>
    <t>TC_LEAVE_261</t>
  </si>
  <si>
    <t>Verify success message</t>
  </si>
  <si>
    <t>1. Submit request</t>
  </si>
  <si>
    <t>Valid data</t>
  </si>
  <si>
    <t>TC_LEAVE_262</t>
  </si>
  <si>
    <t>Data persistence validation</t>
  </si>
  <si>
    <t>Verify data appears in Leave List</t>
  </si>
  <si>
    <t>1. Open Leave List</t>
  </si>
  <si>
    <t>Record visible</t>
  </si>
  <si>
    <t>TC_LEAVE_263</t>
  </si>
  <si>
    <t>Long comment validation</t>
  </si>
  <si>
    <t>Verify long text handling</t>
  </si>
  <si>
    <t>Comment field exists</t>
  </si>
  <si>
    <t>1. Enter long text</t>
  </si>
  <si>
    <t>Large comment</t>
  </si>
  <si>
    <t>Validation or truncation applied</t>
  </si>
  <si>
    <t>Data handled</t>
  </si>
  <si>
    <t>TC_LEAVE_264</t>
  </si>
  <si>
    <t>No entitlement validation</t>
  </si>
  <si>
    <t>Verify entitlement restriction</t>
  </si>
  <si>
    <t>Employee has no balance</t>
  </si>
  <si>
    <t>1. Try assigning leave</t>
  </si>
  <si>
    <t>No entitlement</t>
  </si>
  <si>
    <t>TC_LEAVE_265</t>
  </si>
  <si>
    <t>TC_TIME_001</t>
  </si>
  <si>
    <t>Time</t>
  </si>
  <si>
    <t>US_TS_01</t>
  </si>
  <si>
    <t>Verify Employee Timesheet page opens successfully</t>
  </si>
  <si>
    <t>Ensure authorized user can access Employee Timesheet page</t>
  </si>
  <si>
    <t>User logged into system
User has Timesheet access permission</t>
  </si>
  <si>
    <t>1. Navigate to Time Module
2. Open Employee Timesheet page</t>
  </si>
  <si>
    <t>Employee Account</t>
  </si>
  <si>
    <t>Employee Timesheet page opens successfully</t>
  </si>
  <si>
    <t>Timesheet details page displayed</t>
  </si>
  <si>
    <t>Timesheet page opened successfully</t>
  </si>
  <si>
    <t>TC_TIME_002</t>
  </si>
  <si>
    <t>Verify Employee Name is displayed</t>
  </si>
  <si>
    <t>Ensure employee name is displayed in timesheet details</t>
  </si>
  <si>
    <t>Employee Timesheet page opened</t>
  </si>
  <si>
    <t>1. Open Employee Timesheet page
2. Observe employee information section</t>
  </si>
  <si>
    <t>Employee Name displayed correctly</t>
  </si>
  <si>
    <t>Employee information visible</t>
  </si>
  <si>
    <t>Employee Name displayed successfully</t>
  </si>
  <si>
    <t>TC_TIME_003</t>
  </si>
  <si>
    <t>Verify Timesheet Period is displayed</t>
  </si>
  <si>
    <t>Ensure timesheet period is displayed correctly</t>
  </si>
  <si>
    <t>Timesheet exists</t>
  </si>
  <si>
    <t>1. Open Employee Timesheet
2. Observe period information</t>
  </si>
  <si>
    <t>01-Jun-2026 to 07-Jun-2026</t>
  </si>
  <si>
    <t>Timesheet Period displayed correctly</t>
  </si>
  <si>
    <t>Period information visible</t>
  </si>
  <si>
    <t>Timesheet Period displayed successfully</t>
  </si>
  <si>
    <t>TC_TIME_004</t>
  </si>
  <si>
    <t>Verify Project Entries are displayed</t>
  </si>
  <si>
    <t>Ensure project entries are displayed within timesheet</t>
  </si>
  <si>
    <t>Timesheet contains projects</t>
  </si>
  <si>
    <t>1. Open Employee Timesheet
2. Observe Project Entries section</t>
  </si>
  <si>
    <t>Project Alpha</t>
  </si>
  <si>
    <t>Project entries displayed correctly</t>
  </si>
  <si>
    <t>Projects visible</t>
  </si>
  <si>
    <t>Projects displayed successfully</t>
  </si>
  <si>
    <t>TC_TIME_005</t>
  </si>
  <si>
    <t>Verify Activities are displayed</t>
  </si>
  <si>
    <t>Ensure activities are displayed for each project</t>
  </si>
  <si>
    <t>Timesheet contains activities</t>
  </si>
  <si>
    <t>1. Open Employee Timesheet
2. Observe Activities column</t>
  </si>
  <si>
    <t>Development Activity</t>
  </si>
  <si>
    <t>Activities displayed correctly</t>
  </si>
  <si>
    <t>Activities visible</t>
  </si>
  <si>
    <t>Activities displayed successfully</t>
  </si>
  <si>
    <t>TC_TIME_006</t>
  </si>
  <si>
    <t>Verify Daily Hours are displayed</t>
  </si>
  <si>
    <t>Ensure daily working hours are displayed correctly</t>
  </si>
  <si>
    <t>Timesheet contains recorded hours</t>
  </si>
  <si>
    <t>1. Open Employee Timesheet
2. Observe daily hour values</t>
  </si>
  <si>
    <t>Monday = 8 Hours</t>
  </si>
  <si>
    <t>Daily hours displayed correctly</t>
  </si>
  <si>
    <t>Hours visible</t>
  </si>
  <si>
    <t>Daily hours displayed successfully</t>
  </si>
  <si>
    <t>TC_TIME_007</t>
  </si>
  <si>
    <t>Verify Total Hours are displayed</t>
  </si>
  <si>
    <t>Ensure total worked hours are displayed correctly</t>
  </si>
  <si>
    <t>1. Open Employee Timesheet
2. Observe total hours section</t>
  </si>
  <si>
    <t>Total hours displayed correctly</t>
  </si>
  <si>
    <t>Total hours visible</t>
  </si>
  <si>
    <t>Total hours displayed successfully</t>
  </si>
  <si>
    <t>TC_TIME_008</t>
  </si>
  <si>
    <t>Verify Timesheet Status is displayed</t>
  </si>
  <si>
    <t>Ensure timesheet workflow status is displayed</t>
  </si>
  <si>
    <t>1. Open Employee Timesheet
2. Observe status field</t>
  </si>
  <si>
    <t>Status: Submitted</t>
  </si>
  <si>
    <t>Timesheet Status displayed correctly</t>
  </si>
  <si>
    <t>Status visible</t>
  </si>
  <si>
    <t>TC_TIME_009</t>
  </si>
  <si>
    <t>Verify available actions are displayed according to permissions</t>
  </si>
  <si>
    <t>Ensure only permitted actions are displayed to user</t>
  </si>
  <si>
    <t>User logged in with assigned role</t>
  </si>
  <si>
    <t>1. Open Employee Timesheet
2. Observe available actions</t>
  </si>
  <si>
    <t>Employee / Supervisor / HR Manager</t>
  </si>
  <si>
    <t>Only permitted actions displayed</t>
  </si>
  <si>
    <t>Role permissions enforced</t>
  </si>
  <si>
    <t>Allowed actions displayed successfully</t>
  </si>
  <si>
    <t>TC_TIME_010</t>
  </si>
  <si>
    <t>US_TS_02</t>
  </si>
  <si>
    <t>Verify user can add a new timesheet entry</t>
  </si>
  <si>
    <t>Ensure user can add a new timesheet entry successfully</t>
  </si>
  <si>
    <t>User logged into system
Timesheet opened for editing</t>
  </si>
  <si>
    <t>1. Click Add Row
2. Select Project
3. Select Activity
4. Enter working hours
5. Click Save</t>
  </si>
  <si>
    <t>Project: OrangeHRM
Activity: Development
Hours: 8</t>
  </si>
  <si>
    <t>New timesheet entry saved successfully</t>
  </si>
  <si>
    <t>New entry added to timesheet</t>
  </si>
  <si>
    <t>Entry saved successfully</t>
  </si>
  <si>
    <t>TC_TIME_011</t>
  </si>
  <si>
    <t>Verify user can update an existing timesheet entry</t>
  </si>
  <si>
    <t>Ensure existing timesheet entries can be edited successfully</t>
  </si>
  <si>
    <t>Existing timesheet entry available</t>
  </si>
  <si>
    <t>1. Open existing entry
2. Modify hours value
3. Click Save</t>
  </si>
  <si>
    <t>Old Hours: 6
New Hours: 8</t>
  </si>
  <si>
    <t>Entry updated successfully</t>
  </si>
  <si>
    <t>Updated values saved</t>
  </si>
  <si>
    <t>TC_TIME_012</t>
  </si>
  <si>
    <t>Verify Project selection is saved correctly</t>
  </si>
  <si>
    <t>Ensure selected project is saved with timesheet entry</t>
  </si>
  <si>
    <t>Timesheet editable</t>
  </si>
  <si>
    <t>1. Add/Edit entry
2. Select Project
3. Save changes</t>
  </si>
  <si>
    <t>Project: OrangeHRM</t>
  </si>
  <si>
    <t>Selected project saved correctly</t>
  </si>
  <si>
    <t>Project linked to entry</t>
  </si>
  <si>
    <t>Project saved successfully</t>
  </si>
  <si>
    <t>TC_TIME_013</t>
  </si>
  <si>
    <t>Verify Activity selection is saved correctly</t>
  </si>
  <si>
    <t>Ensure selected activity is saved with timesheet entry</t>
  </si>
  <si>
    <t>1. Add/Edit entry
2. Select Activity
3. Save changes</t>
  </si>
  <si>
    <t>Activity: Testing</t>
  </si>
  <si>
    <t>Selected activity saved correctly</t>
  </si>
  <si>
    <t>Activity linked to entry</t>
  </si>
  <si>
    <t>Activity saved successfully</t>
  </si>
  <si>
    <t>TC_TIME_014</t>
  </si>
  <si>
    <t>Verify working hours are saved correctly</t>
  </si>
  <si>
    <t>Ensure entered hours are saved accurately</t>
  </si>
  <si>
    <t>Editable timesheet</t>
  </si>
  <si>
    <t>1. Enter hours value
2. Save timesheet</t>
  </si>
  <si>
    <t>Hours: 8</t>
  </si>
  <si>
    <t>Entered hours saved correctly</t>
  </si>
  <si>
    <t>Hours retained successfully</t>
  </si>
  <si>
    <t>Hours saved successfully</t>
  </si>
  <si>
    <t>TC_TIME_015</t>
  </si>
  <si>
    <t>Verify total hours recalculated after adding entry</t>
  </si>
  <si>
    <t>Ensure total hours update automatically when new entry added</t>
  </si>
  <si>
    <t>Existing timesheet contains hours</t>
  </si>
  <si>
    <t>1. Add new entry
2. Enter hours
3. Save timesheet</t>
  </si>
  <si>
    <t>Existing Total: 32
New Entry: 8</t>
  </si>
  <si>
    <t>Total Hours recalculated to 40</t>
  </si>
  <si>
    <t>Updated total displayed</t>
  </si>
  <si>
    <t>Total recalculated successfully</t>
  </si>
  <si>
    <t>TC_TIME_016</t>
  </si>
  <si>
    <t>Verify total hours recalculated after updating entry</t>
  </si>
  <si>
    <t>Ensure total hours update automatically after modifying entry</t>
  </si>
  <si>
    <t>Existing entry available</t>
  </si>
  <si>
    <t>1. Modify entry hours
2. Save changes</t>
  </si>
  <si>
    <t>Total Hours recalculated correctly</t>
  </si>
  <si>
    <t>TC_TIME_017</t>
  </si>
  <si>
    <t>Verify success message displayed after save</t>
  </si>
  <si>
    <t>Ensure success notification appears after saving timesheet</t>
  </si>
  <si>
    <t>Valid timesheet data entered</t>
  </si>
  <si>
    <t>1. Add/Edit entry
2. Click Save</t>
  </si>
  <si>
    <t>Valid Timesheet Entry</t>
  </si>
  <si>
    <t>TC_TIME_018</t>
  </si>
  <si>
    <t>Verify updated entry appears immediately after save</t>
  </si>
  <si>
    <t>Ensure newly saved data appears immediately</t>
  </si>
  <si>
    <t>Timesheet updated successfully</t>
  </si>
  <si>
    <t>1. Save timesheet
2. Observe entry list</t>
  </si>
  <si>
    <t>Updated Entry</t>
  </si>
  <si>
    <t>Saved entry displayed correctly</t>
  </si>
  <si>
    <t>Latest data visible</t>
  </si>
  <si>
    <t>Entry displayed successfully</t>
  </si>
  <si>
    <t>TC_TIME_019</t>
  </si>
  <si>
    <t>Verify saved timesheet data persists after page refresh</t>
  </si>
  <si>
    <t>Ensure saved changes remain after refreshing page</t>
  </si>
  <si>
    <t>Timesheet saved successfully</t>
  </si>
  <si>
    <t>1. Save timesheet
2. Refresh page
3. Reopen timesheet</t>
  </si>
  <si>
    <t>Saved Entry</t>
  </si>
  <si>
    <t>Saved changes remain available</t>
  </si>
  <si>
    <t>Changes remained successfully</t>
  </si>
  <si>
    <t>TC_TIME_020</t>
  </si>
  <si>
    <t>Verify only modified entry is updated</t>
  </si>
  <si>
    <t>Ensure editing one entry does not affect other entries</t>
  </si>
  <si>
    <t>Multiple entries exist</t>
  </si>
  <si>
    <t>1. Edit one entry
2. Save changes
3. Review remaining entries</t>
  </si>
  <si>
    <t>Entry A / Entry B</t>
  </si>
  <si>
    <t>Only selected entry updated</t>
  </si>
  <si>
    <t>Other entries unchanged</t>
  </si>
  <si>
    <t>Only selected entry updated successfully</t>
  </si>
  <si>
    <t>TC_TIME_021</t>
  </si>
  <si>
    <t>US_TS_03</t>
  </si>
  <si>
    <t>Verify system prevents saving when Project field is empty</t>
  </si>
  <si>
    <t>Ensure Project field cannot be left empty</t>
  </si>
  <si>
    <t>User logged into system
Editable timesheet opened</t>
  </si>
  <si>
    <t>1. Click Add Row
2. Leave Project field empty
3. Enter remaining valid data
4. Click Save</t>
  </si>
  <si>
    <t>Project: Empty
Activity: Testing
Hours: 8</t>
  </si>
  <si>
    <t>Validation message displayed and save prevented</t>
  </si>
  <si>
    <t>Entry not saved</t>
  </si>
  <si>
    <t>TC_TIME_022</t>
  </si>
  <si>
    <t>Verify system prevents saving when Activity field is empty</t>
  </si>
  <si>
    <t>Ensure Activity field cannot be left empty</t>
  </si>
  <si>
    <t>Editable timesheet opened</t>
  </si>
  <si>
    <t>1. Select Project
2. Leave Activity empty
3. Enter valid hours
4. Click Save</t>
  </si>
  <si>
    <t>Activity: Empty</t>
  </si>
  <si>
    <t>TC_TIME_023</t>
  </si>
  <si>
    <t>Verify system prevents saving when Hours field is empty</t>
  </si>
  <si>
    <t>Ensure Hours field cannot be left empty</t>
  </si>
  <si>
    <t>1. Select Project
2. Select Activity
3. Leave Hours empty
4. Click Save</t>
  </si>
  <si>
    <t>Hours: Empty</t>
  </si>
  <si>
    <t>TC_TIME_024</t>
  </si>
  <si>
    <t>Verify non-numeric hour values are rejected</t>
  </si>
  <si>
    <t>Ensure system accepts numeric values only</t>
  </si>
  <si>
    <t>1. Enter letters in Hours field
2. Click Save</t>
  </si>
  <si>
    <t>Hours: ABC</t>
  </si>
  <si>
    <t>TC_TIME_025</t>
  </si>
  <si>
    <t>Verify alphanumeric hour values are rejected</t>
  </si>
  <si>
    <t>Ensure alphanumeric values are not accepted in Hours field</t>
  </si>
  <si>
    <t>1. Enter mixed value in Hours field
2. Click Save</t>
  </si>
  <si>
    <t>Hours: 8ABC</t>
  </si>
  <si>
    <t>TC_TIME_026</t>
  </si>
  <si>
    <t>Verify negative hour values are rejected</t>
  </si>
  <si>
    <t>Ensure negative working hours cannot be entered</t>
  </si>
  <si>
    <t>1. Enter negative value
2. Click Save</t>
  </si>
  <si>
    <t>Hours: -5</t>
  </si>
  <si>
    <t>TC_TIME_027</t>
  </si>
  <si>
    <t>Verify hours exceeding maximum limit are rejected</t>
  </si>
  <si>
    <t>Ensure hours above allowed limit cannot be saved</t>
  </si>
  <si>
    <t>1. Enter value exceeding allowed limit
2. Click Save</t>
  </si>
  <si>
    <t>Hours: 25 (max 24)</t>
  </si>
  <si>
    <t>TC_TIME_028</t>
  </si>
  <si>
    <t>Verify invalid project selection is rejected</t>
  </si>
  <si>
    <t>Ensure deleted or unavailable projects cannot be saved</t>
  </si>
  <si>
    <t>Invalid project exists in test data</t>
  </si>
  <si>
    <t>1. Select invalid project
2. Enter valid data
3. Click Save</t>
  </si>
  <si>
    <t>Inactive Project</t>
  </si>
  <si>
    <t>TC_TIME_029</t>
  </si>
  <si>
    <t>Verify invalid activity selection is rejected</t>
  </si>
  <si>
    <t>Ensure invalid activity cannot be saved</t>
  </si>
  <si>
    <t>Invalid activity available</t>
  </si>
  <si>
    <t>1. Select invalid activity
2. Enter valid hours
3. Click Save</t>
  </si>
  <si>
    <t>Inactive Activity</t>
  </si>
  <si>
    <t>TC_TIME_030</t>
  </si>
  <si>
    <t>Verify valid decimal hour values are accepted</t>
  </si>
  <si>
    <t>Ensure valid decimal values can be saved successfully</t>
  </si>
  <si>
    <t>1. Enter decimal hours value
2. Click Save</t>
  </si>
  <si>
    <t>Hours: 7.5</t>
  </si>
  <si>
    <t>Hours recorded correctly</t>
  </si>
  <si>
    <t>TC_TIME_031</t>
  </si>
  <si>
    <t>Verify validation messages disappear after correction</t>
  </si>
  <si>
    <t>Ensure validation messages are removed once valid data is entered</t>
  </si>
  <si>
    <t>1. Trigger validation error
2. Correct entered value
3. Click Save</t>
  </si>
  <si>
    <t>Validation message disappears and entry saves successfully</t>
  </si>
  <si>
    <t>Valid entry saved</t>
  </si>
  <si>
    <t>Validation cleared successfully</t>
  </si>
  <si>
    <t>TC_TIME_032</t>
  </si>
  <si>
    <t>US_TS_04</t>
  </si>
  <si>
    <t>Verify user can select timesheet entry for deletion</t>
  </si>
  <si>
    <t>Ensure user can select one or more timesheet entries</t>
  </si>
  <si>
    <t>Timesheet contains existing entries
User logged in</t>
  </si>
  <si>
    <t>Select timesheet entry checkbox</t>
  </si>
  <si>
    <t>Entry: Project A - 8 Hours</t>
  </si>
  <si>
    <t>Entry selected successfully</t>
  </si>
  <si>
    <t>Entry ready for deletion</t>
  </si>
  <si>
    <t>TC_TIME_033</t>
  </si>
  <si>
    <t>Verify user can delete selected timesheet entry</t>
  </si>
  <si>
    <t>Ensure selected timesheet entries can be deleted</t>
  </si>
  <si>
    <t>At least one entry selected</t>
  </si>
  <si>
    <t>Select entry → Click Delete → Confirm</t>
  </si>
  <si>
    <t>Project A entry</t>
  </si>
  <si>
    <t>Entry deleted successfully</t>
  </si>
  <si>
    <t>Entry removed from timesheet</t>
  </si>
  <si>
    <t>TC_TIME_034</t>
  </si>
  <si>
    <t>Ensure system asks for confirmation before deleting entries</t>
  </si>
  <si>
    <t>Entry selected</t>
  </si>
  <si>
    <t>Timesheet Entry</t>
  </si>
  <si>
    <t>Waiting for user confirmation</t>
  </si>
  <si>
    <t>Confirmation displayed successfully</t>
  </si>
  <si>
    <t>TC_TIME_035</t>
  </si>
  <si>
    <t>Verify timesheet entry is removed after confirmation</t>
  </si>
  <si>
    <t>Ensure entry is removed after confirming deletion</t>
  </si>
  <si>
    <t>Confirmation dialog shown</t>
  </si>
  <si>
    <t>Click Confirm</t>
  </si>
  <si>
    <t>Entry to delete</t>
  </si>
  <si>
    <t>Entry removed successfully</t>
  </si>
  <si>
    <t>Timesheet updated</t>
  </si>
  <si>
    <t>TC_TIME_036</t>
  </si>
  <si>
    <t>Verify total hours recalculated after deletion</t>
  </si>
  <si>
    <t>Ensure total hours adjust after removing entry</t>
  </si>
  <si>
    <t>Delete entry → Observe total hours</t>
  </si>
  <si>
    <t>Before: 40 hours
Deleted: 8 hours</t>
  </si>
  <si>
    <t>Total updated correctly (32 hours)</t>
  </si>
  <si>
    <t>Hours recalculated</t>
  </si>
  <si>
    <t>Total updated successfully</t>
  </si>
  <si>
    <t>TC_TIME_037</t>
  </si>
  <si>
    <t>Verify success message appears after deletion</t>
  </si>
  <si>
    <t>Ensure system shows success message after deleting entry</t>
  </si>
  <si>
    <t>Entry deleted</t>
  </si>
  <si>
    <t>Delete entry</t>
  </si>
  <si>
    <t>User informed</t>
  </si>
  <si>
    <t>TC_TIME_038</t>
  </si>
  <si>
    <t>Verify multiple entries can be deleted at once</t>
  </si>
  <si>
    <t>Ensure multiple entries can be deleted together</t>
  </si>
  <si>
    <t>Select multiple entries → Delete → Confirm</t>
  </si>
  <si>
    <t>Entry A + Entry B</t>
  </si>
  <si>
    <t>All selected entries deleted</t>
  </si>
  <si>
    <t>Entries deleted successfully</t>
  </si>
  <si>
    <t>TC_TIME_039</t>
  </si>
  <si>
    <t>Verify deleted entries are removed from UI immediately</t>
  </si>
  <si>
    <t>Ensure deleted entries disappear instantly</t>
  </si>
  <si>
    <t>Delete entry → Observe UI</t>
  </si>
  <si>
    <t>Deleted Entry</t>
  </si>
  <si>
    <t>Entry removed immediately</t>
  </si>
  <si>
    <t>TC_TIME_040</t>
  </si>
  <si>
    <t>Verify deletion does not occur without confirmation</t>
  </si>
  <si>
    <t>Ensure entry is not deleted if user cancels</t>
  </si>
  <si>
    <t>Click Delete → Click Cancel</t>
  </si>
  <si>
    <t>Entry remains unchanged</t>
  </si>
  <si>
    <t>No deletion performed</t>
  </si>
  <si>
    <t>Entry remained successfully</t>
  </si>
  <si>
    <t>TC_TIME_041</t>
  </si>
  <si>
    <t>US_TS_05</t>
  </si>
  <si>
    <t>Verify confirmation appears when canceling unsaved changes</t>
  </si>
  <si>
    <t>Ensure system asks for confirmation before discarding unsaved changes</t>
  </si>
  <si>
    <t>User has unsaved changes in timesheet</t>
  </si>
  <si>
    <t>Modify timesheet entry → Click Cancel</t>
  </si>
  <si>
    <t>Modified Hours: 8 → 10</t>
  </si>
  <si>
    <t>User must confirm action</t>
  </si>
  <si>
    <t>TC_TIME_042</t>
  </si>
  <si>
    <t>Verify unsaved changes are discarded after confirmation</t>
  </si>
  <si>
    <t>Ensure unsaved modifications are removed after confirming cancel</t>
  </si>
  <si>
    <t>Unsaved changes exist</t>
  </si>
  <si>
    <t>Make changes → Click Cancel → Confirm discard</t>
  </si>
  <si>
    <t>Modified Entry</t>
  </si>
  <si>
    <t>Changes are discarded successfully</t>
  </si>
  <si>
    <t>Timesheet returns to last saved state</t>
  </si>
  <si>
    <t>Changes discarded successfully</t>
  </si>
  <si>
    <t>TC_TIME_043</t>
  </si>
  <si>
    <t>Verify previously saved data remains unchanged after cancel</t>
  </si>
  <si>
    <t>Ensure saved timesheet data is not affected by cancel action</t>
  </si>
  <si>
    <t>Saved timesheet exists + unsaved changes made</t>
  </si>
  <si>
    <t>Modify entry → Cancel → Confirm → Reopen timesheet</t>
  </si>
  <si>
    <t>Saved Entry: 8 Hours</t>
  </si>
  <si>
    <t>Original saved data remains unchanged</t>
  </si>
  <si>
    <t>No data loss from saved records</t>
  </si>
  <si>
    <t>Data remained unchanged successfully</t>
  </si>
  <si>
    <t>TC_TIME_044</t>
  </si>
  <si>
    <t>Verify navigation away triggers unsaved changes warning</t>
  </si>
  <si>
    <t>Ensure system warns before leaving page with unsaved changes</t>
  </si>
  <si>
    <t>Modify entry → Navigate to another page/module</t>
  </si>
  <si>
    <t>Modified Timesheet Entry</t>
  </si>
  <si>
    <t>Warning message displayed before leaving page</t>
  </si>
  <si>
    <t>User must confirm navigation</t>
  </si>
  <si>
    <t>Warning displayed successfully</t>
  </si>
  <si>
    <t>TC_TIME_045</t>
  </si>
  <si>
    <t>Verify cancel navigation without saving does not persist changes</t>
  </si>
  <si>
    <t>Ensure system does not save changes if user cancels navigation</t>
  </si>
  <si>
    <t>Modify entry → Attempt navigation → Click Cancel</t>
  </si>
  <si>
    <t>Modified Hours: 8 → 12</t>
  </si>
  <si>
    <t>User stays on same page and changes remain unsaved</t>
  </si>
  <si>
    <t>No data persistence</t>
  </si>
  <si>
    <t>Changes not persisted successfully</t>
  </si>
  <si>
    <t>TC_TIME_046</t>
  </si>
  <si>
    <t>Verify leaving page without confirmation does not lose saved data</t>
  </si>
  <si>
    <t>Ensure saved data remains intact regardless of navigation actions</t>
  </si>
  <si>
    <t>Saved timesheet exists</t>
  </si>
  <si>
    <t>Open timesheet → Navigate away → Return</t>
  </si>
  <si>
    <t>Saved data remains unchanged</t>
  </si>
  <si>
    <t>Data integrity maintained</t>
  </si>
  <si>
    <t>Data remained intact</t>
  </si>
  <si>
    <t>TC_TIME_047</t>
  </si>
  <si>
    <t>US_TS_06</t>
  </si>
  <si>
    <t>Verify search by Employee Name</t>
  </si>
  <si>
    <t>Ensure system returns correct timesheet records when searching by employee name</t>
  </si>
  <si>
    <t>Timesheet records exist
User logged in</t>
  </si>
  <si>
    <t>Enter Employee Name → Click Search</t>
  </si>
  <si>
    <t>Matching timesheet records displayed only</t>
  </si>
  <si>
    <t>Filtered results shown</t>
  </si>
  <si>
    <t>TC_TIME_048</t>
  </si>
  <si>
    <t>Verify search by Timesheet Period</t>
  </si>
  <si>
    <t>Ensure filtering works using timesheet date range</t>
  </si>
  <si>
    <t>Multiple timesheets exist</t>
  </si>
  <si>
    <t>Select Timesheet Period → Click Search</t>
  </si>
  <si>
    <t>01-Jun-2026 → 07-Jun-2026</t>
  </si>
  <si>
    <t>Only matching period timesheets displayed</t>
  </si>
  <si>
    <t>Filtered data shown</t>
  </si>
  <si>
    <t>TC_REC-001</t>
  </si>
  <si>
    <t>Recruitment</t>
  </si>
  <si>
    <t>Verify Candidate List page loads successfully</t>
  </si>
  <si>
    <t>Ensure candidate records are displayed correctly</t>
  </si>
  <si>
    <t xml:space="preserve"> User has Candidates module access</t>
  </si>
  <si>
    <t>1. Navigate to Candidates page
2. Review displayed records</t>
  </si>
  <si>
    <t>Existing candidate records</t>
  </si>
  <si>
    <t>Candidate list displays Name, Vacancy, Email, Contact Number, Application Date, Status, and Actions</t>
  </si>
  <si>
    <t>Candidate list visible</t>
  </si>
  <si>
    <t>Candidate list loaded successfully and all configured columns displayed correctly</t>
  </si>
  <si>
    <t>TC_REC-002</t>
  </si>
  <si>
    <t>Verify new candidate creation</t>
  </si>
  <si>
    <t>Ensure valid candidate record can be created</t>
  </si>
  <si>
    <t xml:space="preserve">  User has Add Candidate permission</t>
  </si>
  <si>
    <t>1. Click Add Candidate
2. Enter candidate information
3. Upload CV attachment
4. Click Save</t>
  </si>
  <si>
    <t>Candidate Name: John Smith
Email: john@test.com
Phone: 1234567890</t>
  </si>
  <si>
    <t>Candidate created successfully and appears in list</t>
  </si>
  <si>
    <t>New candidate record created</t>
  </si>
  <si>
    <t>Candidate record created successfully and success message displayed</t>
  </si>
  <si>
    <t>TC_REC-003</t>
  </si>
  <si>
    <t>Validate candidate information fields</t>
  </si>
  <si>
    <t>Ensure invalid candidate data cannot be saved</t>
  </si>
  <si>
    <t xml:space="preserve"> Add/Edit Candidate form opened</t>
  </si>
  <si>
    <t>1. Leave mandatory fields blank
2. Enter invalid email format
3. Enter invalid phone number
4. Upload unsupported file type
5. Click Save</t>
  </si>
  <si>
    <t>Email: test@test
Phone: ABC123</t>
  </si>
  <si>
    <t>Validation messages displayed and record not saved</t>
  </si>
  <si>
    <t>No candidate created</t>
  </si>
  <si>
    <t>Required field validation displayed correctly and invalid inputs are blocked properly</t>
  </si>
  <si>
    <t>TC_REC-004</t>
  </si>
  <si>
    <t>Verify candidate information update</t>
  </si>
  <si>
    <t>Ensure candidate details can be modified</t>
  </si>
  <si>
    <t xml:space="preserve"> Existing candidate available</t>
  </si>
  <si>
    <t>1. Open candidate profile
2. Edit candidate details
3. Click Save</t>
  </si>
  <si>
    <t>Updated email address</t>
  </si>
  <si>
    <t>Updated information saved and reflected in profile</t>
  </si>
  <si>
    <t>Candidate information updated</t>
  </si>
  <si>
    <t>Candidate profile updated successfully</t>
  </si>
  <si>
    <t>TC_REC-005</t>
  </si>
  <si>
    <t>Verify candidate deletion process</t>
  </si>
  <si>
    <t>Ensure candidate can be deleted and cancellation works</t>
  </si>
  <si>
    <t xml:space="preserve"> Existing candidate record available</t>
  </si>
  <si>
    <t>1. Select candidate
2. Click Delete
3. Confirm deletion</t>
  </si>
  <si>
    <t>Existing candidate</t>
  </si>
  <si>
    <t>Candidate removed successfully</t>
  </si>
  <si>
    <t>Candidate deleted</t>
  </si>
  <si>
    <t>Candidate removed successfully and confirmation displayed</t>
  </si>
  <si>
    <t>TC_REC-006</t>
  </si>
  <si>
    <t>Verify delete cancellation</t>
  </si>
  <si>
    <t>Ensure candidate remains after cancellation</t>
  </si>
  <si>
    <t>1. Click Delete
2. Click Cancel</t>
  </si>
  <si>
    <t>Candidate remains unchanged</t>
  </si>
  <si>
    <t>Candidate record retained</t>
  </si>
  <si>
    <t>Candidate remains available and no deletion occurred</t>
  </si>
  <si>
    <t>TC_REC-007</t>
  </si>
  <si>
    <t>Verify candidate search and filtering</t>
  </si>
  <si>
    <t>Ensure candidate records can be filtered using available search criteria</t>
  </si>
  <si>
    <t xml:space="preserve"> Multiple candidate records exist</t>
  </si>
  <si>
    <t>1. Navigate to Candidates page
2. Enter Candidate Name filter
3. Click Search
4. Repeat using Vacancy filter
5. Repeat using Recruitment Status filter
6. Repeat using Application Date Range filter</t>
  </si>
  <si>
    <t>Candidate Name: John
Status: Shortlisted</t>
  </si>
  <si>
    <t>Only matching candidate records are displayed</t>
  </si>
  <si>
    <t>Filtered candidate list displayed</t>
  </si>
  <si>
    <t>Search results displayed correctly based on selected criteria</t>
  </si>
  <si>
    <t>TC_REC-008</t>
  </si>
  <si>
    <t>Verify no candidate records found message</t>
  </si>
  <si>
    <t>Ensure system handles empty search results correctly</t>
  </si>
  <si>
    <t xml:space="preserve"> Candidate records exist</t>
  </si>
  <si>
    <t>1. Navigate to Candidates page
2. Enter non-existing search criteria
3. Click Search</t>
  </si>
  <si>
    <t>Candidate Name: XYZ_NOT_EXIST</t>
  </si>
  <si>
    <t>"No Records Found" message displayed and no records shown</t>
  </si>
  <si>
    <t>"No Records Found" message displayed correctly when no search results match</t>
  </si>
  <si>
    <t>TC_REC-009</t>
  </si>
  <si>
    <t>Verify candidate profile details display</t>
  </si>
  <si>
    <t>Ensure complete candidate profile information is available</t>
  </si>
  <si>
    <t xml:space="preserve"> Candidate profile exists</t>
  </si>
  <si>
    <t>1. Open Candidates page
2. Select candidate profile
3. Review profile information</t>
  </si>
  <si>
    <t>Profile displays personal details, vacancy information, recruitment status, attachments, notes, and application history</t>
  </si>
  <si>
    <t>Candidate profile displayed</t>
  </si>
  <si>
    <t>Candidate profile loaded successfully and information displayed correctly</t>
  </si>
  <si>
    <t>TC_REC-010</t>
  </si>
  <si>
    <t>Verify recruitment status update</t>
  </si>
  <si>
    <t>Ensure candidate status can be updated throughout recruitment workflow</t>
  </si>
  <si>
    <t xml:space="preserve"> Candidate exists in recruitment pipeline</t>
  </si>
  <si>
    <t>1. Open candidate profile
2. Change recruitment status
3. Click Save
4. Refresh candidate profile</t>
  </si>
  <si>
    <t>Current Status: Shortlisted
New Status: Interview Scheduled</t>
  </si>
  <si>
    <t>Status updated successfully and reflected throughout recruitment workflow</t>
  </si>
  <si>
    <t>Candidate status updated</t>
  </si>
  <si>
    <t>Status updated successfully and displayed correctly</t>
  </si>
  <si>
    <t>TC_REC-011</t>
  </si>
  <si>
    <t>Verify candidate attachment management</t>
  </si>
  <si>
    <t>Ensure users can upload, download, and remove candidate attachments</t>
  </si>
  <si>
    <t>1. Open candidate profile
2. Upload attachment
3. Download attachment
4. Delete attachment</t>
  </si>
  <si>
    <t>Resume.pdf</t>
  </si>
  <si>
    <t>Attachment actions complete successfully and remain associated with candidate record</t>
  </si>
  <si>
    <t>Attachment list updated</t>
  </si>
  <si>
    <t>Upload, download, and delete actions worked perfectly and dynamically updated</t>
  </si>
  <si>
    <t>TC_REC-012</t>
  </si>
  <si>
    <t>Verify interview scheduling and tracking</t>
  </si>
  <si>
    <t>Ensure interview details can be created and updated for candidates</t>
  </si>
  <si>
    <t xml:space="preserve"> Candidate eligible for interview process
 User has interview management permission</t>
  </si>
  <si>
    <t>1. Open candidate profile
2. Navigate to Interview section
3. Click Schedule Interview
4. Enter interview details
5. Click Save
6. Reopen candidate profile</t>
  </si>
  <si>
    <t>Interview Date: 15/06/2026
Interview Time: 10:00 AM
Interviewer: HR Manager</t>
  </si>
  <si>
    <t>Interview information is saved successfully and linked to candidate profile</t>
  </si>
  <si>
    <t>Interview record created</t>
  </si>
  <si>
    <t>Interview scheduled successfully and displayed in candidate profile</t>
  </si>
  <si>
    <t>TC_REC-013</t>
  </si>
  <si>
    <t>Verify candidate list pagination</t>
  </si>
  <si>
    <t>Ensure candidate records display correctly across pages</t>
  </si>
  <si>
    <t xml:space="preserve"> Candidate count exceeds page size</t>
  </si>
  <si>
    <t>1. Open Candidates page
2. Navigate to page 2
3. Navigate to page 3
4. Return to page 1</t>
  </si>
  <si>
    <t>50+ candidate records</t>
  </si>
  <si>
    <t>Correct records displayed for each page and pagination functions properly</t>
  </si>
  <si>
    <t>Pagination verified</t>
  </si>
  <si>
    <t>Pagination works correctly and records are displayed as expected</t>
  </si>
  <si>
    <t>TC_REC-014</t>
  </si>
  <si>
    <t>Verify candidate permissions and access restrictions</t>
  </si>
  <si>
    <t>Ensure actions are controlled according to user role</t>
  </si>
  <si>
    <t xml:space="preserve"> Multiple user roles configured</t>
  </si>
  <si>
    <t>1. Login as authorized user
2. Open Candidates page
3. Verify available actions
4. Login as unauthorized user
5. Attempt direct URL access</t>
  </si>
  <si>
    <t>Recruiter Account
Regular Employee Account</t>
  </si>
  <si>
    <t>Authorized users see permitted actions only and unauthorized access is denied</t>
  </si>
  <si>
    <t>Permission validation completed</t>
  </si>
  <si>
    <t>Unauthorized access is strictly blocked and direct URL tracking redirects securely</t>
  </si>
  <si>
    <t>TC_REC-015</t>
  </si>
  <si>
    <t>Verify candidate data persistence</t>
  </si>
  <si>
    <t>Ensure candidate information remains saved after refresh and re-login</t>
  </si>
  <si>
    <t xml:space="preserve"> Candidate record created or updated</t>
  </si>
  <si>
    <t>1. Create or update candidate record
2. Refresh page
3. Logout
4. Login again
5. Open candidate profile</t>
  </si>
  <si>
    <t>Updated candidate details</t>
  </si>
  <si>
    <t>Latest candidate information remains available and unchanged</t>
  </si>
  <si>
    <t>Data persistence verified</t>
  </si>
  <si>
    <t>Candidate information remained available after refresh and re-login</t>
  </si>
  <si>
    <t>TC_REC-016</t>
  </si>
  <si>
    <t>Verify recruitment data integrity across modules</t>
  </si>
  <si>
    <t>Ensure candidate updates remain synchronized with linked recruitment records</t>
  </si>
  <si>
    <t xml:space="preserve"> Candidate linked to vacancy and interview records</t>
  </si>
  <si>
    <t>1. Open candidate profile
2. Update candidate information
3. Save changes
4. Open linked vacancy record
5. Open interview record</t>
  </si>
  <si>
    <t>Updated candidate name</t>
  </si>
  <si>
    <t>Updated information appears consistently across all linked modules</t>
  </si>
  <si>
    <t>Cross-module consistency verified</t>
  </si>
  <si>
    <t>Candidate updates sync perfectly and instantly across all active modules</t>
  </si>
  <si>
    <t>TC_REC-017</t>
  </si>
  <si>
    <t>Verify system and network error handling</t>
  </si>
  <si>
    <t>Ensure application handles failures without corrupting candidate data</t>
  </si>
  <si>
    <t xml:space="preserve"> Candidate operation available</t>
  </si>
  <si>
    <t>1. Open candidate form
2. Enter valid data
3. Simulate network interruption
4. Click Save</t>
  </si>
  <si>
    <t>Valid candidate information</t>
  </si>
  <si>
    <t>System displays error message and does not save incomplete data</t>
  </si>
  <si>
    <t>No partial record created</t>
  </si>
  <si>
    <t>Error message displayed correctly and no incomplete record was created</t>
  </si>
  <si>
    <t>TC_REC-018</t>
  </si>
  <si>
    <t>Verify session expiration handling</t>
  </si>
  <si>
    <t>Ensure expired sessions cannot modify candidate records</t>
  </si>
  <si>
    <t xml:space="preserve"> User logged in
 Candidate form opened</t>
  </si>
  <si>
    <t>1. Open candidate record
2. Wait until session expires
3. Modify candidate information
4. Click Save</t>
  </si>
  <si>
    <t>User redirected to login page and update is rejected</t>
  </si>
  <si>
    <t>Unauthorized modification prevented</t>
  </si>
  <si>
    <t>User redirected to login page and no changes were saved</t>
  </si>
  <si>
    <t>TC_REC-019</t>
  </si>
  <si>
    <t>Validate candidate UI and usability</t>
  </si>
  <si>
    <t>Ensure candidate screens display correctly across supported devices</t>
  </si>
  <si>
    <t xml:space="preserve"> Access from multiple screen resolutions</t>
  </si>
  <si>
    <t>1. Open Candidates page
2. Test desktop view
3. Test tablet view
4. Test mobile view
5. Verify forms, tables, filters, and dialogs</t>
  </si>
  <si>
    <t>Multiple screen sizes</t>
  </si>
  <si>
    <t>UI remains responsive and all controls function correctly</t>
  </si>
  <si>
    <t>UI validation completed</t>
  </si>
  <si>
    <t>UI layout is fully responsive and all elements render perfectly on all tested screens</t>
  </si>
  <si>
    <t>TC_REC-020</t>
  </si>
  <si>
    <t>Verify performance with large candidate datasets</t>
  </si>
  <si>
    <t>Ensure candidate operations remain responsive with high data volume</t>
  </si>
  <si>
    <t xml:space="preserve"> Large number of candidate records available</t>
  </si>
  <si>
    <t>1. Open Candidates page
2. Perform search
3. Apply filters
4. Open candidate profile
5. Update candidate record</t>
  </si>
  <si>
    <t>1000+ candidate records</t>
  </si>
  <si>
    <t>Operations complete within acceptable performance limits without UI issues</t>
  </si>
  <si>
    <t>Performance validation completed</t>
  </si>
  <si>
    <t>Operations and dataset load requests complete well within the target KPIs</t>
  </si>
  <si>
    <t>TC_REC-021</t>
  </si>
  <si>
    <t>Verify Vacancy List page loads successfully</t>
  </si>
  <si>
    <t>Ensure vacancy records are displayed correctly</t>
  </si>
  <si>
    <t xml:space="preserve"> User has Vacancy module access</t>
  </si>
  <si>
    <t>1. Navigate to Vacancy List page
2. Review displayed vacancies</t>
  </si>
  <si>
    <t>Existing vacancy records</t>
  </si>
  <si>
    <t>Vacancy list displays Vacancy Name, Job Title, Hiring Manager, Status, Positions, and Actions</t>
  </si>
  <si>
    <t>Vacancy list displayed</t>
  </si>
  <si>
    <t>Vacancy list loaded successfully and all configured columns displayed correctly</t>
  </si>
  <si>
    <t>TC_REC-022</t>
  </si>
  <si>
    <t>Verify new vacancy creation</t>
  </si>
  <si>
    <t>Ensure valid vacancy can be created successfully</t>
  </si>
  <si>
    <t xml:space="preserve"> User has Add Vacancy permission</t>
  </si>
  <si>
    <t>1. Click Add Vacancy
2. Enter vacancy information
3. Click Save</t>
  </si>
  <si>
    <t>Vacancy Name: Senior QA Engineer
Job Title: QA Engineer
Positions: 2</t>
  </si>
  <si>
    <t>Vacancy created successfully and appears in vacancy list</t>
  </si>
  <si>
    <t>New vacancy created</t>
  </si>
  <si>
    <t>Vacancy created successfully and success message displayed</t>
  </si>
  <si>
    <t>TC_REC-023</t>
  </si>
  <si>
    <t>Validate vacancy information fields</t>
  </si>
  <si>
    <t>Ensure invalid vacancy information cannot be saved</t>
  </si>
  <si>
    <t xml:space="preserve"> Vacancy creation form opened</t>
  </si>
  <si>
    <t>1. Leave Vacancy Name empty
2. Leave Job Title unselected
3. Enter invalid number of positions
4. Click Save</t>
  </si>
  <si>
    <t>Vacancy Name: Blank
Positions: -5</t>
  </si>
  <si>
    <t>No vacancy created</t>
  </si>
  <si>
    <t>Validation triggered successfully and invalid data formats are rejected</t>
  </si>
  <si>
    <t>TC_REC-024</t>
  </si>
  <si>
    <t>Verify vacancy update functionality</t>
  </si>
  <si>
    <t>Ensure existing vacancy information can be modified</t>
  </si>
  <si>
    <t xml:space="preserve"> Existing vacancy available</t>
  </si>
  <si>
    <t>1. Open vacancy record
2. Update vacancy information
3. Click Save</t>
  </si>
  <si>
    <t>Updated vacancy description</t>
  </si>
  <si>
    <t>Vacancy updated successfully</t>
  </si>
  <si>
    <t>Vacancy information updated</t>
  </si>
  <si>
    <t>Vacancy updated successfully and changes reflected in vacancy list</t>
  </si>
  <si>
    <t>TC_REC-025</t>
  </si>
  <si>
    <t>Verify vacancy deletion</t>
  </si>
  <si>
    <t>Ensure vacancy can be deleted successfully</t>
  </si>
  <si>
    <t xml:space="preserve"> Existing vacancy record available</t>
  </si>
  <si>
    <t>1. Select vacancy
2. Click Delete
3. Confirm deletion</t>
  </si>
  <si>
    <t>Existing vacancy</t>
  </si>
  <si>
    <t>Vacancy removed successfully</t>
  </si>
  <si>
    <t>Vacancy deleted</t>
  </si>
  <si>
    <t>Vacancy deleted successfully and confirmation displayed</t>
  </si>
  <si>
    <t>TC_REC-026</t>
  </si>
  <si>
    <t>Verify deletion cancellation</t>
  </si>
  <si>
    <t>Ensure vacancy remains after canceling deletion</t>
  </si>
  <si>
    <t>Vacancy remains unchanged</t>
  </si>
  <si>
    <t>Vacancy retained</t>
  </si>
  <si>
    <t>Vacancy remained available and no deletion occurred</t>
  </si>
  <si>
    <t>TC_REC-027</t>
  </si>
  <si>
    <t>Restrict deletion of vacancies linked to recruitment activities</t>
  </si>
  <si>
    <t>Ensure vacancies associated with candidates or recruitment records cannot be deleted when business rules prohibit deletion</t>
  </si>
  <si>
    <t xml:space="preserve"> Vacancy has linked candidates/interviews/recruitment history</t>
  </si>
  <si>
    <t>1. Open Vacancy List
2. Select vacancy linked to active recruitment records
3. Click Delete
4. Confirm deletion</t>
  </si>
  <si>
    <t>Vacancy with applied candidates</t>
  </si>
  <si>
    <t>System prevents deletion and displays appropriate validation message</t>
  </si>
  <si>
    <t>System safely restricts deletion and lists active links requiring cleanup first</t>
  </si>
  <si>
    <t>TC_REC-028</t>
  </si>
  <si>
    <t>Verify vacancy search and filtering</t>
  </si>
  <si>
    <t>Ensure vacancies can be searched using available criteria</t>
  </si>
  <si>
    <t xml:space="preserve"> Multiple vacancy records exist</t>
  </si>
  <si>
    <t>1. Navigate to Vacancy List
2. Search by Vacancy Name
3. Search by Job Title
4. Search by Hiring Manager
5. Apply Status filter
6. Click Search</t>
  </si>
  <si>
    <t>Vacancy Name: QA
Status: Active</t>
  </si>
  <si>
    <t>Only matching vacancies are displayed</t>
  </si>
  <si>
    <t>Filtered vacancy list displayed</t>
  </si>
  <si>
    <t>Search results returned correctly according to selected filters</t>
  </si>
  <si>
    <t>TC_REC-029</t>
  </si>
  <si>
    <t>Verify no vacancy records found handling</t>
  </si>
  <si>
    <t xml:space="preserve"> Vacancy module accessible</t>
  </si>
  <si>
    <t>1. Navigate to Vacancy List
2. Enter non-existing search criteria
3. Click Search</t>
  </si>
  <si>
    <t>Vacancy Name: INVALID_VACANCY_999</t>
  </si>
  <si>
    <t>System displays "No Records Found"</t>
  </si>
  <si>
    <t>No records displayed</t>
  </si>
  <si>
    <t>"No Records Found" label is displayed explicitly on the grid row area</t>
  </si>
  <si>
    <t>TC_REC-030</t>
  </si>
  <si>
    <t>Verify vacancy details page</t>
  </si>
  <si>
    <t>Ensure complete vacancy information is displayed</t>
  </si>
  <si>
    <t>1. Open Vacancy List
2. Select vacancy
3. Open vacancy details</t>
  </si>
  <si>
    <t>System displays Job Title, Vacancy Name, Hiring Manager, Positions, Description, Status, Publishing Information, and Candidate Statistics</t>
  </si>
  <si>
    <t>Vacancy details page displayed</t>
  </si>
  <si>
    <t>Vacancy details loaded successfully and all information displayed correctly</t>
  </si>
  <si>
    <t>TC_REC-031</t>
  </si>
  <si>
    <t>Verify vacancy publishing and visibility management</t>
  </si>
  <si>
    <t>Ensure vacancies can be published and made visible to applicants</t>
  </si>
  <si>
    <t xml:space="preserve"> Existing vacancy available
 User has publishing permission</t>
  </si>
  <si>
    <t>1. Open vacancy details
2. Enable publishing options
3. Save vacancy
4. Open career portal or published vacancy page</t>
  </si>
  <si>
    <t>Active vacancy</t>
  </si>
  <si>
    <t>Vacancy is published successfully and visible to candidates</t>
  </si>
  <si>
    <t>Published vacancy available externally</t>
  </si>
  <si>
    <t>Published items appear immediately and completely inside the configured portal dashboard</t>
  </si>
  <si>
    <t>TC_REC-032</t>
  </si>
  <si>
    <t>Verify vacancy candidate pipeline statistics</t>
  </si>
  <si>
    <t>Ensure candidate recruitment statistics are displayed accurately for a vacancy</t>
  </si>
  <si>
    <t xml:space="preserve"> Vacancy has associated candidates in multiple recruitment stages</t>
  </si>
  <si>
    <t>1. Open Vacancy Details page
2. Review candidate statistics section
3. Compare displayed counts with candidate records</t>
  </si>
  <si>
    <t>Vacancy with applicants, shortlisted candidates, interview candidates, and hired candidates</t>
  </si>
  <si>
    <t>Applied, Shortlisted, Interviewed, Rejected, and Hired candidate counts match recruitment records</t>
  </si>
  <si>
    <t>Pipeline statistics verified</t>
  </si>
  <si>
    <t>Data statistics and counts sync flawlessly between analytics and records</t>
  </si>
  <si>
    <t>TC_REC-033</t>
  </si>
  <si>
    <t>Verify vacancy recruitment workflow tracking</t>
  </si>
  <si>
    <t>Ensure recruitment stages remain linked to the vacancy</t>
  </si>
  <si>
    <t xml:space="preserve"> Active vacancy exists
 Candidates are progressing through recruitment stages</t>
  </si>
  <si>
    <t>1. Open vacancy details
2. Move candidate through recruitment stages
3. Review vacancy recruitment history</t>
  </si>
  <si>
    <t>Candidate progressing from Shortlisted â†’ Interview â†’ Offer</t>
  </si>
  <si>
    <t>Recruitment activities remain associated with vacancy and history is maintained correctly</t>
  </si>
  <si>
    <t>Recruitment workflow updated</t>
  </si>
  <si>
    <t>Candidate stage updated successfully and workflow history displayed correctly</t>
  </si>
  <si>
    <t>TC_REC-034</t>
  </si>
  <si>
    <t>Verify vacancy list pagination</t>
  </si>
  <si>
    <t>Ensure vacancy records display correctly across multiple pages</t>
  </si>
  <si>
    <t xml:space="preserve"> Vacancy count exceeds configured page size</t>
  </si>
  <si>
    <t>1. Open Vacancy List
2. Navigate to next page
3. Navigate to previous page
4. Move to last page</t>
  </si>
  <si>
    <t>50+ vacancy records</t>
  </si>
  <si>
    <t>Correct vacancy records displayed for selected page</t>
  </si>
  <si>
    <t>Pagination validated</t>
  </si>
  <si>
    <t>Pagination functions correctly and records load properly</t>
  </si>
  <si>
    <t>TC_REC-035</t>
  </si>
  <si>
    <t>Verify vacancy permission restrictions</t>
  </si>
  <si>
    <t>Ensure users only see actions allowed by their security role</t>
  </si>
  <si>
    <t>1. Login as authorized user
2. Open Vacancy module
3. Verify available actions
4. Login as unauthorized user
5. Access vacancy URL directly</t>
  </si>
  <si>
    <t>Authorized users see permitted actions only and unauthorized access is blocked</t>
  </si>
  <si>
    <t>Unauthorized attempts via direct URLs are completely blocked by server-side authorization filters</t>
  </si>
  <si>
    <t>TC_REC-036</t>
  </si>
  <si>
    <t>Verify vacancy data persistence</t>
  </si>
  <si>
    <t>Ensure vacancy information remains saved after refresh and re-login</t>
  </si>
  <si>
    <t xml:space="preserve"> Vacancy created or updated successfully</t>
  </si>
  <si>
    <t>1. Create or update vacancy
2. Refresh page
3. Logout
4. Login again
5. Open vacancy details</t>
  </si>
  <si>
    <t>Updated vacancy information</t>
  </si>
  <si>
    <t>Latest vacancy information remains available</t>
  </si>
  <si>
    <t>Persistence verified</t>
  </si>
  <si>
    <t>Vacancy information persisted successfully after refresh and re-login</t>
  </si>
  <si>
    <t>TC_REC-037</t>
  </si>
  <si>
    <t>Verify recruitment data integrity after vacancy updates</t>
  </si>
  <si>
    <t>Ensure vacancy updates remain synchronized across recruitment modules</t>
  </si>
  <si>
    <t xml:space="preserve"> Vacancy linked to candidates, interviews, and recruitment activities</t>
  </si>
  <si>
    <t>1. Open vacancy details
2. Update vacancy information
3. Save changes
4. Open linked recruitment records</t>
  </si>
  <si>
    <t>Updated vacancy title</t>
  </si>
  <si>
    <t>Updated vacancy information appears consistently across all related modules</t>
  </si>
  <si>
    <t>Data consistency validated</t>
  </si>
  <si>
    <t>Updates cascade perfectly and reflect accurately across every interconnected dashboard module</t>
  </si>
  <si>
    <t>TC_REC-038</t>
  </si>
  <si>
    <t>Ensure vacancy operations fail safely during server or network issues</t>
  </si>
  <si>
    <t xml:space="preserve"> Vacancy form available</t>
  </si>
  <si>
    <t>1. Open vacancy form
2. Enter valid information
3. Simulate network interruption
4. Click Save</t>
  </si>
  <si>
    <t>Valid vacancy data</t>
  </si>
  <si>
    <t>Error message displayed and no partial record created</t>
  </si>
  <si>
    <t>No corrupted vacancy record exists</t>
  </si>
  <si>
    <t>Appropriate error message displayed and no record saved</t>
  </si>
  <si>
    <t>TC_REC-039</t>
  </si>
  <si>
    <t>Ensure expired sessions cannot modify vacancy records</t>
  </si>
  <si>
    <t xml:space="preserve"> User editing vacancy information</t>
  </si>
  <si>
    <t>1. Open vacancy edit form
2. Wait until session expires
3. Modify vacancy information
4. Click Save</t>
  </si>
  <si>
    <t>User redirected to login page and changes are not saved</t>
  </si>
  <si>
    <t>Unauthorized update prevented</t>
  </si>
  <si>
    <t>User redirected to login page and changes were not saved</t>
  </si>
  <si>
    <t>TC_REC-040</t>
  </si>
  <si>
    <t>Validate vacancy UI and usability</t>
  </si>
  <si>
    <t>Ensure vacancy screens display correctly across supported devices</t>
  </si>
  <si>
    <t xml:space="preserve"> Access from desktop, tablet, and mobile devices</t>
  </si>
  <si>
    <t>1. Open Vacancy page
2. Test desktop layout
3. Test tablet layout
4. Test mobile layout
5. Verify forms, tables, filters, and dialogs</t>
  </si>
  <si>
    <t>Multiple screen resolutions</t>
  </si>
  <si>
    <t>All buttons, fields, and tabular elements render smoothly across mobile and tablet configurations</t>
  </si>
  <si>
    <t>TC_REC-041</t>
  </si>
  <si>
    <t>Verify performance with large vacancy datasets</t>
  </si>
  <si>
    <t>Ensure vacancy operations remain responsive with high data volume</t>
  </si>
  <si>
    <t xml:space="preserve"> Large number of vacancies and candidate applications exist</t>
  </si>
  <si>
    <t>1. Open Vacancy module
2. Search vacancies
3. Apply filters
4. Open vacancy details
5. Update vacancy information</t>
  </si>
  <si>
    <t>1000+ vacancies and candidate applications</t>
  </si>
  <si>
    <t>Operations complete within acceptable performance limits</t>
  </si>
  <si>
    <t>Grid performance queries respond dynamically in under 2 seconds during bulk loading tests</t>
  </si>
  <si>
    <t>TC_MYINFO-001</t>
  </si>
  <si>
    <t>My Info</t>
  </si>
  <si>
    <t>Verify My Info profile page loads successfully</t>
  </si>
  <si>
    <t>Ensure employee profile information is displayed correctly</t>
  </si>
  <si>
    <t xml:space="preserve"> Employee is logged in
 Employee profile exists</t>
  </si>
  <si>
    <t>1. Navigate to My Info page
2. Review displayed profile information</t>
  </si>
  <si>
    <t>Profile page displays personal, contact, job, emergency contacts, dependents, qualifications, memberships, and profile picture information correctly</t>
  </si>
  <si>
    <t>Employee profile displayed</t>
  </si>
  <si>
    <t>Profile page loaded successfully and all available profile sections were displayed correctly</t>
  </si>
  <si>
    <t>TC_MYINFO-002</t>
  </si>
  <si>
    <t>Verify personal details update</t>
  </si>
  <si>
    <t>Ensure employee can update permitted personal information</t>
  </si>
  <si>
    <t xml:space="preserve"> Employee profile exists</t>
  </si>
  <si>
    <t>1. Open Personal Details section
2. Update editable fields
3. Click Save</t>
  </si>
  <si>
    <t>Nickname: Alex
Marital Status: Married</t>
  </si>
  <si>
    <t>Changes are saved successfully and displayed in profile</t>
  </si>
  <si>
    <t>Personal details updated</t>
  </si>
  <si>
    <t>Personal information updated successfully and success message displayed</t>
  </si>
  <si>
    <t>TC_MYINFO-003</t>
  </si>
  <si>
    <t>Validate personal information fields</t>
  </si>
  <si>
    <t>Ensure invalid personal information cannot be saved</t>
  </si>
  <si>
    <t xml:space="preserve"> Personal Details form opened</t>
  </si>
  <si>
    <t>1. Clear required fields
2. Enter invalid values
3. Click Save</t>
  </si>
  <si>
    <t>First Name: Blank
Date: Invalid Date
Name: 500+ Characters</t>
  </si>
  <si>
    <t>Validation messages displayed and information is not saved</t>
  </si>
  <si>
    <t>No invalid data saved</t>
  </si>
  <si>
    <t>Blank fields or simple space inputs are blocked and correctly prompt validation flags</t>
  </si>
  <si>
    <t>TC_MYINFO-004</t>
  </si>
  <si>
    <t>Verify protected employee fields cannot be modified</t>
  </si>
  <si>
    <t>Ensure restricted employee information remains protected</t>
  </si>
  <si>
    <t xml:space="preserve"> Employee profile contains protected fields</t>
  </si>
  <si>
    <t>1. Open Personal Details section
2. Attempt to edit Employee ID
3. Attempt to edit protected fields
4. Save changes</t>
  </si>
  <si>
    <t>Protected employee fields</t>
  </si>
  <si>
    <t>Restricted fields remain read-only or inaccessible</t>
  </si>
  <si>
    <t>Protected information unchanged</t>
  </si>
  <si>
    <t>Strict server validation protects employee IDs from client side manipulations</t>
  </si>
  <si>
    <t>TC_MYINFO-005</t>
  </si>
  <si>
    <t>Verify profile picture upload and validation</t>
  </si>
  <si>
    <t>Ensure valid profile pictures upload successfully and invalid files are rejected</t>
  </si>
  <si>
    <t xml:space="preserve"> Employee profile available</t>
  </si>
  <si>
    <t>1. Open profile section
2. Upload valid image
3. Save changes
4. Upload unsupported file type
5. Upload oversized image</t>
  </si>
  <si>
    <t>Valid JPG Image
Invalid PDF File
Large Image &gt; Configured Limit</t>
  </si>
  <si>
    <t>Valid image uploaded successfully and invalid files rejected with validation messages</t>
  </si>
  <si>
    <t>Profile picture updated or validation displayed</t>
  </si>
  <si>
    <t>Oversized images and unapproved document formats are blocked securely as expected</t>
  </si>
  <si>
    <t>TC_MYINFO-006</t>
  </si>
  <si>
    <t>Verify contact information management</t>
  </si>
  <si>
    <t>Ensure employee can add and update contact information successfully</t>
  </si>
  <si>
    <t xml:space="preserve"> Employee profile exists
 Contact Details section available</t>
  </si>
  <si>
    <t>1. Open Contact Details section
2. Update address information
3. Update mobile number and email fields
4. Click Save</t>
  </si>
  <si>
    <t>Mobile: 01234567890
Email: employee@test.com</t>
  </si>
  <si>
    <t>Contact information saved successfully and displayed correctly</t>
  </si>
  <si>
    <t>Updated contact information stored</t>
  </si>
  <si>
    <t>Contact information updated successfully and displayed correctly after save</t>
  </si>
  <si>
    <t>TC_MYINFO-007</t>
  </si>
  <si>
    <t>Verify emergency contacts and dependents management</t>
  </si>
  <si>
    <t>Ensure employee can add, edit, and remove emergency contacts and dependents</t>
  </si>
  <si>
    <t xml:space="preserve"> Emergency Contacts section available
 Dependents section available</t>
  </si>
  <si>
    <t>1. Add emergency contact
2. Save record
3. Edit emergency contact
4. Add dependent record
5. Delete dependent record</t>
  </si>
  <si>
    <t>Emergency Contact: Ahmed Ali
Relationship: Brother</t>
  </si>
  <si>
    <t>Records are added, updated, and removed successfully</t>
  </si>
  <si>
    <t>Emergency contacts and dependents updated</t>
  </si>
  <si>
    <t>Deleted items are automatically and instantly removed from the view layer on submission</t>
  </si>
  <si>
    <t>TC_MYINFO-008</t>
  </si>
  <si>
    <t>Verify qualifications and membership management</t>
  </si>
  <si>
    <t>Ensure employee can manage qualifications, education, licenses, and memberships</t>
  </si>
  <si>
    <t xml:space="preserve"> Qualifications section available</t>
  </si>
  <si>
    <t>1. Add qualification record
2. Add education record
3. Add membership information
4. Save changes</t>
  </si>
  <si>
    <t>Qualification: ISTQB Foundation
Membership: PMI Member</t>
  </si>
  <si>
    <t>Records saved successfully and displayed correctly</t>
  </si>
  <si>
    <t>Qualification records updated</t>
  </si>
  <si>
    <t>Qualification and membership information saved successfully</t>
  </si>
  <si>
    <t>TC_MYINFO-009</t>
  </si>
  <si>
    <t>Verify employee attachment management</t>
  </si>
  <si>
    <t>Ensure employee can upload, download, and remove attachments</t>
  </si>
  <si>
    <t xml:space="preserve"> Attachment functionality enabled</t>
  </si>
  <si>
    <t>1. Upload valid attachment
2. Save attachment
3. Download attachment
4. Delete attachment</t>
  </si>
  <si>
    <t>Document.pdf</t>
  </si>
  <si>
    <t>Attachment operations complete successfully</t>
  </si>
  <si>
    <t>Attachment managed successfully</t>
  </si>
  <si>
    <t>Deleted files are entirely purged from active storage paths and secured immediately</t>
  </si>
  <si>
    <t>TC_MYINFO-010</t>
  </si>
  <si>
    <t>Verify navigation between employee profile tabs</t>
  </si>
  <si>
    <t>Ensure profile sections load correctly and saved data remains intact during navigation</t>
  </si>
  <si>
    <t xml:space="preserve"> Multiple profile sections available</t>
  </si>
  <si>
    <t>1. Open Personal Details tab
2. Navigate to Contact Details
3. Navigate to Qualifications
4. Navigate to Emergency Contacts
5. Return to Personal Details</t>
  </si>
  <si>
    <t>Employee profile with multiple records</t>
  </si>
  <si>
    <t>Correct information displayed in each tab and saved data preserved</t>
  </si>
  <si>
    <t>Profile navigation completed</t>
  </si>
  <si>
    <t>Dirty state form checks prompt user warnings cleanly prior to tab switches</t>
  </si>
  <si>
    <t>TC_MYINFO-011</t>
  </si>
  <si>
    <t>Verify handling of empty employee information sections</t>
  </si>
  <si>
    <t>Ensure the system handles profile sections with no records correctly</t>
  </si>
  <si>
    <t xml:space="preserve"> Employee has no records in a specific profile section</t>
  </si>
  <si>
    <t>1. Open My Info page
2. Navigate to a section with no existing records (e.g., Dependents)
3. Review displayed information</t>
  </si>
  <si>
    <t>Employee profile without dependent records</t>
  </si>
  <si>
    <t>System displays an appropriate empty-state message and allows record creation if permitted</t>
  </si>
  <si>
    <t>Empty section displayed</t>
  </si>
  <si>
    <t>Empty state clean layouts explain clearly that no records currently exist</t>
  </si>
  <si>
    <t>TC_MYINFO-012</t>
  </si>
  <si>
    <t>Verify employee permission restrictions</t>
  </si>
  <si>
    <t>Ensure employees can access only authorized profile information</t>
  </si>
  <si>
    <t xml:space="preserve"> Employee account exists
 Security permissions configured</t>
  </si>
  <si>
    <t>1. Login as employee
2. Open My Info page
3. Verify available actions
4. Attempt direct URL access to another employee profile</t>
  </si>
  <si>
    <t>Employee can access only own profile and permitted actions</t>
  </si>
  <si>
    <t>Cross-user parameter hijacking is blocked securely by token filters</t>
  </si>
  <si>
    <t>TC_MYINFO-013</t>
  </si>
  <si>
    <t>Verify employee information persistence</t>
  </si>
  <si>
    <t>Ensure profile changes remain saved after refresh and re-login</t>
  </si>
  <si>
    <t xml:space="preserve"> Employee profile updated successfully</t>
  </si>
  <si>
    <t>1. Update employee information
2. Save changes
3. Refresh page
4. Logout
5. Login again
6. Open My Info page</t>
  </si>
  <si>
    <t>Updated contact information</t>
  </si>
  <si>
    <t>Latest employee information remains available after refresh and re-login</t>
  </si>
  <si>
    <t>Employee profile information persisted successfully after refresh and re-login</t>
  </si>
  <si>
    <t>TC_MYINFO-014</t>
  </si>
  <si>
    <t>Verify employee data integrity across modules</t>
  </si>
  <si>
    <t>Ensure updated employee information is reflected consistently in related HR modules</t>
  </si>
  <si>
    <t xml:space="preserve"> Employee exists in multiple HR modules</t>
  </si>
  <si>
    <t>1. Open My Info page
2. Update employee name or contact information
3. Save changes
4. Open Attendance module
5. Open Leave module
6. Open Time Management module</t>
  </si>
  <si>
    <t>Updated Employee Name</t>
  </si>
  <si>
    <t>Updated employee information is displayed consistently across all linked modules</t>
  </si>
  <si>
    <t>Cross-module synchronization verified</t>
  </si>
  <si>
    <t>Modifications reflect perfectly and instantly across all active dashboard views</t>
  </si>
  <si>
    <t>TC_MYINFO-015</t>
  </si>
  <si>
    <t>Verify system and network error handling during profile updates</t>
  </si>
  <si>
    <t>Ensure employee information is not corrupted when system or network failures occur</t>
  </si>
  <si>
    <t xml:space="preserve"> Employee profile exists
 User has edit permissions</t>
  </si>
  <si>
    <t>1. Open My Info page
2. Modify employee information
3. Simulate network interruption or server failure
4. Click Save</t>
  </si>
  <si>
    <t>Updated phone number and address</t>
  </si>
  <si>
    <t>System displays an appropriate error message and no incomplete data is saved</t>
  </si>
  <si>
    <t>Original employee information remains unchanged</t>
  </si>
  <si>
    <t>Error message displayed successfully and profile data was not modified</t>
  </si>
  <si>
    <t>TC_MYINFO-016</t>
  </si>
  <si>
    <t>Verify session expiration during profile updates</t>
  </si>
  <si>
    <t>Ensure unauthorized profile updates cannot occur after session expiration</t>
  </si>
  <si>
    <t xml:space="preserve"> Employee editing profile information</t>
  </si>
  <si>
    <t>1. Open Personal Details section
2. Modify profile information
3. Allow session to expire
4. Click Save</t>
  </si>
  <si>
    <t>Updated employee nickname</t>
  </si>
  <si>
    <t>User is redirected to login page and no changes are saved</t>
  </si>
  <si>
    <t>Unauthorized changes prevented</t>
  </si>
  <si>
    <t>Post verification correctly flushes sessions and enforces standard re-login triggers securely</t>
  </si>
  <si>
    <t>TC_MYINFO-017</t>
  </si>
  <si>
    <t>Validate UI behavior and form controls</t>
  </si>
  <si>
    <t>Ensure forms, tabs, validation messages, and controls function correctly</t>
  </si>
  <si>
    <t xml:space="preserve"> My Info page available</t>
  </si>
  <si>
    <t>1. Open My Info page
2. Navigate between profile tabs
3. Edit editable fields
4. Trigger validation messages using invalid data
5. Save valid information</t>
  </si>
  <si>
    <t>Invalid email address
Valid employee information</t>
  </si>
  <si>
    <t>UI components display correctly, permissions are respected, validation messages appear beside invalid fields, and confirmation messages appear after successful actions</t>
  </si>
  <si>
    <t>UI behavior validated</t>
  </si>
  <si>
    <t>Validation hints and notifications position clearly adjacent to specific text inputs</t>
  </si>
  <si>
    <t>TC_MYINFO-018</t>
  </si>
  <si>
    <t>Verify performance with large employee profiles</t>
  </si>
  <si>
    <t>Ensure profile operations remain responsive when large amounts of employee data exist</t>
  </si>
  <si>
    <t xml:space="preserve"> Employee profile contains many attachments, qualifications, memberships, and historical records</t>
  </si>
  <si>
    <t>1. Open My Info page
2. Navigate across multiple profile tabs
3. Open attachment section
4. Load qualifications and memberships
5. Save profile updates</t>
  </si>
  <si>
    <t>Employee profile with large historical dataset</t>
  </si>
  <si>
    <t>Profile loads and processes updates within acceptable performance limits without data loss</t>
  </si>
  <si>
    <t>Complex profile collections load fluently under rapid load optimization thresholds</t>
  </si>
  <si>
    <t>TC_PERF_001</t>
  </si>
  <si>
    <t>Verify Manage Reviews page loads successfully</t>
  </si>
  <si>
    <t>Ensure authorized users can view the reviews dashboard with all grid columns</t>
  </si>
  <si>
    <t>User logged in with HR Manager/Supervisor permissions and navigates to Manage Reviews.</t>
  </si>
  <si>
    <t>1. Navigate to Performance -&gt; Manage Reviews.
2. Verify page layout and available columns.</t>
  </si>
  <si>
    <t>Active session with review records.</t>
  </si>
  <si>
    <t>The page displays Employee Name, Review Period, Reviewer, Review Status, Evaluation Dates, and Available Actions.</t>
  </si>
  <si>
    <t>Review list dashboard visible.</t>
  </si>
  <si>
    <t>All configured columns and records load correctly.</t>
  </si>
  <si>
    <t>TC_PERF_002</t>
  </si>
  <si>
    <t>Verify search and filter performance reviews</t>
  </si>
  <si>
    <t>Ensure reviews can be accurately filtered using combinations of search parameters</t>
  </si>
  <si>
    <t>Multiple performance reviews exist in the system.</t>
  </si>
  <si>
    <t>1. Enter existing Employee Name.
2. Filter by Reviewer Name, Status, Review Period, and Date Range.
3. Click Search.</t>
  </si>
  <si>
    <t>Employee: 'John Doe', Status: 'In Progress'.</t>
  </si>
  <si>
    <t>System filters results dynamically, displaying matching records only.</t>
  </si>
  <si>
    <t>Filtered review records visible.</t>
  </si>
  <si>
    <t>Records matching criteria displayed perfectly.</t>
  </si>
  <si>
    <t>TC_PERF_003</t>
  </si>
  <si>
    <t>Verify 'No Records Found' messaging for search</t>
  </si>
  <si>
    <t>Ensure system properly shows empty state message when search criteria returns nothing</t>
  </si>
  <si>
    <t>Navigated to Manage Reviews page.</t>
  </si>
  <si>
    <t>1. Enter a non-existent Employee Name (e.g., 'XYZ_999').
2. Click Search.</t>
  </si>
  <si>
    <t>Employee: 'XYZ_999'.</t>
  </si>
  <si>
    <t>System displays 'No Records Found' and grid shows zero records.</t>
  </si>
  <si>
    <t>Empty grid state displayed.</t>
  </si>
  <si>
    <t>No Records Found' string prompts correctly.</t>
  </si>
  <si>
    <t>TC_PERF_004</t>
  </si>
  <si>
    <t>Verify performance review creation</t>
  </si>
  <si>
    <t>Ensure valid performance review records can be appended cleanly</t>
  </si>
  <si>
    <t>User has review creation permission.</t>
  </si>
  <si>
    <t>1. Click 'Add Review'.
2. Populate valid Employee, Review Period, Reviewer, and Due Date.
3. Click Save.</t>
  </si>
  <si>
    <t>Employee: 'Jane Smith', Reviewer: 'Manager Alex', Due Date: '2026-12-31'.</t>
  </si>
  <si>
    <t>Review created successfully, success message flashes, and record appears in the grid.</t>
  </si>
  <si>
    <t>New performance review saved to database.</t>
  </si>
  <si>
    <t>Review created and success toast displayed.</t>
  </si>
  <si>
    <t>TC_PERF_005</t>
  </si>
  <si>
    <t>Validate mandatory and unique constraint validations during review creation</t>
  </si>
  <si>
    <t>Verify empty fields, duplicate reviews, and invalid dates are rejected</t>
  </si>
  <si>
    <t>Add Review' panel is open.</t>
  </si>
  <si>
    <t>1. Leave mandatory fields blank and click Save.
2. Attempt to input a duplicate review period for the same employee.
3. Input an inverted date range (End Date before Start Date) and save.</t>
  </si>
  <si>
    <t>Missing fields, duplicate record inputs, invalid date boundaries.</t>
  </si>
  <si>
    <t>System blocks the save action and raises detailed error strings for each input violation.</t>
  </si>
  <si>
    <t>No invalid or corrupted data saved.</t>
  </si>
  <si>
    <t>Validation constraints intercept bad parameters correctly.</t>
  </si>
  <si>
    <t>TC_PERF_006</t>
  </si>
  <si>
    <t>Verify performance review workflow transitions</t>
  </si>
  <si>
    <t>Validate progressive status updates (Activated -&gt; In Progress -&gt; Completed -&gt; Finalized)</t>
  </si>
  <si>
    <t>An activated review record is active.</t>
  </si>
  <si>
    <t>1. Open review, input preliminary metrics, update state to 'In Progress'.
2. Complete feedback components, advance to 'Completed'.
3. Finalize evaluation workflow.</t>
  </si>
  <si>
    <t>Workflow rating actions.</t>
  </si>
  <si>
    <t>System tracks and renders correct current state on each action (Activated, In Progress, Completed, Finalized).</t>
  </si>
  <si>
    <t>Review state successfully advanced to Finalized.</t>
  </si>
  <si>
    <t>Status modifications record accurately across cycles.</t>
  </si>
  <si>
    <t>TC_PERF_007</t>
  </si>
  <si>
    <t>Verify role-based security on Manage Reviews tab and direct URLs</t>
  </si>
  <si>
    <t>Ensure unauthorized users cannot bypass UI links to modify reviews</t>
  </si>
  <si>
    <t>An employee with regular user access logs in.</t>
  </si>
  <si>
    <t>1. Check available actions on performance dashboard.
2. Attempt direct URL hijacking to administrative routes (e.g., /searchEvaluatePerformanceReview).</t>
  </si>
  <si>
    <t>Direct navigation attempts.</t>
  </si>
  <si>
    <t>Administrative actions are hidden from UI, and direct URL manipulation trips an explicit authorization denial error.</t>
  </si>
  <si>
    <t>Access control matrix remains unviolated.</t>
  </si>
  <si>
    <t>Server checks drop unauthorized requests cleanly.</t>
  </si>
  <si>
    <t>TC_PERF_008</t>
  </si>
  <si>
    <t>Verify KPI List view displays all configured metrics</t>
  </si>
  <si>
    <t>Ensure administrative panels cleanly present KPI Name, Job Title, Description, Status, and Actions</t>
  </si>
  <si>
    <t>User logged in with administrative access to Configure -&gt; KPIs.</t>
  </si>
  <si>
    <t>1. Navigate to Performance -&gt; Configure -&gt; KPIs.
2. Evaluate listed entries and metadata mapping.</t>
  </si>
  <si>
    <t>Configured KPI data list.</t>
  </si>
  <si>
    <t>Grid lists rows showing KPI Name, Job Title, KPI Description, Active Status, and Actions controls.</t>
  </si>
  <si>
    <t>KPI list layout confirmed.</t>
  </si>
  <si>
    <t>Grid objects load and structure flawlessly.</t>
  </si>
  <si>
    <t>TC_PERF_009</t>
  </si>
  <si>
    <t>Verify custom KPI record creation</t>
  </si>
  <si>
    <t>Ensure KPIs can be assigned explicitly to Job Titles with defined numeric scale bounds</t>
  </si>
  <si>
    <t>Navigated to Add KPI overlay.</t>
  </si>
  <si>
    <t>1. Enter KPI Name, choose applicable Job Title, supply description.
2. Specify Minimum Rating (e.g., 1) and Maximum Rating (e.g., 5).
3. Flag status as Active and save.</t>
  </si>
  <si>
    <t>KPI Name: 'Code Delivery Speed', Job Title: 'QA Engineer', Range: 1 to 5.</t>
  </si>
  <si>
    <t>KPI object persists with a success message confirmation.</t>
  </si>
  <si>
    <t>New metric registered into system inventory.</t>
  </si>
  <si>
    <t>Saves perfectly and prompts verification banner.</t>
  </si>
  <si>
    <t>TC_PERF_010</t>
  </si>
  <si>
    <t>Validate data constraints and invalid rating values for KPIs</t>
  </si>
  <si>
    <t>Ensure duplicate KPIs per Job Title or inverted ranges (Min &gt; Max) are systematically blocked</t>
  </si>
  <si>
    <t>Add KPI menu focused.</t>
  </si>
  <si>
    <t>1. Re-enter an existing KPI Name for the exact same Job Title.
2. Input Min Rating = 10 and Max Rating = 2.
3. Exceed character bounds on text areas and attempt save.</t>
  </si>
  <si>
    <t>Min: 10, Max: 2, Duplicate combo strings.</t>
  </si>
  <si>
    <t>Validation rules reject input; messages notify of range rules and duplicate entries.</t>
  </si>
  <si>
    <t>Integrity rules remain clean.</t>
  </si>
  <si>
    <t>Form validates and enforces rules correctly.</t>
  </si>
  <si>
    <t>TC_PERF_011</t>
  </si>
  <si>
    <t>Enforce modification restrictions for KPIs currently in use</t>
  </si>
  <si>
    <t>Ensure business metrics bound to running evaluations cannot be deleted or critically broken</t>
  </si>
  <si>
    <t>A specific KPI is active inside an ongoing performance review.</t>
  </si>
  <si>
    <t>1. Target the targeted KPI item from list.
2. Click Delete or attempt critical structural edits to properties.</t>
  </si>
  <si>
    <t>In-use KPI entity.</t>
  </si>
  <si>
    <t>System prevents modification/deletion, generating a validation pop-up safeguarding evaluation integrity.</t>
  </si>
  <si>
    <t>Active evaluation relationships preserved.</t>
  </si>
  <si>
    <t>Database constraints lock active KPIs securely.</t>
  </si>
  <si>
    <t>TC_PERF_012</t>
  </si>
  <si>
    <t>Verify Performance Tracker List view and options</t>
  </si>
  <si>
    <t>Verify administrative panel layout for monitoring goal structures</t>
  </si>
  <si>
    <t>Authorized access available.</t>
  </si>
  <si>
    <t>1. Direct access to Performance -&gt; Configure -&gt; Trackers.
2. Check row details and query layouts.</t>
  </si>
  <si>
    <t>Tracker master data.</t>
  </si>
  <si>
    <t>List properly reflects Employee Name, Tracker Name, Reviewers, Status, actions, and search sub-elements.</t>
  </si>
  <si>
    <t>Trackers UI is loaded completely.</t>
  </si>
  <si>
    <t>UI fits and queries grid items reliably.</t>
  </si>
  <si>
    <t>TC_PERF_013</t>
  </si>
  <si>
    <t>Verify production of a fresh Performance Tracker</t>
  </si>
  <si>
    <t>Create a new tracker linking target employees, multi-reviewer pools, and strategic goals</t>
  </si>
  <si>
    <t>Add Tracker view active.</t>
  </si>
  <si>
    <t>1. Specify unique Tracker Name.
2. Map target Employee, assign explicit Reviewer accounts.
3. Input base Performance Goals, set status to Active, and hit Save.</t>
  </si>
  <si>
    <t>Tracker Name: 'Q2 Tech Milestones', Target: 'John Smith'.</t>
  </si>
  <si>
    <t>Tracker record initializes safely with full relationships preserved.</t>
  </si>
  <si>
    <t>Tracker is registered and live.</t>
  </si>
  <si>
    <t>Initialization completes with confirmation toast.</t>
  </si>
  <si>
    <t>TC_PERF_014</t>
  </si>
  <si>
    <t>Verify tracker progress updates and reviewer logging feedback loop</t>
  </si>
  <si>
    <t>Validate logging parameters including goal progress notes, achievement flags, and reviewer commentary</t>
  </si>
  <si>
    <t>Tracker is established and currently marked Active.</t>
  </si>
  <si>
    <t>1. Open tracker profile details.
2. Modify Progress fields, enter explicit feedback text, change achievement indicators.
3. Submit updates.</t>
  </si>
  <si>
    <t>Progress notes: 'Achieved automated coverage target'.</t>
  </si>
  <si>
    <t>System logs entries with author timestamp, keeping achievement tracking inline.</t>
  </si>
  <si>
    <t>Tracker log history accurately records the new entry.</t>
  </si>
  <si>
    <t>Progress entries save and stream instantly onto view panels.</t>
  </si>
  <si>
    <t>TC_PERF_015</t>
  </si>
  <si>
    <t>Verify employee can access assigned review lists on My Reviews</t>
  </si>
  <si>
    <t>Ensure individual staff profiles securely view active review assignments</t>
  </si>
  <si>
    <t>Logged in with standard employee level role credentials.</t>
  </si>
  <si>
    <t>1. Go to Performance -&gt; Manage Reviews -&gt; My Reviews.
2. Verify displayed columns and review records.</t>
  </si>
  <si>
    <t>Employee session with assigned evaluation targets.</t>
  </si>
  <si>
    <t>Renders items cleanly showing Review Period, Review Status, Due Date, Reviewer Details, and valid actions.</t>
  </si>
  <si>
    <t>Personal profile review matrix is viewable.</t>
  </si>
  <si>
    <t>Assigned records load perfectly.</t>
  </si>
  <si>
    <t>TC_PERF_016</t>
  </si>
  <si>
    <t>Verify completion of Self-Evaluation workflows</t>
  </si>
  <si>
    <t>Check saving performance parameters against custom metrics during available review states</t>
  </si>
  <si>
    <t>Review configuration matches an active state that permits employee input.</t>
  </si>
  <si>
    <t>1. Launch designated target review record.
2. Input integers inside Self-Evaluation fields.
3. Input mandatory appraisal comments and click Save.</t>
  </si>
  <si>
    <t>KPI Rating: 4, Comments: 'Met targets consistently'.</t>
  </si>
  <si>
    <t>Updates save securely, prompting confirmation message, and update the master review workflow state.</t>
  </si>
  <si>
    <t>Self-appraisal entries are successfully recorded.</t>
  </si>
  <si>
    <t>Self-assessments commit to database perfectly.</t>
  </si>
  <si>
    <t>TC_PERF_017</t>
  </si>
  <si>
    <t>Enforce edit limitations on Completed and Finalized self-reviews</t>
  </si>
  <si>
    <t>Check that form controls toggle to read-only when review lifecycle moves past self-assessment phases</t>
  </si>
  <si>
    <t>Review status is updated to 'Completed' or 'Finalized'.</t>
  </si>
  <si>
    <t>1. Access target completed evaluation sheet.
2. Attempt modifying previously stored rating dropdown inputs or text blocks.</t>
  </si>
  <si>
    <t>Locked evaluation record data.</t>
  </si>
  <si>
    <t>Form text containers and rating metrics remain locked, acting strictly as a read-only document.</t>
  </si>
  <si>
    <t>Final evaluation values are preserved without risk of tampering.</t>
  </si>
  <si>
    <t>Input vectors are fully disabled on completed reviews.</t>
  </si>
  <si>
    <t>TC_PERF_018</t>
  </si>
  <si>
    <t>Enforce strict isolation on other user profile reviews via URL parameters</t>
  </si>
  <si>
    <t>Ensure cross-tenant user record isolation by blocking random ID routing via URL parameter manipulation</t>
  </si>
  <si>
    <t>Standard worker logged in.</t>
  </si>
  <si>
    <t>1. Identify current active review URL path mapping.
2. Change reference id values to fetch another peer worker's private file.</t>
  </si>
  <si>
    <t>Tampered URL string IDs.</t>
  </si>
  <si>
    <t>The application rejects the attempt, drops the transaction, and redirects securely with an access denied warning.</t>
  </si>
  <si>
    <t>Data security boundaries remain uncompromised.</t>
  </si>
  <si>
    <t>Security tokens flag parameter mismatch safely.</t>
  </si>
  <si>
    <t>TC_PERF_019</t>
  </si>
  <si>
    <t>Verify supervisor can access assigned Employee Reviews list for evaluation</t>
  </si>
  <si>
    <t>Verify evaluation list mapping layouts for designated peer reviewers</t>
  </si>
  <si>
    <t>Supervisor privileges active.</t>
  </si>
  <si>
    <t>1. Travel to Performance -&gt; Manage Reviews -&gt; Employee Reviews.
2. Review target candidate items.</t>
  </si>
  <si>
    <t>Supervisor session tracking team members.</t>
  </si>
  <si>
    <t>Grid explicitly returns Employee Name, Job Title, Review Period, Due Date, Review Status, and evaluation tools.</t>
  </si>
  <si>
    <t>Review dashboard is available.</t>
  </si>
  <si>
    <t>Dashboard layout matches exact functional expectations.</t>
  </si>
  <si>
    <t>TC_PERF_020</t>
  </si>
  <si>
    <t>Verify supervisor rating entry and feedback finalization pipeline</t>
  </si>
  <si>
    <t>Ensure appraisers can accurately score candidate metrics, view self-evaluations, and submit reviews</t>
  </si>
  <si>
    <t>Review entry matches active tracking cycle parameters.</t>
  </si>
  <si>
    <t>1. Launch target active employee evaluation window.
2. Observe and verify employee's self-evaluation values.
3. Complete supervisor rating indicators, fill comments, and submit review.</t>
  </si>
  <si>
    <t>Supervisor scores, final comment notes.</t>
  </si>
  <si>
    <t>System commits supervisor metrics, locks relevant layers, and updates the shared status workflow indicator.</t>
  </si>
  <si>
    <t>Supervisor evaluation is recorded and finalized.</t>
  </si>
  <si>
    <t>Appraisal components update and finalize accurately.</t>
  </si>
  <si>
    <t>TC_PERF_021</t>
  </si>
  <si>
    <t>Verify Employee view for assigned personal performance tracker dashboard</t>
  </si>
  <si>
    <t>Ensure individuals see their assigned performance goals and feedback items</t>
  </si>
  <si>
    <t>Logged into active employee account profile.</t>
  </si>
  <si>
    <t>1. Navigate directly to Performance -&gt; My Trackers.
2. Review tracking elements and action logs.</t>
  </si>
  <si>
    <t>Assigned goals dataset.</t>
  </si>
  <si>
    <t>Displays Tracker Name, Employee Name, Assigned Reviewers, Tracker Status, and actions.</t>
  </si>
  <si>
    <t>Goal panel dashboard successfully rendered.</t>
  </si>
  <si>
    <t>Dashboard streams assigned objects clearly.</t>
  </si>
  <si>
    <t>TC_PERF_022</t>
  </si>
  <si>
    <t>Verify Employee capability to record goal updates and notes</t>
  </si>
  <si>
    <t>Confirm milestone note keeping capabilities operate without errors on active logging tracks</t>
  </si>
  <si>
    <t>Active tracker setup allowing user inputs.</t>
  </si>
  <si>
    <t>1. Open targeted personal tracker logs.
2. Type detailed description string updates in Progress Notes and click Save.</t>
  </si>
  <si>
    <t>Progress Notes: 'Completed 95% of training material'.</t>
  </si>
  <si>
    <t>Notes commit securely, pushing changes onto tracking screens with immediate visibility.</t>
  </si>
  <si>
    <t>Progress milestone logged dynamically.</t>
  </si>
  <si>
    <t>Milestones append perfectly to logs.</t>
  </si>
  <si>
    <t>TC_PERF_023</t>
  </si>
  <si>
    <t>Verify Supervisor view for Employee Performance Trackers listing</t>
  </si>
  <si>
    <t>Validate team monitoring interfaces display necessary modified dates and control functions</t>
  </si>
  <si>
    <t>Manager permissions validated.</t>
  </si>
  <si>
    <t>1. Enter Performance -&gt; Employee Trackers module route.
2. Check row item tracking attributes.</t>
  </si>
  <si>
    <t>Team trackers.</t>
  </si>
  <si>
    <t>Grid returns Employee Name, Tracker Name, Assigned Reviewers, Tracker Status, Last Modified Date, and Actions.</t>
  </si>
  <si>
    <t>Manager control grid displays properly.</t>
  </si>
  <si>
    <t>Grid attributes map and load quickly.</t>
  </si>
  <si>
    <t>TC_PERF_024</t>
  </si>
  <si>
    <t>Verify adding progress reviews and supervisory comments to team trackers</t>
  </si>
  <si>
    <t>Validate feedback loops are appended safely to a subordinate's tracking file</t>
  </si>
  <si>
    <t>Assigned as reviewer on target tracker item.</t>
  </si>
  <si>
    <t>1. Launch tracking stream for designated team member.
2. Populate feedback structures and select save controls.</t>
  </si>
  <si>
    <t>Feedback text: 'Excellent sprint delivery, goals met ahead of time'.</t>
  </si>
  <si>
    <t>Comments are saved successfully, tracking logs update, and confirmation notification flashes.</t>
  </si>
  <si>
    <t>Subordinate tracker record lists new manager comment.</t>
  </si>
  <si>
    <t>Feedback threads append cleanly with accurate timestamps.</t>
  </si>
  <si>
    <t>TC_PERF_025</t>
  </si>
  <si>
    <t>Validate pagination states and filter persistence across large review datasets</t>
  </si>
  <si>
    <t>Ensure pagination works correctly and preserves applied search filters</t>
  </si>
  <si>
    <t>System contains large volume of evaluation metadata rows (&gt; 50 records).</t>
  </si>
  <si>
    <t>1. Query a specific filter status.
2. Switch table layouts via navigation buttons to Page 2 and Page 3.</t>
  </si>
  <si>
    <t>Multiple records navigation.</t>
  </si>
  <si>
    <t>System paginates data correctly and preserves original filter criteria.</t>
  </si>
  <si>
    <t>Pagination verified successfully.</t>
  </si>
  <si>
    <t>Grid retains search parameters across pages.</t>
  </si>
  <si>
    <t>TC_PERF_026</t>
  </si>
  <si>
    <t>Verify application resilience against network degradation and expired user sessions</t>
  </si>
  <si>
    <t>Verify mid-transaction connection cuts or timeouts reject incomplete modifications cleanly</t>
  </si>
  <si>
    <t>Review configuration form active.</t>
  </si>
  <si>
    <t>1. Fill evaluation scoring details.
2. Force user session expiration or cut connectivity.
3. Trigger Save actions.</t>
  </si>
  <si>
    <t>Simulated disconnect/timeout.</t>
  </si>
  <si>
    <t>System intercepts action gracefully, displays error notification, blocks changes, and redirects to login.</t>
  </si>
  <si>
    <t>Incomplete or corrupt database edits prevented.</t>
  </si>
  <si>
    <t>Timeout intercepts and handles failure securely.</t>
  </si>
  <si>
    <t>TC_PERF_027</t>
  </si>
  <si>
    <t>Verify responsive layout structures and safe execution pop-up flows</t>
  </si>
  <si>
    <t>Validate responsive scaling on mobile interfaces and confirmation prompts on destructive operations</t>
  </si>
  <si>
    <t>Standard browser access.</t>
  </si>
  <si>
    <t>1. Switch viewport to tablet and mobile screens, verifying layout adjustments.
2. Select Delete on tracking records and check confirmation dialog behavior.</t>
  </si>
  <si>
    <t>Varying screen resolutions.</t>
  </si>
  <si>
    <t>Elements adapt seamlessly to viewports; deleting triggers a confirmation prompt before executing.</t>
  </si>
  <si>
    <t>UI/UX standards verified.</t>
  </si>
  <si>
    <t>Adaptive containers scale perfectly and prompts behave as expected.</t>
  </si>
  <si>
    <t>TC_DASH_001</t>
  </si>
  <si>
    <t>Dashboard</t>
  </si>
  <si>
    <t>US_069</t>
  </si>
  <si>
    <t>Verify Dashboard page accessibility</t>
  </si>
  <si>
    <t>Ensure authorized users can access Dashboard page and view primary dashboard components</t>
  </si>
  <si>
    <t>User logged into the system, User has Dashboard access permission</t>
  </si>
  <si>
    <t>1. Click Dashboard from the left navigation menu_x000D_
2. Wait for page loading to complete_x000D_
3. Verify page header_x000D_
4. Verify dashboard widgets are displayed</t>
  </si>
  <si>
    <t>Authorized HR Manager account</t>
  </si>
  <si>
    <t>Dashboard page opens successfully, Dashboard title is displayed, Dashboard widgets are visible, No page errors are displayed</t>
  </si>
  <si>
    <t>Dashboard page displayed</t>
  </si>
  <si>
    <t>Not Executed</t>
  </si>
  <si>
    <t>TC_DASH_002</t>
  </si>
  <si>
    <t>Verify Dashboard direct URL access</t>
  </si>
  <si>
    <t>Ensure authorized users can access Dashboard using direct URL</t>
  </si>
  <si>
    <t>User logged into the system, User has Dashboard permission</t>
  </si>
  <si>
    <t>1. Enter Dashboard URL in browser_x000D_
2. Press Enter</t>
  </si>
  <si>
    <t>/web/index.php/dashboard/index</t>
  </si>
  <si>
    <t>Dashboard page opens successfully</t>
  </si>
  <si>
    <t>new</t>
  </si>
  <si>
    <t>TC_DASH_003</t>
  </si>
  <si>
    <t>Verify Dashboard loading indicator during data retrieval</t>
  </si>
  <si>
    <t>Ensure loading indicators are displayed while dashboard widgets load data</t>
  </si>
  <si>
    <t>Dashboard contains dynamic widgets</t>
  </si>
  <si>
    <t>1. Open Dashboard page_x000D_
2. Observe widget loading behavior</t>
  </si>
  <si>
    <t>Loading spinner or skeleton is displayed until widget data loads successfully</t>
  </si>
  <si>
    <t>Widgets fully loaded</t>
  </si>
  <si>
    <t>TC_DASH_004</t>
  </si>
  <si>
    <t>Verify Dashboard page load performance</t>
  </si>
  <si>
    <t>Ensure Dashboard loads within required performance threshold</t>
  </si>
  <si>
    <t>User logged into the system</t>
  </si>
  <si>
    <t>1. Open Dashboard page_x000D_
2. Measure page load time_x000D_
3. Measure complete widget rendering time</t>
  </si>
  <si>
    <t>Dashboard loads within the defined performance threshold</t>
  </si>
  <si>
    <t>TC_DASH_005</t>
  </si>
  <si>
    <t>Verify Dashboard widgets are displayed successfully</t>
  </si>
  <si>
    <t>Ensure all required dashboard widgets are displayed after page load</t>
  </si>
  <si>
    <t>User logged into the system, Dashboard page opened successfully</t>
  </si>
  <si>
    <t>1. Open Dashboard page_x000D_
2. Review the dashboard content area_x000D_
3. Verify available widgets</t>
  </si>
  <si>
    <t>Time at Work, My Actions, Quick Launch, Buzz Latest Posts, Employees on Leave Today, Employee Distribution by Sub Unit, and Employee Distribution by Location widgets are displayed successfully</t>
  </si>
  <si>
    <t>Dashboard widgets visible</t>
  </si>
  <si>
    <t>TC_DASH_006</t>
  </si>
  <si>
    <t>Verify Time at Work and My Actions widgets information display</t>
  </si>
  <si>
    <t>Ensure operational widgets display attendance and pending action information correctly</t>
  </si>
  <si>
    <t>Dashboard page opened successfully, Relevant employee data exists</t>
  </si>
  <si>
    <t>1. Open Dashboard page_x000D_
2. Locate Time at Work widget_x000D_
3. Verify attendance information is displayed_x000D_
4. Verify weekly hours chart is displayed_x000D_
5. Locate My Actions widget_x000D_
6. Verify pending actions are displayed</t>
  </si>
  <si>
    <t>Employee attendance and action records</t>
  </si>
  <si>
    <t>Time at Work widget displays attendance information and weekly hours chart. My Actions widget displays available pending actions correctly.</t>
  </si>
  <si>
    <t>Widget information verified</t>
  </si>
  <si>
    <t>TC_DASH_007</t>
  </si>
  <si>
    <t>Verify Quick Launch and Buzz Latest Posts widgets display</t>
  </si>
  <si>
    <t>Ensure navigation shortcuts and latest posts feed are displayed correctly</t>
  </si>
  <si>
    <t>Dashboard page opened successfully</t>
  </si>
  <si>
    <t>1. Locate Quick Launch widget_x000D_
2. Verify shortcut icons are displayed_x000D_
3. Locate Buzz Latest Posts widget_x000D_
4. Verify latest posts feed is displayed_x000D_
5. Verify feed can be scrolled when records exceed visible area</t>
  </si>
  <si>
    <t>Available Buzz posts</t>
  </si>
  <si>
    <t>Quick Launch shortcuts are displayed correctly. Buzz Latest Posts widget displays latest posts and supports scrolling when applicable.</t>
  </si>
  <si>
    <t>Widget display verified</t>
  </si>
  <si>
    <t>TC_DASH_008</t>
  </si>
  <si>
    <t>Verify employee distribution and leave information widgets display</t>
  </si>
  <si>
    <t>Ensure employee leave records and distribution charts are displayed correctly</t>
  </si>
  <si>
    <t>Dashboard page opened successfully, Employee records exist</t>
  </si>
  <si>
    <t>1. Locate Employees on Leave Today widget_x000D_
2. Verify employee records are displayed_x000D_
3. Verify employee photo is displayed_x000D_
4. Verify employee name is displayed_x000D_
5. Verify leave type is displayed_x000D_
6. Verify employee ID is displayed_x000D_
7. Locate Employee Distribution by Sub Unit widget_x000D_
8. Verify pie chart and legends are displayed_x000D_
9. Locate Employee Distribution by Location widget_x000D_
10. Verify pie chart and legends are displayed</t>
  </si>
  <si>
    <t>Existing employee and leave records</t>
  </si>
  <si>
    <t>Leave widget displays employee photo, name, leave type, and employee ID. Employee Distribution by Sub Unit and Employee Distribution by Location charts are displayed correctly. Legends match chart data.</t>
  </si>
  <si>
    <t>Dashboard reporting widgets verified</t>
  </si>
  <si>
    <t>TC_DASH_009</t>
  </si>
  <si>
    <t>Verify Assign Leave shortcut navigation</t>
  </si>
  <si>
    <t>Ensure the Assign Leave shortcut redirects the user to the Leave creation form</t>
  </si>
  <si>
    <t>User logged into the system, Dashboard page opened successfully, Quick Launch widget displayed, User has Leave management permission</t>
  </si>
  <si>
    <t>1. Open Dashboard page_x000D_
2. Locate Quick Launch widget_x000D_
3. Click Assign Leave shortcut</t>
  </si>
  <si>
    <t>Assign Leave page opens successfully, Leave assignment form is displayed, User session remains active, Navigation occurs without errors</t>
  </si>
  <si>
    <t>Assign Leave form displayed</t>
  </si>
  <si>
    <t>TC_DASH_010</t>
  </si>
  <si>
    <t>Verify Apply Leave shortcut navigation</t>
  </si>
  <si>
    <t>Ensure the Apply Leave shortcut redirects the user to the Leave application form</t>
  </si>
  <si>
    <t>User logged into the system, Dashboard page opened successfully, Quick Launch widget displayed, User has Leave access permission</t>
  </si>
  <si>
    <t>1. Open Dashboard page_x000D_
2. Locate Quick Launch widget_x000D_
3. Click Apply Leave shortcut</t>
  </si>
  <si>
    <t>Apply Leave page opens successfully, Leave application form is displayed, User session remains active, Navigation occurs without errors</t>
  </si>
  <si>
    <t>Apply Leave form displayed</t>
  </si>
  <si>
    <t>TC_DASH_011</t>
  </si>
  <si>
    <t>Verify Quick Launch shortcuts preserve user context</t>
  </si>
  <si>
    <t>Ensure navigation initiated from Quick Launch maintains the logged-in user's context and permissions</t>
  </si>
  <si>
    <t>User logged into the system, Dashboard page opened successfully, Quick Launch widget displayed</t>
  </si>
  <si>
    <t>1. Click Assign Leave shortcut_x000D_
2. Return to Dashboard_x000D_
3. Click Apply Leave shortcut_x000D_
4. Verify user information and permissions</t>
  </si>
  <si>
    <t>HR Manager account</t>
  </si>
  <si>
    <t>User remains authenticated after redirection, User permissions are preserved, Target forms load according to assigned role permissions, No re-authentication is required</t>
  </si>
  <si>
    <t>User context maintained across modules</t>
  </si>
  <si>
    <t>TC_DASH_012</t>
  </si>
  <si>
    <t>Verify Punch In modal opens from Time at Work widget</t>
  </si>
  <si>
    <t>Ensure the Punch In modal is displayed when the user clicks the timer icon while in Punched Out status</t>
  </si>
  <si>
    <t>User logged into the system, Dashboard page opened successfully, Time at Work widget displayed, User attendance status is Punched Out</t>
  </si>
  <si>
    <t>1. Open Dashboard page_x000D_
2. Locate Time at Work widget_x000D_
3. Click the stopwatch/timer icon</t>
  </si>
  <si>
    <t>Employee account with Punched Out status</t>
  </si>
  <si>
    <t>Punch In modal opens successfully, Current attendance information is displayed, Notes field is available, Punch In action button is displayed</t>
  </si>
  <si>
    <t>Punch In modal displayed</t>
  </si>
  <si>
    <t>TC_DASH_013</t>
  </si>
  <si>
    <t>Verify user can enter attendance notes before Punch In</t>
  </si>
  <si>
    <t>Ensure the Punch In modal allows the user to enter attendance notes</t>
  </si>
  <si>
    <t>User logged into the system, Punch In modal opened</t>
  </si>
  <si>
    <t>1. Open Punch In modal from Time at Work widget_x000D_
2. Enter text in the Notes field_x000D_
3. Verify entered value is accepted</t>
  </si>
  <si>
    <t>Note: Starting morning shift</t>
  </si>
  <si>
    <t>Notes field accepts valid input, Entered note remains visible before submission</t>
  </si>
  <si>
    <t>Punch In form populated with note</t>
  </si>
  <si>
    <t>TC_DASH_014</t>
  </si>
  <si>
    <t>Verify successful Punch In from Dashboard widget</t>
  </si>
  <si>
    <t>Ensure the user can change attendance status from Punched Out to Punched In directly from the Dashboard</t>
  </si>
  <si>
    <t>User logged into the system, Dashboard page opened successfully, User attendance status is Punched Out, Punch In modal displayed</t>
  </si>
  <si>
    <t>1. Open Punch In modal from Time at Work widget_x000D_
2. Enter attendance note (optional)_x000D_
3. Click Punch In button</t>
  </si>
  <si>
    <t>Attendance record is created successfully, User status changes to Punched In, Success confirmation message is displayed, Time at Work widget reflects the updated attendance state</t>
  </si>
  <si>
    <t>User attendance status updated to Punched In</t>
  </si>
  <si>
    <t>TC_DASH_015</t>
  </si>
  <si>
    <t>Verify Delete option is available for manageable Buzz posts</t>
  </si>
  <si>
    <t>Ensure authorized users can access the Delete action from Buzz Latest Posts records</t>
  </si>
  <si>
    <t>User logged into the system, Dashboard page opened successfully, Buzz Latest Posts widget displayed, User owns the post or has permission to manage the post</t>
  </si>
  <si>
    <t>1. Open Dashboard page_x000D_
2. Locate a manageable post in Buzz Latest Posts widget_x000D_
3. Click the action dropdown menu_x000D_
4. Observe available actions</t>
  </si>
  <si>
    <t>Existing Buzz post</t>
  </si>
  <si>
    <t>Action dropdown is displayed, Delete option is available for authorized users</t>
  </si>
  <si>
    <t>Delete action available</t>
  </si>
  <si>
    <t>TC_DASH_016</t>
  </si>
  <si>
    <t>Verify delete confirmation modal appears for Buzz posts</t>
  </si>
  <si>
    <t>Ensure a confirmation dialog is displayed before deleting a Buzz post</t>
  </si>
  <si>
    <t>User logged into the system, User has permission to delete the selected post</t>
  </si>
  <si>
    <t>1. Open Dashboard page_x000D_
2. Locate a manageable Buzz post_x000D_
3. Click the action dropdown_x000D_
4. Select Delete</t>
  </si>
  <si>
    <t>Confirmation modal is displayed, Confirmation message is shown, Cancel button is displayed, Yes, Delete button is displayed</t>
  </si>
  <si>
    <t>Delete confirmation modal displayed</t>
  </si>
  <si>
    <t>TC_DASH_017</t>
  </si>
  <si>
    <t>Verify deletion cancellation for Buzz posts</t>
  </si>
  <si>
    <t>Ensure post deletion is cancelled when the user selects Cancel</t>
  </si>
  <si>
    <t>1. Trigger post deletion_x000D_
2. Wait for confirmation modal_x000D_
3. Click Cancel</t>
  </si>
  <si>
    <t>Confirmation modal closes, Post remains visible, No data is deleted</t>
  </si>
  <si>
    <t>Original post remains unchanged</t>
  </si>
  <si>
    <t>TC_DASH_018</t>
  </si>
  <si>
    <t>Verify successful Buzz post deletion</t>
  </si>
  <si>
    <t>Ensure the selected Buzz post is deleted successfully after confirmation</t>
  </si>
  <si>
    <t>Delete confirmation modal displayed, User has delete permission</t>
  </si>
  <si>
    <t>1. Trigger post deletion_x000D_
2. Wait for confirmation modal_x000D_
3. Click Yes, Delete</t>
  </si>
  <si>
    <t>Post is deleted successfully, Confirmation modal closes, Post is removed from the feed immediately, Success message is displayed</t>
  </si>
  <si>
    <t>Selected post removed</t>
  </si>
  <si>
    <t>TC_DASH_019</t>
  </si>
  <si>
    <t>Verify navigation to Leave List from Quick Launch</t>
  </si>
  <si>
    <t>Ensure users can access the Leave List page from the Dashboard</t>
  </si>
  <si>
    <t>1. Open Dashboard page_x000D_
2. Locate Quick Launch widget_x000D_
3. Click Leave List shortcut</t>
  </si>
  <si>
    <t>Leave List page opens successfully, Leave records grid is displayed</t>
  </si>
  <si>
    <t>Leave List page displayed</t>
  </si>
  <si>
    <t>TC_DASH_020</t>
  </si>
  <si>
    <t>Verify multi-record selection in Leave List</t>
  </si>
  <si>
    <t>Ensure users can select multiple records for batch actions</t>
  </si>
  <si>
    <t>Leave List page opened, Multiple leave records exist</t>
  </si>
  <si>
    <t>1. Open Leave List page_x000D_
2. Select multiple record checkboxes_x000D_
3. Observe available actions</t>
  </si>
  <si>
    <t>Multiple leave records</t>
  </si>
  <si>
    <t>Multiple records can be selected successfully, Batch action controls become available</t>
  </si>
  <si>
    <t>Multiple records selected</t>
  </si>
  <si>
    <t>TC_DASH_021</t>
  </si>
  <si>
    <t>Verify batch deletion confirmation for selected records</t>
  </si>
  <si>
    <t>Ensure system validates selected records and displays aggregated deletion confirmation before executing batch deletion</t>
  </si>
  <si>
    <t>Multiple records selected in Leave List, Delete Selected action available</t>
  </si>
  <si>
    <t>1. Select multiple leave records_x000D_
2. Click Delete Selected_x000D_
3. Observe validation and confirmation behavior</t>
  </si>
  <si>
    <t>Multiple leave records with valid Employee IDs</t>
  </si>
  <si>
    <t>System validates selected records, Dependency validation executed when applicable, Confirmation dialog displayed, Total number of selected records shown, Deletion not executed until confirmation</t>
  </si>
  <si>
    <t>Batch deletion awaiting confirmation</t>
  </si>
  <si>
    <t>TC_DASH_022</t>
  </si>
  <si>
    <t>Verify real-time sidebar module filtering</t>
  </si>
  <si>
    <t>Ensure sidebar navigation items are filtered dynamically based on user search input</t>
  </si>
  <si>
    <t>User logged into the system, Dashboard page opened successfully, Sidebar navigation is visible</t>
  </si>
  <si>
    <t>1. Focus on the sidebar search input field_x000D_
2. Enter keyword 'PIM'_x000D_
3. Observe sidebar menu updates in real-time_x000D_
4. Clear search input_x000D_
5. Enter keyword 'Leave'_x000D_
6. Observe filtered results again</t>
  </si>
  <si>
    <t>Keywords: PIM, Leave</t>
  </si>
  <si>
    <t>Sidebar filters modules dynamically as user types, Only matching modules are displayed, Non-matching modules are hidden instantly, Clearing input restores full navigation menu</t>
  </si>
  <si>
    <t>Sidebar navigation reflects filtered state</t>
  </si>
  <si>
    <t>TC_DASH_023</t>
  </si>
  <si>
    <t>Validate empty post submission in Buzz Latest Posts widget</t>
  </si>
  <si>
    <t>Ensure system prevents submission of empty posts in Buzz interaction field</t>
  </si>
  <si>
    <t>User logged into the system, Dashboard page opened successfully, Buzz Latest Posts widget is visible</t>
  </si>
  <si>
    <t>1. Open Dashboard page_x000D_
2. Navigate to Buzz Latest Posts widget_x000D_
3. Click on post input field_x000D_
4. Leave text field empty_x000D_
5. Click Post/Submit button</t>
  </si>
  <si>
    <t>Empty text input</t>
  </si>
  <si>
    <t>System prevents post submission, Inline validation message is displayed: 'Field cannot be empty', No post is created in the feed</t>
  </si>
  <si>
    <t>No new post is added</t>
  </si>
  <si>
    <t>TC_DASH_024</t>
  </si>
  <si>
    <t>Validate unsupported file upload in Buzz Latest Posts widget</t>
  </si>
  <si>
    <t>Ensure system blocks unsupported file formats during upload</t>
  </si>
  <si>
    <t>User logged into the system, Buzz Latest Posts widget available</t>
  </si>
  <si>
    <t>1. Open Buzz Latest Posts widget_x000D_
2. Click attachment/upload option_x000D_
3. Select unsupported file type (.exe)_x000D_
4. Attempt to upload/post</t>
  </si>
  <si>
    <t>File: sample.exe</t>
  </si>
  <si>
    <t>System blocks file upload, Inline validation message is displayed: 'Unsupported file format', File is not attached to post, Post submission is prevented if required</t>
  </si>
  <si>
    <t>No invalid file uploaded</t>
  </si>
  <si>
    <t>TC_DASH_025</t>
  </si>
  <si>
    <t>Validate empty state handling in Employees on Leave Today widget</t>
  </si>
  <si>
    <t>Ensure the widget properly displays a user-friendly empty state when no leave records exist</t>
  </si>
  <si>
    <t>User logged into the system, Dashboard page opened successfully, Employees on Leave Today widget is visible, No employees are on leave for the current date</t>
  </si>
  <si>
    <t>1. Open Dashboard page_x000D_
2. Locate Employees on Leave Today widget_x000D_
3. Ensure no leave records exist for current date_x000D_
4. Observe widget rendering behavior</t>
  </si>
  <si>
    <t>No leave records for current date</t>
  </si>
  <si>
    <t>Widget does not display broken layout or empty table/grid, Centralized empty state message is displayed: 'No Employees on Leave Today', UI remains visually consistent and aligned</t>
  </si>
  <si>
    <t>Empty state UI displayed correctly</t>
  </si>
  <si>
    <t>TC_DASH_026</t>
  </si>
  <si>
    <t>Validate empty state UI consistency for Employees on Leave Today widget across page refresh</t>
  </si>
  <si>
    <t>Ensure empty state remains consistent after page reload without UI breaking or data rendering issues</t>
  </si>
  <si>
    <t>User logged into system, Dashboard page opened successfully, No employees on leave today</t>
  </si>
  <si>
    <t>1. Open Dashboard page_x000D_
2. Confirm Employees on Leave Today widget shows empty state_x000D_
3. Refresh the page (F5 / Ctrl+R)_x000D_
4. Re-check widget rendering</t>
  </si>
  <si>
    <t>No leave records available</t>
  </si>
  <si>
    <t>Empty state message persists after refresh, UI layout remains stable, No flickering or broken grid appears</t>
  </si>
  <si>
    <t>Empty state maintained after reload</t>
  </si>
  <si>
    <t>TC_DASH_027</t>
  </si>
  <si>
    <t>Validate empty state responsiveness on different screen sizes</t>
  </si>
  <si>
    <t>Ensure empty state message adapts properly on mobile, tablet, and desktop views</t>
  </si>
  <si>
    <t>User logged into the system, Dashboard page opened, No leave records exist</t>
  </si>
  <si>
    <t>1. Open Dashboard page_x000D_
2. Locate Employees on Leave Today widget_x000D_
3. Switch between mobile, tablet, and desktop viewports_x000D_
4. Observe empty state behavior</t>
  </si>
  <si>
    <t>Empty state message remains centered and readable, No UI overlap or cutoff occurs, Widget maintains responsive layout</t>
  </si>
  <si>
    <t>Responsive empty state confirmed</t>
  </si>
  <si>
    <t>TC_DASH_028</t>
  </si>
  <si>
    <t>Validate empty state message localization readiness</t>
  </si>
  <si>
    <t>Ensure empty state text supports localization structure if language switching is enabled</t>
  </si>
  <si>
    <t>User logged into system, Dashboard loaded, No employees on leave today</t>
  </si>
  <si>
    <t>1. Open Dashboard page_x000D_
2. Locate Employees on Leave Today widget_x000D_
3. Verify empty state message rendering_x000D_
4. Check if text is fetched from UI language resource</t>
  </si>
  <si>
    <t>Default language (English)</t>
  </si>
  <si>
    <t>Empty state message is displayed from translation resource, No hardcoded text breaking localization system, Message remains: 'No Employees on Leave Today'</t>
  </si>
  <si>
    <t>Localization-ready UI confirmed</t>
  </si>
  <si>
    <t>TC_DASH_029</t>
  </si>
  <si>
    <t>Validate no UI artifacts when widget loads empty dataset asynchronously</t>
  </si>
  <si>
    <t>Ensure async loading does not briefly show broken or empty table before rendering empty state</t>
  </si>
  <si>
    <t>User logged into system, Dashboard opened, No leave data available</t>
  </si>
  <si>
    <t>1. Open Dashboard page_x000D_
2. Observe Employees on Leave Today widget during loading phase_x000D_
3. Wait for full render</t>
  </si>
  <si>
    <t>Empty dataset returned from API</t>
  </si>
  <si>
    <t>No flicker of broken grid or skeleton mismatch, Proper empty state displayed after load completes, Smooth transition from loading to empty state</t>
  </si>
  <si>
    <t>Clean async rendering confirmed</t>
  </si>
  <si>
    <t>TC_DASH_030</t>
  </si>
  <si>
    <t>Validate empty state accessibility (screen reader support)</t>
  </si>
  <si>
    <t>Ensure empty state message is accessible for assistive technologies</t>
  </si>
  <si>
    <t>User logged into system, Dashboard page opened, No employees on leave today, Screen reader enabled</t>
  </si>
  <si>
    <t>1. Open Dashboard page_x000D_
2. Navigate to Employees on Leave Today widget using keyboard/tab_x000D_
3. Observe screen reader output</t>
  </si>
  <si>
    <t>No leave data available</t>
  </si>
  <si>
    <t>Screen reader reads empty state message correctly, Widget is accessible via keyboard navigation, No missing ARIA labels or hidden content issues</t>
  </si>
  <si>
    <t>Accessibility compliance verified</t>
  </si>
  <si>
    <t>TC_DASH_031</t>
  </si>
  <si>
    <t>Validate lazy loading trigger when scrolling Buzz Latest Posts widget</t>
  </si>
  <si>
    <t>Ensure system triggers API call when user reaches bottom of feed</t>
  </si>
  <si>
    <t>User logged into the system, Dashboard page opened successfully, Buzz Latest Posts widget contains more than 5 posts</t>
  </si>
  <si>
    <t>1. Open Dashboard page_x000D_
2. Scroll inside Buzz Latest Posts widget_x000D_
3. Reach bottom threshold of widget viewport_x000D_
4. Observe network/API activity</t>
  </si>
  <si>
    <t>More than 5 Buzz posts available</t>
  </si>
  <si>
    <t>System triggers asynchronous API call automatically, Next page of posts is fetched, No full page reload occurs</t>
  </si>
  <si>
    <t>Additional posts loaded dynamically</t>
  </si>
  <si>
    <t>TC_DASH_032</t>
  </si>
  <si>
    <t>Validate smooth append of newly loaded Buzz posts</t>
  </si>
  <si>
    <t>Ensure newly fetched posts are appended without UI disruption</t>
  </si>
  <si>
    <t>Lazy loading triggered successfully, Previous posts already displayed</t>
  </si>
  <si>
    <t>1. Scroll to trigger lazy loading_x000D_
2. Wait for new posts to load_x000D_
3. Observe feed behavior</t>
  </si>
  <si>
    <t>Paginated post dataset</t>
  </si>
  <si>
    <t>New posts are appended below existing posts, No UI flicker or layout shift, Existing posts remain unchanged</t>
  </si>
  <si>
    <t>Feed extended smoothly</t>
  </si>
  <si>
    <t>TC_DASH_033</t>
  </si>
  <si>
    <t>Validate pagination does not duplicate existing Buzz posts</t>
  </si>
  <si>
    <t>Ensure API pagination returns unique records only</t>
  </si>
  <si>
    <t>Multiple pages of Buzz posts exist, Lazy loading triggered</t>
  </si>
  <si>
    <t>1. Scroll to bottom of Buzz Latest Posts_x000D_
2. Trigger next page load_x000D_
3. Compare newly loaded posts with previous ones</t>
  </si>
  <si>
    <t>Paginated dataset with known IDs</t>
  </si>
  <si>
    <t>No duplicate posts appear, Each record is unique per page load</t>
  </si>
  <si>
    <t>TC_DASH_034</t>
  </si>
  <si>
    <t>Validate lazy loading performance under repeated scroll actions</t>
  </si>
  <si>
    <t>Ensure system handles continuous scrolling without lag or performance degradation</t>
  </si>
  <si>
    <t>Multiple pages of Buzz posts available, Dashboard page opened</t>
  </si>
  <si>
    <t>1. Continuously scroll inside Buzz widget_x000D_
2. Trigger lazy loading multiple times_x000D_
3. Observe performance (UI + network)</t>
  </si>
  <si>
    <t>Large dataset (10+ pages)</t>
  </si>
  <si>
    <t>System loads data progressively, No freezing or UI lag, Performance remains stable across multiple loads</t>
  </si>
  <si>
    <t>Stable infinite scrolling behavior</t>
  </si>
  <si>
    <t>TC_DASH_035</t>
  </si>
  <si>
    <t>Validate lazy loading failure handling in Buzz Latest Posts</t>
  </si>
  <si>
    <t>Ensure system handles API failure during pagination gracefully</t>
  </si>
  <si>
    <t>Dashboard loaded, Buzz widget contains multiple pages, Simulated network/API failure enabled</t>
  </si>
  <si>
    <t>1. Scroll to bottom of Buzz widget_x000D_
2. Trigger lazy loading request_x000D_
3. Simulate API failure response_x000D_
4. Observe system behavior</t>
  </si>
  <si>
    <t>Mock failed API response (500 / timeout)</t>
  </si>
  <si>
    <t>System displays appropriate error or retry state, Existing posts remain visible, No partial or corrupted data is appended</t>
  </si>
  <si>
    <t>System remains stable after failure</t>
  </si>
  <si>
    <t>TC_DASH_036</t>
  </si>
  <si>
    <t>Validate success toast notification after successful punch update</t>
  </si>
  <si>
    <t>Ensure system displays success toast after successful server-side transaction</t>
  </si>
  <si>
    <t>User logged into the system, Dashboard page opened successfully, User performs valid inline action (e.g., punch timestamp update)</t>
  </si>
  <si>
    <t>1. Open Dashboard page_x000D_
2. Navigate to Time at Work widget_x000D_
3. Perform valid punch update action_x000D_
4. Submit/save the change_x000D_
5. Observe UI notifications</t>
  </si>
  <si>
    <t>Valid punch timestamp update</t>
  </si>
  <si>
    <t>Green toast notification appears at top-right corner, Message displayed: 'Success: Successfully Saved', Toast appears without page reload, Notification disappears automatically after timeout</t>
  </si>
  <si>
    <t>Action successfully saved and confirmed</t>
  </si>
  <si>
    <t>TC_DASH_037</t>
  </si>
  <si>
    <t>Validate toast notification positioning and UI consistency</t>
  </si>
  <si>
    <t>Ensure success toast appears in correct location without overlapping UI components</t>
  </si>
  <si>
    <t>Successful action executed</t>
  </si>
  <si>
    <t>1. Trigger successful save action_x000D_
2. Observe toast placement_x000D_
3. Check layout with other widgets visible</t>
  </si>
  <si>
    <t>Any successful inline update</t>
  </si>
  <si>
    <t>Toast appears at top-right corner, Does not overlap critical UI elements, Maintains consistent styling across dashboard</t>
  </si>
  <si>
    <t>UI layout remains unaffected</t>
  </si>
  <si>
    <t>TC_DASH_038</t>
  </si>
  <si>
    <t>Validate toast auto-dismiss behavior</t>
  </si>
  <si>
    <t>Ensure success message disappears automatically after configured timeout</t>
  </si>
  <si>
    <t>Success toast is displayed</t>
  </si>
  <si>
    <t>1. Trigger successful action_x000D_
2. Wait for toast to appear_x000D_
3. Observe toast duration_x000D_
4. Do not interact with toast</t>
  </si>
  <si>
    <t>Successful transaction</t>
  </si>
  <si>
    <t>Toast disappears automatically after timeout, No manual intervention required, UI remains clean after dismissal</t>
  </si>
  <si>
    <t>Toast removed from screen</t>
  </si>
  <si>
    <t>TC_DASH_039</t>
  </si>
  <si>
    <t>Validate multiple rapid success actions generate separate toast messages</t>
  </si>
  <si>
    <t>Ensure multiple actions trigger independent notifications without overwriting</t>
  </si>
  <si>
    <t>User can perform repeated actions quickly</t>
  </si>
  <si>
    <t>1. Perform first valid save action_x000D_
2. Immediately perform second save action_x000D_
3. Observe toast behavior</t>
  </si>
  <si>
    <t>Multiple valid updates</t>
  </si>
  <si>
    <t>Each action triggers separate toast, Messages stack or queue properly, No message overwrites another</t>
  </si>
  <si>
    <t>All actions confirmed individually</t>
  </si>
  <si>
    <t>TC_DASH_040</t>
  </si>
  <si>
    <t>Validate error toast notification on failed server transaction</t>
  </si>
  <si>
    <t>Ensure system shows error toast if backend update fails</t>
  </si>
  <si>
    <t>Dashboard loaded, Simulated server error enabled</t>
  </si>
  <si>
    <t>1. Perform inline update (punch modification)_x000D_
2. Force backend failure response (500 / timeout)_x000D_
3. Observe toast notification</t>
  </si>
  <si>
    <t>Invalid server response simulation</t>
  </si>
  <si>
    <t>Red error toast appears, Message indicates failure: 'Error: Unable to save changes', No success message is shown, Data is not updated in UI</t>
  </si>
  <si>
    <t>TC_DASH_041</t>
  </si>
  <si>
    <t>Validate error toast notification on server failure during widget update</t>
  </si>
  <si>
    <t>Ensure system displays proper error toast when asynchronous widget update fails with server error</t>
  </si>
  <si>
    <t>User logged into the system, Dashboard page opened successfully, Network or backend failure is simulated (HTTP 500)</t>
  </si>
  <si>
    <t>1. Open Dashboard page_x000D_
2. Trigger any widget update action (e.g., punch update or quick action save)_x000D_
3. Simulate server error response (500 Internal Server Error)_x000D_
4. Observe toast notification behavior</t>
  </si>
  <si>
    <t>Simulated API failure response (HTTP 500)</t>
  </si>
  <si>
    <t>Red toast notification appears, Message displayed: 'Error: Something went wrong. Please try again', No partial or corrupted data is rendered, UI remains stable without breaking layout</t>
  </si>
  <si>
    <t>No invalid state persisted in system</t>
  </si>
  <si>
    <t>TC_DASH_042</t>
  </si>
  <si>
    <t>Validate fallback retry button inside failed widget container</t>
  </si>
  <si>
    <t>Ensure system provides a retry option when widget fails to load due to server error</t>
  </si>
  <si>
    <t>Dashboard page loaded, Widget API failure simulated</t>
  </si>
  <si>
    <t>1. Trigger widget load (e.g., Buzz / Time at Work / My Actions)_x000D_
2. Simulate server error (HTTP 500)_x000D_
3. Observe affected widget container</t>
  </si>
  <si>
    <t>Failed API response</t>
  </si>
  <si>
    <t>Widget frame displays fallback UI, Retry button is visible inside failed widget area, Localized error message is shown, No broken or blank UI components appear</t>
  </si>
  <si>
    <t>User can retry loading widget data</t>
  </si>
  <si>
    <t>TC_DASH_043</t>
  </si>
  <si>
    <t>Validate retry action restores widget data after failure</t>
  </si>
  <si>
    <t>Ensure retry mechanism correctly reloads widget after failure</t>
  </si>
  <si>
    <t>Widget previously failed to load, Retry button visible</t>
  </si>
  <si>
    <t>1. Cause widget load failure_x000D_
2. Click Retry button_x000D_
3. Wait for API response recovery_x000D_
4. Observe widget reload behavior</t>
  </si>
  <si>
    <t>Recovered API response after retry</t>
  </si>
  <si>
    <t>Widget reloads successfully, Data is rendered correctly after retry, Error state disappears, No duplicate UI instances created</t>
  </si>
  <si>
    <t>Widget restored to functional state</t>
  </si>
  <si>
    <t>TC_DASH_044</t>
  </si>
  <si>
    <t>Validate UI stability during server failure across multiple widgets</t>
  </si>
  <si>
    <t>Ensure one widget failure does not affect other dashboard widgets</t>
  </si>
  <si>
    <t>Multiple widgets loaded on dashboard, One API failure simulated</t>
  </si>
  <si>
    <t>1. Load Dashboard page_x000D_
2. Simulate failure for one widget (e.g., Buzz Latest Posts)_x000D_
3. Observe other widgets (Time at Work, My Actions, charts)</t>
  </si>
  <si>
    <t>Partial API failure (single widget)</t>
  </si>
  <si>
    <t>Only failed widget shows error state, Other widgets remain functional and unchanged, No cascade UI failure occurs</t>
  </si>
  <si>
    <t>Partial system failure isolated correctly</t>
  </si>
  <si>
    <t>TC_DASH_045</t>
  </si>
  <si>
    <t>Validate toast + fallback UI coexistence behavior during failure</t>
  </si>
  <si>
    <t>Ensure error toast and widget fallback UI appear together without UI conflict</t>
  </si>
  <si>
    <t>Dashboard loaded, Server error triggered (HTTP 500)</t>
  </si>
  <si>
    <t>1. Trigger widget action or load_x000D_
2. Simulate server failure_x000D_
3. Observe toast notification_x000D_
4. Observe widget fallback UI</t>
  </si>
  <si>
    <t>Red error toast is displayed, Widget shows fallback retry UI, No UI overlap or flickering occurs, Both error handling mechanisms work simultaneously</t>
  </si>
  <si>
    <t>User clearly informed and provided recovery option</t>
  </si>
  <si>
    <t>TC_DASH_046</t>
  </si>
  <si>
    <t>Validate RBAC enforcement for unauthorized dashboard access</t>
  </si>
  <si>
    <t>Ensure system blocks unauthorized users from accessing dashboard URL directly</t>
  </si>
  <si>
    <t>User is either unauthenticated OR has insufficient role permissions, Dashboard URL is known (/dashboard/index)</t>
  </si>
  <si>
    <t>1. Open browser_x000D_
2. Enter direct dashboard URL (/dashboard/index)_x000D_
3. Attempt to access page without valid HR Manager role_x000D_
4. Observe system response</t>
  </si>
  <si>
    <t>Unauthenticated user OR limited-role user (Employee role only), URL: /dashboard/index</t>
  </si>
  <si>
    <t>System blocks access immediately, HTTP 403 Forbidden is returned, User is redirected to login page, No dashboard content is rendered</t>
  </si>
  <si>
    <t>Unauthorized access attempt logged and denied</t>
  </si>
  <si>
    <t>TC_DASH_047</t>
  </si>
  <si>
    <t>Validate secure redirection after unauthorized access attempt</t>
  </si>
  <si>
    <t>Ensure system redirects unauthorized users cleanly to authentication page</t>
  </si>
  <si>
    <t>User not authorized for dashboard access</t>
  </si>
  <si>
    <t>1. Attempt direct access to dashboard URL_x000D_
2. Observe redirection behavior_x000D_
3. Check final landing page</t>
  </si>
  <si>
    <t>Invalid session / expired token</t>
  </si>
  <si>
    <t>User is redirected to login page, No dashboard UI is partially rendered, URL does not remain on dashboard route, Session state is cleared if invalid</t>
  </si>
  <si>
    <t>User forced into authentication flow</t>
  </si>
  <si>
    <t>TC_DASH_048</t>
  </si>
  <si>
    <t>Validate role-based restriction for non-HR Manager users</t>
  </si>
  <si>
    <t>Ensure only authorized roles (HR Manager) can access dashboard features</t>
  </si>
  <si>
    <t>User logged in with restricted role (Employee)</t>
  </si>
  <si>
    <t>1. Login as non-HR role user_x000D_
2. Attempt to access dashboard via UI navigation_x000D_
3. Attempt to access widgets directly via URL manipulation</t>
  </si>
  <si>
    <t>Role = Employee</t>
  </si>
  <si>
    <t>Dashboard access is denied, HTTP 403 or equivalent security response returned, No widgets are visible or partially loaded, Access denied message or redirect shown</t>
  </si>
  <si>
    <t>RBAC enforced successfully</t>
  </si>
  <si>
    <t>TC_DASH_049</t>
  </si>
  <si>
    <t>Validate session expiration handling during dashboard access</t>
  </si>
  <si>
    <t>Ensure expired sessions cannot access dashboard content</t>
  </si>
  <si>
    <t>User session expired, User attempts to access dashboard</t>
  </si>
  <si>
    <t>1. Expire session manually or via timeout_x000D_
2. Try accessing dashboard page_x000D_
3. Observe system behavior</t>
  </si>
  <si>
    <t>Expired authentication token</t>
  </si>
  <si>
    <t>System rejects request, Redirects user to login page, No dashboard data is loaded, Security headers prevent cached access</t>
  </si>
  <si>
    <t>Session safely invalidated</t>
  </si>
  <si>
    <t>TC_DASH_050</t>
  </si>
  <si>
    <t>Validate prevention of dashboard access via cached browser back navigation</t>
  </si>
  <si>
    <t>Ensure unauthorized users cannot bypass security using browser cache/back button</t>
  </si>
  <si>
    <t>User previously accessed dashboard, Session is now invalid or expired</t>
  </si>
  <si>
    <t>1. Log in and access dashboard_x000D_
2. Logout or expire session_x000D_
3. Press browser back button_x000D_
4. Observe dashboard rendering</t>
  </si>
  <si>
    <t>Expired session + browser cache state</t>
  </si>
  <si>
    <t>Dashboard does not render cached content, System revalidates authentication, Redirect to login page occurs, No sensitive data displayed</t>
  </si>
  <si>
    <t>Cache-based bypass prevented</t>
  </si>
  <si>
    <t>TC_DASH_051</t>
  </si>
  <si>
    <t>Validate dashboard responsive layout reflow</t>
  </si>
  <si>
    <t>Ensure dashboard adapts correctly to different screen sizes and collapses navigation menu</t>
  </si>
  <si>
    <t>User logged in + dashboard loaded</t>
  </si>
  <si>
    <t>1. Open dashboard
2. Resize browser window below desktop breakpoint
3. Observe layout changes</t>
  </si>
  <si>
    <t>1920px → 1024px → 768px</t>
  </si>
  <si>
    <t>Widgets reflow into stacked columns (1–2 columns)
Navigation collapses into icon drawer with toggle button</t>
  </si>
  <si>
    <t>Responsive layout active</t>
  </si>
  <si>
    <t>Not executed</t>
  </si>
  <si>
    <t>Not Run</t>
  </si>
  <si>
    <t>TC_DASH_052</t>
  </si>
  <si>
    <t>Validate sidebar collapse behavior</t>
  </si>
  <si>
    <t>Ensure navigation collapses into compact icon-only mode on smaller screens</t>
  </si>
  <si>
    <t>Dashboard open in desktop view</t>
  </si>
  <si>
    <t>1. Reduce viewport width
2. Trigger responsive breakpoint
3. Check sidebar state</t>
  </si>
  <si>
    <t>Tablet / Mobile resolution</t>
  </si>
  <si>
    <t>Sidebar collapses into icon drawer and expands via toggle button</t>
  </si>
  <si>
    <t>Navigation remains accessible</t>
  </si>
  <si>
    <t>TC_DASH_053</t>
  </si>
  <si>
    <t>Validate data persistence after page reload</t>
  </si>
  <si>
    <t>Ensure dashboard state is correctly restored after hard reload</t>
  </si>
  <si>
    <t>User has active dashboard state changes</t>
  </si>
  <si>
    <t>1. Modify widget state (filters/actions)
2. Press F5 / Ctrl+F5
3. Reload page</t>
  </si>
  <si>
    <t>Updated dashboard state</t>
  </si>
  <si>
    <t>System reloads latest persisted state from server/database</t>
  </si>
  <si>
    <t>Data consistency maintained after refresh</t>
  </si>
  <si>
    <t>TC_DASH_054</t>
  </si>
  <si>
    <t>Validate server state sync after reload</t>
  </si>
  <si>
    <t>Ensure UI reflects latest backend committed data after reload</t>
  </si>
  <si>
    <t>Backend has updated records</t>
  </si>
  <si>
    <t>1. Make backend change
2. Reload dashboard
3. Compare UI vs backend</t>
  </si>
  <si>
    <t>Updated records</t>
  </si>
  <si>
    <t>UI reflects latest database state with no stale cache data</t>
  </si>
  <si>
    <t>Fresh data displayed</t>
  </si>
  <si>
    <t>TC_DASH_055</t>
  </si>
  <si>
    <t>Validate keyboard navigation accessibility flow</t>
  </si>
  <si>
    <t>Ensure dashboard supports full keyboard navigation with visible focus indicators across all interactive elements</t>
  </si>
  <si>
    <t>User logged into dashboard + keyboard navigation enabled (no mouse usage)</t>
  </si>
  <si>
    <t>1. Open dashboard
2. Use TAB key repeatedly
3. Observe focus movement across UI elements (sidebar → widgets → quick launch)
4. Verify shift + tab backward navigation</t>
  </si>
  <si>
    <t>Keyboard input (TAB / SHIFT+TAB)</t>
  </si>
  <si>
    <t>Focus indicator moves sequentially in logical order (top-left → bottom-right)
All interactive elements are reachable via keyboard
No focus traps exist</t>
  </si>
  <si>
    <t>Navigation accessibility confirmed</t>
  </si>
  <si>
    <t>TC_DIR_001</t>
  </si>
  <si>
    <t>Directory</t>
  </si>
  <si>
    <t>Verify Directory page loads successfully with standard grid elements</t>
  </si>
  <si>
    <t>Ensure that navigating to the directory dynamically renders all necessary baseline information mapping fields.</t>
  </si>
  <si>
    <t>User is successfully logged into the system with valid credentials.</t>
  </si>
  <si>
    <t>1. Navigate to the Directory module using the main navigation panel.
2. Observe the layout and elements rendered on the screen.</t>
  </si>
  <si>
    <t>Active system user session.</t>
  </si>
  <si>
    <t>The Directory page loads successfully, displaying Employee Name, Job Title, Location, Department/Sub Unit, and Employee Card/Profile Summary.</t>
  </si>
  <si>
    <t>Directory workspace dashboard visible and fully interactive.</t>
  </si>
  <si>
    <t>All baseline information components load correctly.</t>
  </si>
  <si>
    <t>TC_DIR_002</t>
  </si>
  <si>
    <t>Verify search directory by valid employee name</t>
  </si>
  <si>
    <t>Ensure that entering a matching or partial employee name filters the directory records instantly.</t>
  </si>
  <si>
    <t>Multiple employee profiles exist within the system master database.</t>
  </si>
  <si>
    <t>1. Navigate to the Directory page.
2. Enter a valid employee name into the 'Employee Name' search input field.
3. Click the 'Search' button.</t>
  </si>
  <si>
    <t>Employee Name: 'John Doe'.</t>
  </si>
  <si>
    <t>The grid updates dynamically to display matching employee records only.</t>
  </si>
  <si>
    <t>Filtered search results displayed on screen.</t>
  </si>
  <si>
    <t>Matching employee record is returned perfectly.</t>
  </si>
  <si>
    <t>TC_DIR_003</t>
  </si>
  <si>
    <t>Verify 'No Records Found' messaging for unmatched searches</t>
  </si>
  <si>
    <t>Verify that executing a search using completely unmatched inputs sets the grid state to an empty notification view.</t>
  </si>
  <si>
    <t>Directory dashboard is loaded.</t>
  </si>
  <si>
    <t>1. Enter a non-existent employee name or a random unique character string into the search input.
2. Click the 'Search' button.</t>
  </si>
  <si>
    <t>Employee Name: 'NonExistent_999'.</t>
  </si>
  <si>
    <t>The system displays a 'No Records Found' messaging layout and zero data rows/cards are presented.</t>
  </si>
  <si>
    <t>Empty grid notification layout visible.</t>
  </si>
  <si>
    <t>No Records Found' string prompts correctly on screen.</t>
  </si>
  <si>
    <t>TC_DIR_004</t>
  </si>
  <si>
    <t>Verify filtering employee directory using multi-parameter selectors</t>
  </si>
  <si>
    <t>Ensure filtering by combined dropdown options accurately subsets records.</t>
  </si>
  <si>
    <t>Employee profiles with varying Job Titles, Locations, and Departments are present.</t>
  </si>
  <si>
    <t>1. Select a specific 'Job Title' from the dropdown.
2. Select a specific 'Location' option.
3. Select a specific 'Department/Sub Unit'.
4. Click the 'Search' button.</t>
  </si>
  <si>
    <t>Job Title: 'QA Engineer', Location: 'HQ - New York', Department: 'Quality Assurance'.</t>
  </si>
  <si>
    <t>The directory isolates and returns accurate records matching all three criteria simultaneously.</t>
  </si>
  <si>
    <t>Targeted filtered subset list displayed.</t>
  </si>
  <si>
    <t>Records filter and adjust cleanly matching configurations.</t>
  </si>
  <si>
    <t>TC_DIR_005</t>
  </si>
  <si>
    <t>Verify navigation to full profile details upon clicking employee card</t>
  </si>
  <si>
    <t>Ensure clicking on an employee's card redirects safely to their detailed profile view according to role permissions.</t>
  </si>
  <si>
    <t>At least one employee card is visible in the directory listing view.</t>
  </si>
  <si>
    <t>1. Hover over a target employee card container.
2. Click anywhere on the employee record card or profile linkage action.
3. Verify the destination page and access levels.</t>
  </si>
  <si>
    <t>Target Record: 'John Doe' profile card.</t>
  </si>
  <si>
    <t>The system opens the employee profile/details view, displaying full employee information restricted appropriately by current user permissions.</t>
  </si>
  <si>
    <t>Employee detail workspace view loaded successfully.</t>
  </si>
  <si>
    <t>Redirect occurs smoothly and renders authorized information blocks.</t>
  </si>
  <si>
    <t>TC_DIR_006</t>
  </si>
  <si>
    <t>Verify empty directory execution state handles safely when no records match filter criteria</t>
  </si>
  <si>
    <t>Verify that when data boundaries are zero or blocked by specific filter limits, the workspace does not show corrupt objects.</t>
  </si>
  <si>
    <t>Filters applied do not correspond to any active records.</t>
  </si>
  <si>
    <t>1. Apply conflicting filters (e.g., Job Title = 'CEO' and Location = 'Remote Office' where no such assignment exists).
2. Click 'Search' and observe layout response.</t>
  </si>
  <si>
    <t>Conflicting drop-down configurations.</t>
  </si>
  <si>
    <t>System cleanly outputs a 'No Records Found' notification and clears all prior card items from the screen layout completely.</t>
  </si>
  <si>
    <t>Zero employee profile cards remain on the view layers.</t>
  </si>
  <si>
    <t>The workspace returns the empty condition successfully.</t>
  </si>
  <si>
    <t>TC_DIR_007</t>
  </si>
  <si>
    <t>Enforce Role-Based Access Control matrix visibility constraints within the directory list</t>
  </si>
  <si>
    <t>Verify that logging in with a specific role filters out data items restricted from that user's viewing matrix.</t>
  </si>
  <si>
    <t>Role-based visibility restrictions are active on specific sub-departments or profiles.</t>
  </si>
  <si>
    <t>1. Log into the application with a standard user role having limited directory access permissions.
2. Access the Directory module and verify visible cards.</t>
  </si>
  <si>
    <t>Standard user session restricting cross-department records.</t>
  </si>
  <si>
    <t>The system displays only the specific employee records that the user's role layer is explicitly permitted to view.</t>
  </si>
  <si>
    <t>Data privacy bounds maintained safely.</t>
  </si>
  <si>
    <t>Restricted records are successfully hidden from view loops.</t>
  </si>
  <si>
    <t>TC_DIR_008</t>
  </si>
  <si>
    <t>Verify unauthorized direct URL access manipulation blocks cleanly</t>
  </si>
  <si>
    <t>Ensure bypassing UI parameters using a direct URL route rejects access to restricted directory paths.</t>
  </si>
  <si>
    <t>An unauthenticated user or an account explicitly lacking access to the module attempts routing.</t>
  </si>
  <si>
    <t>1. Attempt to bypass authentication loops by entering the exact sub-url route path for the Directory feature directly into the browser URL bar (e.g., `/viewDirectory`).
2. Press Enter.</t>
  </si>
  <si>
    <t>Direct URL string manipulation.</t>
  </si>
  <si>
    <t>The application denies access cleanly, preventing entry to data layers and displays an explicit authorization warning message.</t>
  </si>
  <si>
    <t>System directory file matrix remains uncompromised.</t>
  </si>
  <si>
    <t>Security routing components block access and drop transaction securely.</t>
  </si>
  <si>
    <t>TC_DIR_009</t>
  </si>
  <si>
    <t>Verify UI alignment, readability, and responsiveness of employee cards and control bars</t>
  </si>
  <si>
    <t>Validate structural integrity across UI cards and inputs during high interactivity cycles.</t>
  </si>
  <si>
    <t>Directory page containing multiple multi-line card configurations is active.</t>
  </si>
  <si>
    <t>1. Interact rapidly with search inputs, clear buttons, and multiple dropdown selection filters.
2. Observe the layout grid, text truncations, text overlapping, and card boundaries.</t>
  </si>
  <si>
    <t>Iterative UI inputs and screen interaction loops.</t>
  </si>
  <si>
    <t>UI elements render cleanly; all employee cards remain aligned, readable, and perfectly structured. Search/filter fields adapt without breaking patterns.</t>
  </si>
  <si>
    <t>Visual interface meets alignment expectations.</t>
  </si>
  <si>
    <t>Grid elements and card modules maintain visual consistency.</t>
  </si>
  <si>
    <t>TC_DIR_010</t>
  </si>
  <si>
    <t>Verify system behavior and graceful logging messaging on timeout or unexpected data layer fault</t>
  </si>
  <si>
    <t>Ensure that if connections drop or operations experience mid-execution failures, error blocks activate properly.</t>
  </si>
  <si>
    <t>User is editing or actively searching inside the Directory panel workspace.</t>
  </si>
  <si>
    <t>1. Simulate an API communication failure or database unexpected network degradation error while loading directory content.
2. Observe the toast prompts or error component container.</t>
  </si>
  <si>
    <t>Simulated connection drop injection.</t>
  </si>
  <si>
    <t>System captures the failure gracefully and pops up a localized, clear system error message notifying the operator.</t>
  </si>
  <si>
    <t>System state prevents browser crashes or unhandled script output dumps.</t>
  </si>
  <si>
    <t>Error boundaries capture the transaction cleanly.</t>
  </si>
  <si>
    <t>TC_DIR_011</t>
  </si>
  <si>
    <t>Verify immediate redirection to Login page upon session expiration during active directory navigation</t>
  </si>
  <si>
    <t>Check token security lifetimes and force automated redirection when user credentials timeout.</t>
  </si>
  <si>
    <t>User has an open Directory page view open where the token session timeout threshold lapses.</t>
  </si>
  <si>
    <t>1. Leave the Directory browser view idle or invoke a manual session invalidation token test event.
2. Attempt clicking a dropdown filter parameter or profile link.</t>
  </si>
  <si>
    <t>Expired session state execution.</t>
  </si>
  <si>
    <t>The application drops the unauthorized transaction, strips active session memory, and redirects the browser cleanly back to the main Login screen panel.</t>
  </si>
  <si>
    <t>Expired session context completely destroyed; user returned to login route.</t>
  </si>
  <si>
    <t>Redirect intercept token triggers cleanly and instantly updates view layer.</t>
  </si>
  <si>
    <t>TC_DIR_012</t>
  </si>
  <si>
    <t>Verify loading time performance limits and responsiveness on massive database records</t>
  </si>
  <si>
    <t>Validate performance boundaries to ensure loading delays remain well within defined SLA constraints.</t>
  </si>
  <si>
    <t>The testing server contains a massive pool of employee entries (&gt; 5000 employee profiles configured).</t>
  </si>
  <si>
    <t>1. Trigger an empty global search filter to fetch all available directory profiles simultaneously.
2. Monitor responsiveness and track total rendering/processing runtime using browser developer tools.</t>
  </si>
  <si>
    <t>High volume enterprise database query execution.</t>
  </si>
  <si>
    <t>The system processes and delivers the page objects efficiently within acceptable performance limit boundaries (e.g., &lt; 2 seconds) without locking up the UI.</t>
  </si>
  <si>
    <t>Directory data displays seamlessly without system lag.</t>
  </si>
  <si>
    <t>Data stream updates smoothly well within target thresholds.</t>
  </si>
  <si>
    <t>TC_MAINT_001</t>
  </si>
  <si>
    <t>Maintenance</t>
  </si>
  <si>
    <t>Verify direct route interception and mandatory admin password authentication block</t>
  </si>
  <si>
    <t>Ensure accessing the Maintenance Purge pathway forces explicit password validation checks prior to interface rendering.</t>
  </si>
  <si>
    <t>User has an active Administrative session layer.</t>
  </si>
  <si>
    <t>1. Navigate directly to Maintenance -&gt; Purge Employee Records.
2. Leave field blank or enter invalid passcode, click submit.
3. Enter valid admin password, click submit.</t>
  </si>
  <si>
    <t>Invalid pass: 'Wrong123', Valid pass: 'SecureAdmin2026'.</t>
  </si>
  <si>
    <t>Invalid credential attempts block visibility with an authentication error; valid passcode successfully reveals screen components.</t>
  </si>
  <si>
    <t>Purge screen interfaces populate securely after authentication clearance.</t>
  </si>
  <si>
    <t>Password authorization gateways capture and intercept invalid queries perfectly.</t>
  </si>
  <si>
    <t>Covers password verification gating rules.</t>
  </si>
  <si>
    <t>TC_MAINT_002</t>
  </si>
  <si>
    <t>Verify Search past employees, detailed record preview, and explicit single purge execution</t>
  </si>
  <si>
    <t>Ensure filtering past terminated employees displays specific metadata and clears record data cleanly upon explicit operational confirmation.</t>
  </si>
  <si>
    <t>Admin authenticated into Purge Employee Records dashboard context.</t>
  </si>
  <si>
    <t>1. Search for targeted 'Past Employee'.
2. Review displayed parameters (Name, ID, Employment Status, Termination Details).
3. Click 'Yes, Purge' and select 'Cancel' on first prompt, then retry and click 'Confirm'.</t>
  </si>
  <si>
    <t>Target Terminated Employee ID: 'EMP-991A'.</t>
  </si>
  <si>
    <t>Cancelling preserves records completely; confirming wipes the employee record permanently, prompting an absolute verification layout success confirmation toast.</t>
  </si>
  <si>
    <t>Targeted record row completely removed from all lookup indexes and query layers.</t>
  </si>
  <si>
    <t>Confirmation alerts protect fields from accidental loss perfectly.</t>
  </si>
  <si>
    <t>TC_MAINT_003</t>
  </si>
  <si>
    <t>Enforce Role-Based Access Control matrix to block non-admin users from Purge pathways</t>
  </si>
  <si>
    <t>Verify system security boundaries instantly reject general user routing injection attempts.</t>
  </si>
  <si>
    <t>User logged in with standard 'Employee' or 'Supervisor' role clearance levels.</t>
  </si>
  <si>
    <t>1. Attempt loading the direct Maintenance Purge routing URL pathway directly via address bar injection.</t>
  </si>
  <si>
    <t>Direct URL routing injection.</t>
  </si>
  <si>
    <t>System blocks view loading immediately, returns an explicit authorization restriction error notice, and preserves database isolation.</t>
  </si>
  <si>
    <t>System security remains unviolated by unauthorized account credentials.</t>
  </si>
  <si>
    <t>Routing interceptor middleware rejects access cleanly.</t>
  </si>
  <si>
    <t>TC_MAINT_004</t>
  </si>
  <si>
    <t>Verify complete cascade database removal and relational integrity constraints post-purge</t>
  </si>
  <si>
    <t>Ensure child records (attendance, timesheets, performance, claims) wipe automatically on successful execution.</t>
  </si>
  <si>
    <t>Target terminated employee record possesses active relational tables (attendance logs, claim files, timesheets).</t>
  </si>
  <si>
    <t>1. Execute confirmed Purge action on targeted profile tracking id.
2. Query underlying relational database views directly for related child dependencies.</t>
  </si>
  <si>
    <t>Target Profile: 'EMP-882B'.</t>
  </si>
  <si>
    <t>All child references (attendance records, timesheets, performance benchmarks, claim requests) drop cleanly without trace elements or dangling links.</t>
  </si>
  <si>
    <t>Database structure achieves complete clean relational mapping state.</t>
  </si>
  <si>
    <t>Cascade engines successfully track and discard linked properties cleanly.</t>
  </si>
  <si>
    <t>Critical GDPR compliance verification checklist item.</t>
  </si>
  <si>
    <t>TC_MAINT_005</t>
  </si>
  <si>
    <t>Verify automated audit trail trail compliance logging details on successful data purges</t>
  </si>
  <si>
    <t>Verify that executing data purges records exact transactional metadata inside the Master Compliance Audit trail logs.</t>
  </si>
  <si>
    <t>Admin user executes complete verified purge on a historical employee file record.</t>
  </si>
  <si>
    <t>1. Navigate to main system Security and Audit Log database framework panels.
2. Locate the most recent entry under Action Type: 'Purge Employee'.</t>
  </si>
  <si>
    <t>Audit trail log tracking variables.</t>
  </si>
  <si>
    <t>Audit entry captures: Executing Admin ID, exact Timestamp, identification markers of purged target metadata parameters, and action type descriptor.</t>
  </si>
  <si>
    <t>Compliance audit history appends safely with immutable records.</t>
  </si>
  <si>
    <t>Audit trail logging system registers background parameters flawlessly.</t>
  </si>
  <si>
    <t>GDPR audit trail check.</t>
  </si>
  <si>
    <t>TC_MAINT_006</t>
  </si>
  <si>
    <t>Verify Candidate Purge initialization, authorization checks, and vacancy filters</t>
  </si>
  <si>
    <t>Ensure candidate list loading locks out unauthorized access and properly indexes applicant records by vacancy.</t>
  </si>
  <si>
    <t>Admin authenticated session on Purge Candidate Records module.</t>
  </si>
  <si>
    <t>1. Filter candidate records by selecting a specific Vacancy dropdown parameter value.
2. Click Search and observe data columns.</t>
  </si>
  <si>
    <t>Vacancy Type: 'Senior QA Engineer'.</t>
  </si>
  <si>
    <t>Grid lists matching records completely capturing Candidate Name, Vacancy Applied, Application Status, and Application Date.</t>
  </si>
  <si>
    <t>Candidate mapping items populate cleanly.</t>
  </si>
  <si>
    <t>Search engines map candidate database objects flawlessly.</t>
  </si>
  <si>
    <t>TC_MAINT_007</t>
  </si>
  <si>
    <t>Verify Single Candidate data preview evaluation and safe purge operations</t>
  </si>
  <si>
    <t>Ensure preview pane displays comprehensive recruitment history records before final truncation.</t>
  </si>
  <si>
    <t>Candidate grid matches populate on screen interface panels.</t>
  </si>
  <si>
    <t>1. Select explicit candidate row item to trigger data preview window.
2. Verify presence of Personal Info, History, and Status attributes.
3. Click 'Yes, Purge' and confirm.</t>
  </si>
  <si>
    <t>Candidate ID: 'CAND-741X'.</t>
  </si>
  <si>
    <t>Candidate details preview successfully; confirming execution completely terminates record and prevents its appearance in recruitment lists or search results.</t>
  </si>
  <si>
    <t>Target applicant file isolated and wiped cleanly.</t>
  </si>
  <si>
    <t>Preview modal layers pop up with correct targeted metadata context details.</t>
  </si>
  <si>
    <t>TC_MAINT_008</t>
  </si>
  <si>
    <t>Verify Bulk Candidate Purge execution with confirmation checks</t>
  </si>
  <si>
    <t>Ensure selecting multiple rows or triggering 'Purge All' deletes entire candidate sets simultaneously.</t>
  </si>
  <si>
    <t>Multiple applicant records populate under a target vacancy filter layout.</t>
  </si>
  <si>
    <t>1. Click the 'Purge All' selection command interface control element.
2. Review irreversible warning panel and click Confirm.</t>
  </si>
  <si>
    <t>Bulk criteria: All rejected candidates for vacancy 'Junior Developer'.</t>
  </si>
  <si>
    <t>System wipes entire matching set batch records simultaneously, updates grid with a success banner, and drops linked interviews or evaluation files.</t>
  </si>
  <si>
    <t>Batch deletion handles entire record targets smoothly without orphan items.</t>
  </si>
  <si>
    <t>Bulk transaction handlers execute set operations safely.</t>
  </si>
  <si>
    <t>TC_MAINT_009</t>
  </si>
  <si>
    <t>Verify cascade removal of recruitment items and corresponding bulk compliance logs</t>
  </si>
  <si>
    <t>Ensure interview loops, evaluation scoring metrics, and application history clean up symmetrically during candidate purges.</t>
  </si>
  <si>
    <t>Target candidates have associated evaluations and scheduled interview history traces.</t>
  </si>
  <si>
    <t>1. Complete bulk/single candidate purge execution.
2. Review system Audit module for 'Purge Candidate' action logs.</t>
  </si>
  <si>
    <t>Cascade validation variables.</t>
  </si>
  <si>
    <t>Interview logs and evaluations drop completely; Audit entry lists Admin account info, Timestamp, and specific tally number of candidates deleted.</t>
  </si>
  <si>
    <t>System compliance dashboard appends batch telemetry logs securely.</t>
  </si>
  <si>
    <t>Database tracking models register complete data drops cleanly.</t>
  </si>
  <si>
    <t>TC_MAINT_010</t>
  </si>
  <si>
    <t>Verify Access Records grid loading and verification controls</t>
  </si>
  <si>
    <t>Check access log table populates complete tracking parameters following password authentication.</t>
  </si>
  <si>
    <t>Admin navigates toward Maintenance -&gt; Access Records -&gt; Employee Data Access.</t>
  </si>
  <si>
    <t>1. Complete mandatory password validation prompts.
2. Observe grid column layouts, sorting items, and logged metadata attributes.</t>
  </si>
  <si>
    <t>Secure Admin authentication context verification loop.</t>
  </si>
  <si>
    <t>Table loads cleanly displaying Employee Name (record accessed), Accessed By user, Access Date &amp; Time, Action Type (View/Edit), and Module Accessed.</t>
  </si>
  <si>
    <t>Log tracking panels remain read-only and fully loaded.</t>
  </si>
  <si>
    <t>Logging visualization structures execute grid tracking beautifully.</t>
  </si>
  <si>
    <t>TC_MAINT_011</t>
  </si>
  <si>
    <t>Verify multi-parameter search filter execution and detailed view layouts on Access Logs</t>
  </si>
  <si>
    <t>Filter tracking items by employee name, accessor identity, or specific action types.</t>
  </si>
  <si>
    <t>Populated access history records populate on grid frameworks.</t>
  </si>
  <si>
    <t>1. Apply search filters (Employee Name: 'John Doe', Action Type: 'Edit'). Click search.
2. Open an isolated log tracking entry row item to check deep properties container.</t>
  </si>
  <si>
    <t>Filters: Employee='John Doe', Action='Edit'.</t>
  </si>
  <si>
    <t>Grid narrows results down to target criteria row parameters exactly; detailed layout container accurately showcases identity logs and timestamps.</t>
  </si>
  <si>
    <t>Isolates audit trace details cleanly without displaying unmatched logs.</t>
  </si>
  <si>
    <t>Data index filters return pinpoint accuracy records dynamically.</t>
  </si>
  <si>
    <t>TC_MAINT_012</t>
  </si>
  <si>
    <t>Verify immutable properties and automatic recording engine functionality for access log entries</t>
  </si>
  <si>
    <t>Ensure any view or edit action across the application triggers background logs and prevents log modification.</t>
  </si>
  <si>
    <t>An admin or manager profile accesses an employee's personal info or job details screen.</t>
  </si>
  <si>
    <t>1. Perform a mock view action on a profile file.
2. Access Maintenance Logs panel to verify tracking generation.
3. Attempt to alter, delete, or wipe that specific log row item.</t>
  </si>
  <si>
    <t>Mock profile access trace validation.</t>
  </si>
  <si>
    <t>The application automatically registers the action in real time; log controls strictly prevent edit or deletion, maintaining permanent audit integrity.</t>
  </si>
  <si>
    <t>Audit ledger tracks user footprints securely with unalterable entries.</t>
  </si>
  <si>
    <t>Background logger background engines track and lock system traces immutably.</t>
  </si>
  <si>
    <t>TC_MAINT_013</t>
  </si>
  <si>
    <t>Verify complete transactional rollback and session interception during active purge processes</t>
  </si>
  <si>
    <t>Ensure networking failures or sudden session timeout limits block partial records deletion.</t>
  </si>
  <si>
    <t>A multi-row purge command is actively processing database commands.</t>
  </si>
  <si>
    <t>1. Trigger connection severing simulation or simulate background token session expiry during execution loop.</t>
  </si>
  <si>
    <t>Network disruption / token expiry injection.</t>
  </si>
  <si>
    <t>System aborts transaction instantly, issues a database rollback command to secure partial objects, and cleanly redirects user back to Login panels.</t>
  </si>
  <si>
    <t>Database states remain intact without corrupt orphan fragments.</t>
  </si>
  <si>
    <t>Transactional database safety bounds successfully protect tables against network drops.</t>
  </si>
  <si>
    <t>Vital database safety and compliance check.</t>
  </si>
  <si>
    <t>TC_MAINT_014</t>
  </si>
  <si>
    <t>Verify large dataset pagination performance and accidental bulk safety controls</t>
  </si>
  <si>
    <t>Ensure system handles thousands of records efficiently and enforces safeguards against accidental bulk deletion.</t>
  </si>
  <si>
    <t>Database contains high volumes of access logs and historical records.</t>
  </si>
  <si>
    <t>1. Load the Access Records page and check pagination responsiveness.
2. Attempt to trigger global deletion commands without selecting target parameters.</t>
  </si>
  <si>
    <t>High volume database records simulation.</t>
  </si>
  <si>
    <t>Data displays via responsive pagination (&lt; 2s response); global deletion commands block instantly if specific target parameters are not selected.</t>
  </si>
  <si>
    <t>Data layouts load efficiently with reliable protective boundaries.</t>
  </si>
  <si>
    <t>Pagination grids and validation blocks manage large data loads flawlessly.</t>
  </si>
  <si>
    <t>TC_CLAIM_001</t>
  </si>
  <si>
    <t>Claim</t>
  </si>
  <si>
    <t>Verify Employee Claims list loads data grid successfully based on user role</t>
  </si>
  <si>
    <t>Ensure that navigating to Claim -&gt; Employee Claims dynamically displays baseline data attributes securely based on role isolation rules.</t>
  </si>
  <si>
    <t>User is logged in with valid claims tracking permissions.</t>
  </si>
  <si>
    <t>1. Go to Claim -&gt; Employee Claims.
2. Observe grid columns, records, and action layouts.</t>
  </si>
  <si>
    <t>Active employee/admin session.</t>
  </si>
  <si>
    <t>The grid displays Claim ID, Employee Name, Claim Event, Status (Draft, Submitted, Approved, Rejected, Paid), Submitted Date, Amount, and Available Actions.</t>
  </si>
  <si>
    <t>Claims dashboard successfully populated and interactive.</t>
  </si>
  <si>
    <t>Data grid features load flawlessly.</t>
  </si>
  <si>
    <t>TC_CLAIM_002</t>
  </si>
  <si>
    <t>Verify new claim creation can save as Draft or submit for approval workflow</t>
  </si>
  <si>
    <t>Verify validation bounds for creating an expense claim and saving draft context cleanly.</t>
  </si>
  <si>
    <t>User is on the Employee Claims page.</t>
  </si>
  <si>
    <t>1. Click 'Add Claim'.
2. Select Employee, Claim Basis, Currency, enter Expense Details, and upload a valid invoice.
3. Click 'Save as Draft' or 'Submit'.</t>
  </si>
  <si>
    <t>Basis: 'Project', Currency: 'USD', Amount: '150.00', Attachment: 'receipt.pdf'.</t>
  </si>
  <si>
    <t>Claim is created successfully, a confirmation toast displays, and the record maps correctly as Draft or Submitted status.</t>
  </si>
  <si>
    <t>New claim record recorded in the master ledger database.</t>
  </si>
  <si>
    <t>Claim record compiles and saves with data integrity intact.</t>
  </si>
  <si>
    <t>TC_CLAIM_003</t>
  </si>
  <si>
    <t>Validate error boundaries and field logic constraints during claim submission</t>
  </si>
  <si>
    <t>Ensure missing employee matching, negative amounts, or blank required inputs block transactions.</t>
  </si>
  <si>
    <t>Add Claim form open.</t>
  </si>
  <si>
    <t>1. Leave Employee or Expense Type empty.
2. Input a negative expense amount value (-50.00).
3. Click Submit.</t>
  </si>
  <si>
    <t>Amount: '-50.00', Missing required fields.</t>
  </si>
  <si>
    <t>Submission is blocked, error messages highlight specific faulty inputs, and the claim remains forced in a Draft state.</t>
  </si>
  <si>
    <t>Database state remains unchanged without corrupted record uploads.</t>
  </si>
  <si>
    <t>Input validation triggers reject faulty metadata records dynamically.</t>
  </si>
  <si>
    <t>TC_CLAIM_004</t>
  </si>
  <si>
    <t>Verify multi-parameter search filter execution on Employee Claims grid</t>
  </si>
  <si>
    <t>Ensure filtering combination records extracts accurate database query returns.</t>
  </si>
  <si>
    <t>Varying expense records exist inside the master list workspace.</t>
  </si>
  <si>
    <t>1. Input existing Employee Name.
2. Set Claim Status to 'Submitted' and pick an applicable Claim Event type.
3. Click Search.</t>
  </si>
  <si>
    <t>Employee: 'Jane Doe', Status: 'Submitted', Type: 'Travel Expense'.</t>
  </si>
  <si>
    <t>The grid shifts instantly to isolate records matching the applied criteria exactly.</t>
  </si>
  <si>
    <t>Targeted record rows isolate correctly.</t>
  </si>
  <si>
    <t>Data queries filter matches dynamically without latency.</t>
  </si>
  <si>
    <t>TC_CLAIM_005</t>
  </si>
  <si>
    <t>Verify progressive claim approval workflow transitions and payment markings</t>
  </si>
  <si>
    <t>Validate states through Approve, Reject, and Mark as Paid action blocks.</t>
  </si>
  <si>
    <t>A claim is active under 'Pending Supervisor Approval' status.</t>
  </si>
  <si>
    <t>1. Log in as an authorized Supervisor/Admin.
2. Open the targeted pending claim.
3. Click Approve, Reject, or (at Admin level) Mark as Paid.</t>
  </si>
  <si>
    <t>Workflow button interactions.</t>
  </si>
  <si>
    <t>The status updates accurately at each milestone phase (Approved -&gt; Paid) with full structural mapping.</t>
  </si>
  <si>
    <t>Claim lifecycle state reaches final database marker safely.</t>
  </si>
  <si>
    <t>Workflow engines process status transitions perfectly.</t>
  </si>
  <si>
    <t>TC_CLAIM_006</t>
  </si>
  <si>
    <t>Enforce Role-Based Access Control matrix to prevent unauthorized claims view or modification</t>
  </si>
  <si>
    <t>Ensure cross-user tracking data isolation via direct routing URL blocks.</t>
  </si>
  <si>
    <t>Standard worker without supervisor permissions logs in.</t>
  </si>
  <si>
    <t>1. Attempt direct address bar navigation to an administrative claim review layout URL pathway.
2. Attempt modifying parameters on peer employee records.</t>
  </si>
  <si>
    <t>Direct URL parameter hijacking.</t>
  </si>
  <si>
    <t>The application intercepts routing execution, denies access, blocks visibility, and renders an access authorization denial notice.</t>
  </si>
  <si>
    <t>Data privacy bounds remain absolute.</t>
  </si>
  <si>
    <t>Router middleware safely intercepts unauthorized manipulation attempts.</t>
  </si>
  <si>
    <t>TC_CLAIM_007</t>
  </si>
  <si>
    <t>Verify Claim Events List display metrics under configuration module</t>
  </si>
  <si>
    <t>Ensure admin panels map Event Name, Type, Status, and Actions correctly.</t>
  </si>
  <si>
    <t>Authorized access to Claim Configuration is available.</t>
  </si>
  <si>
    <t>1. Navigate to Claim -&gt; Configuration -&gt; Events.
2. Verify the structured presentation grid layout.</t>
  </si>
  <si>
    <t>Admin configuration dashboard context.</t>
  </si>
  <si>
    <t>The screen lists rows capturing Event Name, Event Type, Status (Active/Inactive), and Actions controls.</t>
  </si>
  <si>
    <t>Configuration table confirms clean view layers.</t>
  </si>
  <si>
    <t>Grid items and properties display flawlessly.</t>
  </si>
  <si>
    <t>TC_CLAIM_008</t>
  </si>
  <si>
    <t>Verify new claim event record creation with valid properties</t>
  </si>
  <si>
    <t>Create custom categories that cleanly append into the selection drop-downs.</t>
  </si>
  <si>
    <t>On Claim Events view.</t>
  </si>
  <si>
    <t>1. Click 'Add Event'.
2. Supply unique Event Name and select Type.
3. Click Save.</t>
  </si>
  <si>
    <t>Event Name: 'Q2 Team Building', Type: 'General Expense'.</t>
  </si>
  <si>
    <t>The record saves smoothly, an explicit success message flags, and the item renders instantly in the grid layout.</t>
  </si>
  <si>
    <t>New configuration data persists in the system backend.</t>
  </si>
  <si>
    <t>Creation completes and confirmation banner displays.</t>
  </si>
  <si>
    <t>TC_CLAIM_009</t>
  </si>
  <si>
    <t>Validate data constraints and duplicate checking rules on Claim Event Name inputs</t>
  </si>
  <si>
    <t>Ensure empty fields or duplicate event labels trigger validation blocks.</t>
  </si>
  <si>
    <t>Add/Edit Event pane active.</t>
  </si>
  <si>
    <t>1. Input an Event Name that already matches an active configured item.
2. Leave mandatory inputs blank and hit Save.</t>
  </si>
  <si>
    <t>Duplicate string label or null inputs.</t>
  </si>
  <si>
    <t>System captures the configuration collision, blocks data storage, and pops specific input field warning labels.</t>
  </si>
  <si>
    <t>Database mapping remains protected from corrupted duplicates.</t>
  </si>
  <si>
    <t>Validation boundaries prevent duplicate entry points perfectly.</t>
  </si>
  <si>
    <t>TC_CLAIM_010</t>
  </si>
  <si>
    <t>Enforce deletion restriction boundaries on claim events currently tied to records</t>
  </si>
  <si>
    <t>Verify that category elements actively utilized inside submitted employee claims cannot be deleted.</t>
  </si>
  <si>
    <t>An active claim event is linked to existing employee claims.</t>
  </si>
  <si>
    <t>1. Target the specific used claim event record inside the configuration grid.
2. Click Delete and confirm.</t>
  </si>
  <si>
    <t>In-use event item data reference.</t>
  </si>
  <si>
    <t>The transaction blocks completely, and a safety system warning prompt states that deletion cannot proceed while records rely on it.</t>
  </si>
  <si>
    <t>Relational integrity records remain clean and unviolated.</t>
  </si>
  <si>
    <t>Database constraints lock relational configurations cleanly.</t>
  </si>
  <si>
    <t>TC_CLAIM_011</t>
  </si>
  <si>
    <t>Verify Submit Claim page form structure loads components completely</t>
  </si>
  <si>
    <t>Check fields load mapping containers safely upon launching submission workspace.</t>
  </si>
  <si>
    <t>Logged into account with active submission rights.</t>
  </si>
  <si>
    <t>1. Access Claim -&gt; Submit Claim module path.
2. Verify input selectors.</t>
  </si>
  <si>
    <t>Standard user context session.</t>
  </si>
  <si>
    <t>The form presents Claim Basis Selection, Employee Selection (if applicable), Local Currency, Expense Details section, Attachment section, and execution actions.</t>
  </si>
  <si>
    <t>Form layout confirmed clear and operational.</t>
  </si>
  <si>
    <t>All data entry input containers show correctly.</t>
  </si>
  <si>
    <t>TC_CLAIM_012</t>
  </si>
  <si>
    <t>Verify multi-row expense entry handling and instant summary calculation loops</t>
  </si>
  <si>
    <t>Ensure typing in multiple rows updates aggregate sums correctly in real time.</t>
  </si>
  <si>
    <t>Form workspace active.</t>
  </si>
  <si>
    <t>1. Click Add Expense Item button multiple times.
2. Enter distinct values, descriptions, and dates on individual lines.
3. Observe the total calculation window tracking values.</t>
  </si>
  <si>
    <t>Row 1: 45.00 USD, Row 2: 120.50 USD.</t>
  </si>
  <si>
    <t>The submission form stacks multiple line items clearly, and automatically aggregates values to the total summary box precisely.</t>
  </si>
  <si>
    <t>Summary aggregates correctly across item grids.</t>
  </si>
  <si>
    <t>Line item components compile cleanly with instant accurate math updates.</t>
  </si>
  <si>
    <t>TC_CLAIM_013</t>
  </si>
  <si>
    <t>Verify dynamic input field adjustment rules depending on selected Claim Basis type</t>
  </si>
  <si>
    <t>Verify how choosing Project vs Travel modifies mandatory attachment or linkage logic fields dynamically.</t>
  </si>
  <si>
    <t>Form page initialized.</t>
  </si>
  <si>
    <t>1. Cycle the 'Claim Basis' drop-down selector to 'Project'. Verify fields.
2. Change option selection layer to 'Travel Request'. Verify fields.</t>
  </si>
  <si>
    <t>Dropdown state variations.</t>
  </si>
  <si>
    <t>Form updates fields context dynamically; project selections prompt mandatory project linkages, while travel options surface approved travel requests.</t>
  </si>
  <si>
    <t>Conditional field states alternate accurately.</t>
  </si>
  <si>
    <t>Dynamic form boundaries activate and modify components based on selection perfectly.</t>
  </si>
  <si>
    <t>TC_CLAIM_014</t>
  </si>
  <si>
    <t>Verify personal historical data list visibility under My Claims panel</t>
  </si>
  <si>
    <t>Ensure individual profiles trace their own items with accurate status labels.</t>
  </si>
  <si>
    <t>Standard logged in employee account session active.</t>
  </si>
  <si>
    <t>1. Travel to Claim -&gt; My Claims module dashboard.
2. Verify columns and individual record fields.</t>
  </si>
  <si>
    <t>Standard user profile context tracking logs.</t>
  </si>
  <si>
    <t>The view grid limits returns to items owned by the logged session, showing Claim ID, Basis, Date, Status, Total Amount, and Actions.</t>
  </si>
  <si>
    <t>Personal historical ledger loaded cleanly.</t>
  </si>
  <si>
    <t>Ledger returns appropriate localized rows matching current session id.</t>
  </si>
  <si>
    <t>TC_CLAIM_015</t>
  </si>
  <si>
    <t>Enforce strict modification and deletion restrictions on non-Draft claims</t>
  </si>
  <si>
    <t>Ensure submitted, approved, or paid claim records disable delete and edit capabilities.</t>
  </si>
  <si>
    <t>A claim record is marked 'Submitted' or 'Approved'.</t>
  </si>
  <si>
    <t>1. Locate the non-draft record entry row in My Claims listing grid.
2. Attempt to trigger Edit or Delete buttons.</t>
  </si>
  <si>
    <t>Active submitted file dataset.</t>
  </si>
  <si>
    <t>The interface restricts edit/delete operations, enforcing Read-Only property fields to protect workflow records from tampering.</t>
  </si>
  <si>
    <t>Data record integrity remains fully secured.</t>
  </si>
  <si>
    <t>Input actions block edit commands cleanly on active workflow files.</t>
  </si>
  <si>
    <t>TC_CLAIM_016</t>
  </si>
  <si>
    <t>Verify successful surrogate claim assignment execution on behalf of a specific employee</t>
  </si>
  <si>
    <t>Ensure supervisors or admins can register an expense record directly onto a team member's file.</t>
  </si>
  <si>
    <t>User has Admin or Supervisor privileges active and opens Assign Claim form.</t>
  </si>
  <si>
    <t>1. Select target Employee profile from dropdown map.
2. Input valid Basis and Expense configuration fields.
3. Click Assign.</t>
  </si>
  <si>
    <t>Target Employee: 'Alex Smith', Amount: '80.00 USD'.</t>
  </si>
  <si>
    <t>The claim maps directly onto that employee's profile workspace, and generates a distinct, non-duplicate unique reference tracking ID.</t>
  </si>
  <si>
    <t>Record connects directly onto subordinate file targets.</t>
  </si>
  <si>
    <t>Proxy file routing applies and links record flawlessly.</t>
  </si>
  <si>
    <t>TC_CLAIM_017</t>
  </si>
  <si>
    <t>Validate data checking logic boundaries to block duplicate claim assignment entries</t>
  </si>
  <si>
    <t>Ensure duplicate combinations of identical employee basis criteria trip warning banners.</t>
  </si>
  <si>
    <t>An identical configuration record matching employee and context data exists.</t>
  </si>
  <si>
    <t>1. Re-populate duplicate employee and context variables precisely into the fields.
2. Trigger the Assign button execution command.</t>
  </si>
  <si>
    <t>Identical overlapping metadata profiles.</t>
  </si>
  <si>
    <t>The application stops data duplication processing and issues a clear alert message informing about potential record overlap.</t>
  </si>
  <si>
    <t>Database entries are kept pristine without duplicate redundancies.</t>
  </si>
  <si>
    <t>Duplication tracking checks spot and block transactions safely.</t>
  </si>
  <si>
    <t>TC_BUZZ_001</t>
  </si>
  <si>
    <t>Buzz</t>
  </si>
  <si>
    <t>Verify Buzz timeline stream dashboard loads structural widgets completely</t>
  </si>
  <si>
    <t>Ensure social workspace aggregates posts, counters, and upcoming anniversary cards correctly.</t>
  </si>
  <si>
    <t>Authenticated user accesses the main timeline area.</t>
  </si>
  <si>
    <t>1. Navigate to Buzz -&gt; View Buzz module loop.
2. Verify feed data streaming elements.</t>
  </si>
  <si>
    <t>Standard user profile logging interaction.</t>
  </si>
  <si>
    <t>The Buzz timeline renders successfully, displaying employee posts, media fields, interaction counters, and the anniversaries panel widget.</t>
  </si>
  <si>
    <t>Social community network workspace loaded and operational.</t>
  </si>
  <si>
    <t>Feed content and sidebar widgets load perfectly.</t>
  </si>
  <si>
    <t>TC_BUZZ_002</t>
  </si>
  <si>
    <t>Verify new post publication loops with text blocks and attachment limits</t>
  </si>
  <si>
    <t>Ensure post entries broadcast instantly to the feed while sticking to maximum attachment constraints.</t>
  </si>
  <si>
    <t>On main Buzz feed page layout view.</t>
  </si>
  <si>
    <t>1. Type text update in input container.
2. Attempt uploading media attachments (test boundary: upload 5 valid elements).
3. Click Post.</t>
  </si>
  <si>
    <t>Text: 'Excited for the project release!', Files: 5 image files.</t>
  </si>
  <si>
    <t>The post publishes safely and pops up on top of the live dashboard stream immediately.</t>
  </si>
  <si>
    <t>New social feed entry records registered into timeline logs.</t>
  </si>
  <si>
    <t>Text and attachment bundles load and broadcast cleanly.</t>
  </si>
  <si>
    <t>TC_BUZZ_003</t>
  </si>
  <si>
    <t>Verify post interaction loops through continuous like toggles and comments tracking</t>
  </si>
  <si>
    <t>Verify interactive response counters increment and decrement predictably on action clicks.</t>
  </si>
  <si>
    <t>Active posts are loaded on the current timeline stream view.</t>
  </si>
  <si>
    <t>1. Click the 'Like' icon. Observe counter increment.
2. Click the 'Like' icon again. Observe counter decrement.
3. Type comment and submit.</t>
  </si>
  <si>
    <t>Comment string text: 'Fantastic milestone execution!'.</t>
  </si>
  <si>
    <t>Likes increment and clear symmetrically, and comments update with accurate author profiling and timestamps.</t>
  </si>
  <si>
    <t>Social tracking metadata counters display actual interaction logs precisely.</t>
  </si>
  <si>
    <t>Counters and feedback components log cleanly without synchronization delay.</t>
  </si>
  <si>
    <t>TC_BUZZ_004</t>
  </si>
  <si>
    <t>Enforce strict Admin-only deletion properties on social community entries</t>
  </si>
  <si>
    <t>Ensure general employee roles lack authority options to strip feed items.</t>
  </si>
  <si>
    <t>Standard worker without admin level flags logs onto the feed panel.</t>
  </si>
  <si>
    <t>1. Review posts made by peer users.
2. Look for delete management button icons or options on peer content streams.</t>
  </si>
  <si>
    <t>Non-admin session validation logic checks.</t>
  </si>
  <si>
    <t>Delete options remain completely invisible to general user layers; actions are rejected cleanly if intercepted.</t>
  </si>
  <si>
    <t>Feed entry structure integrity stays safe against non-admin changes.</t>
  </si>
  <si>
    <t>Administrative UI triggers toggle visibility constraints correctly.</t>
  </si>
  <si>
    <t>TC_BUZZ_005</t>
  </si>
  <si>
    <t>Verify session expiration intercept redirects during claim workflows or social feed edits</t>
  </si>
  <si>
    <t>Check timeout tracking limits to ensure background token timeouts route cleanly back to login page panels.</t>
  </si>
  <si>
    <t>User context active on a form page where security session token bounds hit expiration thresholds.</t>
  </si>
  <si>
    <t>1. Leave browser view idle or trigger mock token invalidation.
2. Attempt invoking action handlers (e.g., submit claim or save comments).</t>
  </si>
  <si>
    <t>Expired session context variables.</t>
  </si>
  <si>
    <t>System blocks data loss, stops database entry corruption, throws a session expired notice, and routes browser context to Login screen layouts.</t>
  </si>
  <si>
    <t>Invalid tokens destroyed cleanly; system remains secure.</t>
  </si>
  <si>
    <t>Session trackers capture and manage timeout events beautifully.</t>
  </si>
  <si>
    <t>TC_BUZZ_006</t>
  </si>
  <si>
    <t>Verify real-time computation rendering and progressive media loading under peak stress levels</t>
  </si>
  <si>
    <t>Verify system response times during heavy multi-row claim calculation entries or infinite feed scroll operations.</t>
  </si>
  <si>
    <t>High metadata density or mass media feed components exist in the current environment.</t>
  </si>
  <si>
    <t>1. Perform continuous scrolling through massive social timeline layers with heavy imagery.
2. Rapidly add dynamic item rows in claim submission modules.</t>
  </si>
  <si>
    <t>Stress performance user interface test loops.</t>
  </si>
  <si>
    <t>The user interface scales smoothly without screen layout breaking or delayed latency; processing limits remain perfectly stable (&lt; 2s).</t>
  </si>
  <si>
    <t>UI/UX stability verified on responsive layouts.</t>
  </si>
  <si>
    <t>Responsive layout panels adjust and render smoothly across heavy processing loops.</t>
  </si>
  <si>
    <t>Bug ID</t>
  </si>
  <si>
    <t>Module / Feature</t>
  </si>
  <si>
    <t>Title / Summary</t>
  </si>
  <si>
    <t>Reported By</t>
  </si>
  <si>
    <t>Detected In / Test Cycle</t>
  </si>
  <si>
    <t>Severity</t>
  </si>
  <si>
    <t>Environment</t>
  </si>
  <si>
    <t>Req_ID/US_ID</t>
  </si>
  <si>
    <t>Steps to Reproduce</t>
  </si>
  <si>
    <t>Attachments / Evidence</t>
  </si>
  <si>
    <t>Assigned To</t>
  </si>
  <si>
    <t>Detected By</t>
  </si>
  <si>
    <t>Date Logged</t>
  </si>
  <si>
    <t>Comments / Root Cause</t>
  </si>
  <si>
    <t>Bug_001</t>
  </si>
  <si>
    <t>Warning message not displayed after 10 minutes of inactivity</t>
  </si>
  <si>
    <t>Edge Browser - Windows 10 / 11 - Android 14</t>
  </si>
  <si>
    <t>The system fails to detect user inactivity and does not trigger the mandatory warning message after the 10-minute idle threshold.</t>
  </si>
  <si>
    <t>1. Login with valid email and password
2. Do not perform any action (no clicks / typing / scrolling)
3. Wait for 10 minutes</t>
  </si>
  <si>
    <t>No warning message displayed after 10 minutes</t>
  </si>
  <si>
    <t>Open</t>
  </si>
  <si>
    <t>Bug_002</t>
  </si>
  <si>
    <t>The system fails to automatically log out the user and redirect them to the login page when no action is taken after the inactivity warning is displayed</t>
  </si>
  <si>
    <t>Bug_003</t>
  </si>
  <si>
    <t>CSRF token validation failed during idle login</t>
  </si>
  <si>
    <t>Login fails with CSRF token error after page sits idle, blocking user from authenticating.</t>
  </si>
  <si>
    <t>1. Open login page
2. Wait 5-10 minutes
3. Enter valid credentials
4. Click Login</t>
  </si>
  <si>
    <t>Login succeeds or user-friendly message shown</t>
  </si>
  <si>
    <t>System shows "CSRF token validation failed"</t>
  </si>
  <si>
    <t>https://drive.google.com/open?id=1iaIQ9FdLIvMj0pNKl406TaBExVOTQW0M&amp;usp=drive_copy</t>
  </si>
  <si>
    <t>Root cause: CSRF token has short TTL. Application does not auto-refresh token or handle token expiry gracefully. Fix: Implement silent token refresh on form submit or display a user-friendly 'session expired' message with a 'Refresh' button.</t>
  </si>
  <si>
    <t>Bug_004</t>
  </si>
  <si>
    <t>Account lockout not triggered after 5 failed login attempts</t>
  </si>
  <si>
    <t>The system fails to enforce security protocols by not locking the account after the maximum allowed failed login attempts.</t>
  </si>
  <si>
    <t>1. Enter a valid registered username (e.g., "Admin").
2. Enter an incorrect password (e.g., "wrong123").
3. Repeat the login attempt 5 times.
4. Attempt to log in again.</t>
  </si>
  <si>
    <t>Bug_005</t>
  </si>
  <si>
    <t>Dashboard remains accessible via browser back button after logout</t>
  </si>
  <si>
    <t>After logging out, the system fails to prevent the user from navigating back to the dashboard using the browser's back button.</t>
  </si>
  <si>
    <t>1. Ensure the user is not logged in.
2. Navigate directly to the dashboard URL.</t>
  </si>
  <si>
    <t>User accessed the page</t>
  </si>
  <si>
    <t>Bug_006</t>
  </si>
  <si>
    <t>Dashboard remains accessible via Browser Back and Refresh after logout</t>
  </si>
  <si>
    <t>The application fails to properly invalidate the session or clear cache, allowing a user to bypass authentication by navigating back from the dashboard to login page and refreshing the page after logging out.</t>
  </si>
  <si>
    <t>https://drive.google.com/open?id=1R8wzKEIy2DvoaLllUSkf32SqBYssERaM&amp;usp=drive_copy</t>
  </si>
  <si>
    <t>Bug_007</t>
  </si>
  <si>
    <t>Password field accepts paste actions contrary to security requirements</t>
  </si>
  <si>
    <t>The password field accepts programmatic clipboard paste actions, failing to restrict pasting sensitive credential data as expected.</t>
  </si>
  <si>
    <t>1. Navigate to the login page.
2. Copy the correct password ("admin123").
3. Paste the password into the password field.
4. Enter the username ("Admin").
5. Click "Login".</t>
  </si>
  <si>
    <t>The password field should not accept the paste action</t>
  </si>
  <si>
    <t>The clipboard paste restriction is missing or not properly enforced on the password input element.</t>
  </si>
  <si>
    <t>Bug_008</t>
  </si>
  <si>
    <t>Username field is not case-sensitive</t>
  </si>
  <si>
    <t>The system fails to enforce case-sensitivity for usernames during the login process. It allows successful authentication even when the letter casing does not match the registered account details.</t>
  </si>
  <si>
    <t>1. Navigate to the login page.
2. Enter a valid username in lowercase (e.g., "admin") where the actual registered username is capitalized (e.g., "Admin").
3. Enter the correct password ("admin123").
4. Click the "Login" button.</t>
  </si>
  <si>
    <t>Login should fail and access should be denied based on a case-sensitive authentication requirement.</t>
  </si>
  <si>
    <t>Bug_009</t>
  </si>
  <si>
    <t>Login button allows multiple rapid clicks during authentication</t>
  </si>
  <si>
    <t>Login button is not disabled during authentication processing, allowing multiple rapid clicks which could trigger duplicate requests.</t>
  </si>
  <si>
    <t>1. Open login page
2. Enter valid credentials
3. Rapidly click Login button multiple times</t>
  </si>
  <si>
    <t>Button disabled after first click, single request processed</t>
  </si>
  <si>
    <t>Multiple login requests sent</t>
  </si>
  <si>
    <t>Root cause: Missing client-side submission state handling, allowing rapid successive POST requests to the authentication endpoint.
Fix: Disable the login button and display a loading indicator immediately upon the first click, re-enabling it only if the authentication request fails.</t>
  </si>
  <si>
    <t>Bug_010</t>
  </si>
  <si>
    <t>Spaces in username cause CSRF token error instead of proper validation</t>
  </si>
  <si>
    <t>Entering username with leading/trailing spaces triggers a CSRF token validation error instead of trimming or showing a proper validation message.</t>
  </si>
  <si>
    <t>1. Open login page
2. Enter " Admin " (with spaces)
3. Enter valid password
4. Click Login</t>
  </si>
  <si>
    <t>System trims spaces and processes login normally</t>
  </si>
  <si>
    <t>CSRF token validation failed error</t>
  </si>
  <si>
    <t>Root cause: CSRF token validation relies on a strict payload hash that breaks when unexpected whitespace alters the request body before the validation middleware runs.
Fix: Apply input sanitization middleware to strip leading and trailing whitespace from the payload before CSRF hashing and validation occur.</t>
  </si>
  <si>
    <t>Bug_011</t>
  </si>
  <si>
    <t>Login button is not disabled during processing - allows multiple clicks and duplicate login requests</t>
  </si>
  <si>
    <t>متكررة هي هي 8</t>
  </si>
  <si>
    <t>When a user enters valid credentials and rapidly clicks the Login button twice, the button does not become disabled during the authentication processing. This allows multiple login requests to be sent to the server simultaneously, potentially creating multiple sessions instead of a single session. The login button should be disabled immediately after the first click to prevent duplicate submissions.</t>
  </si>
  <si>
    <t>1. Navigate to https://opensource-demo.orangehrmlive.com/
2. Enter valid credentials in the Username and Password fields.
3. Click the "Login" button rapidly twice in quick succession.
4. Observe the button state and the number of requests sent.</t>
  </si>
  <si>
    <t>Only one login request should be processed. The Login button should be disabled/show a loading state after the first click, preventing duplicate submissions. A single session should be created.</t>
  </si>
  <si>
    <t>The Login button allows multiple clicks. Multiple login requests are sent to the server. No loading state or disabled state is applied to the button during authentication processing.</t>
  </si>
  <si>
    <t>Bug_012</t>
  </si>
  <si>
    <t>Double-click login bypass with invalid password - clicking Login twice with wrong password grants unauthorized dashboard access</t>
  </si>
  <si>
    <t>When a user enters a valid username and an incorrect password, clicking the Login button twice in quick succession bypasses authentication and grants access to the dashboard. This is a critical authentication bypass vulnerability that allows unauthorized access to the system with only knowledge of a valid username. The server appears to process the second request before fully validating the first, resulting in a race condition that circumvents password verification.</t>
  </si>
  <si>
    <t>1. Navigate to https://opensource-demo.orangehrmlive.com/
2. Enter a valid username in the Username field.
3. Enter an incorrect password in the Password field.
4. Rapidly click the "Login" button two times in quick succession.
5. Observe the application behavior and the page navigated to.</t>
  </si>
  <si>
    <t>The system should display an "Invalid credentials" error message and remain on the login page. The user should NOT be authenticated or redirected to the Dashboard. No session or authentication token should be created.</t>
  </si>
  <si>
    <t>The system authenticates the user and redirects to the Dashboard page despite the incorrect password being entered. Login is successful after the second click. A valid session is created, granting full access to the application.</t>
  </si>
  <si>
    <t>Root cause: Time-of-Check to Time-of-Use (TOCTOU) race condition in the backend authentication controller where overlapping requests exploit uninitialized session states.
Fix: Implement strict backend thread-safety for session creation, enforce rate-limiting on the login endpoint, and ensure atomic transaction handling for all authentication checks.</t>
  </si>
  <si>
    <t>مش بيدخل معايا عادي فهل دي bug؟</t>
  </si>
  <si>
    <t>Bug_013</t>
  </si>
  <si>
    <t>Login credentials persist in Username and Password fields after user logs out of the application</t>
  </si>
  <si>
    <t>After a user logs out of the application, the login page fields (Username and Password) still retain the previously entered credentials instead of being cleared. This is a security vulnerability as it exposes user credentials to the next person who uses the same browser session, particularly on shared or public workstations.</t>
  </si>
  <si>
    <t>1. Navigate to https://opensource-demo.orangehrmlive.com/
2. Login to the application using valid credentials (Username and Password).
3. Verify successful login (Dashboard is displayed).
4. Click on the user profile dropdown in the top-right corner.
5. Click the "Logout" option.
6. Observe the login page after being redirected.
7. Check the Username and Password fields for any pre-filled values.</t>
  </si>
  <si>
    <t>After logout, the login page should be displayed with both the Username and Password fields completely empty/cleared. No previously entered credentials should be visible or pre-filled in any field.</t>
  </si>
  <si>
    <t>After logout, the login page is displayed but the Username and Password fields still contain the previously entered credentials (Admin / admin123). The fields are not cleared upon logout. The credentials are fully visible and usable by anyone who accesses the browser.</t>
  </si>
  <si>
    <t>Root cause: The logout handler successfully destroys the server-side session but relies on a soft client-side redirect without clearing the DOM state or browser cache.
Fix: Clear local component state upon logout, force a hard redirect or page reload, and add autocomplete="off" to sensitive form fields.</t>
  </si>
  <si>
    <t>دي حاجة من الـ browser اما لو جربتها في icoginato هتلاقي مفيش حاجة مكتوبة</t>
  </si>
  <si>
    <t>Bug_025</t>
  </si>
  <si>
    <t>Login – Security</t>
  </si>
  <si>
    <t>Password field missing 'autocomplete' attribute — browser may autofill or save password without restriction</t>
  </si>
  <si>
    <t>The password input field on the Login page does not have an 'autocomplete' attribute set. Without autocomplete='off' or autocomplete='current-password', browsers may offer to save the password and autofill it on subsequent visits. On shared or public workstations, browser-saved credentials could expose a user's password to anyone who uses the same browser profile.</t>
  </si>
  <si>
    <t>1. Navigate to the Login page.
2. Right-click on the Password field.
3. Select 'Inspect Element' (or 'Inspect').
4. Examine the &lt;input&gt;
element in the HTML inspector.
5. Look for the 'autocomplete' attribute.</t>
  </si>
  <si>
    <t>Password field has attribute: autocomplete='off' OR autocomplete='current-password'. Browser does not offer to save or autofill the password automatically.</t>
  </si>
  <si>
    <t>Password field has NO autocomplete attribute (value = None / attribute absent). Browser may offer to save and autofill the password. On shared devices, saved passwords could be accessible to subsequent users.</t>
  </si>
  <si>
    <t>Root cause: 501 error indicates a server-side handler is not implemented or not configured for the Admin account's reset flow. This may be specific to the Admin account type which may require a different reset mechanism. Verify whether Admin accounts should use the standard reset flow or a separate process.</t>
  </si>
  <si>
    <t>Bug_014</t>
  </si>
  <si>
    <t>System fails to trim leading spaces in username input field</t>
  </si>
  <si>
    <t>When a user enters a username with leading spaces (e.g., ' Admin'), the system does not trim the whitespace before authentication. This causes the login to fail even though the core username value is valid. The system should automatically strip leading whitespace from the username field before processing the login request.</t>
  </si>
  <si>
    <t>1. Navigate to the OrangeHRM login page.
2. Enter username with leading spaces: ' Admin' (space before Admin).
3. Enter valid password: 'admin123'.
4. Click the 'Login' button.</t>
  </si>
  <si>
    <t>Leading spaces are trimmed from the username, and the user is logged in successfully.</t>
  </si>
  <si>
    <t>Login failed. The system did not trim the leading spaces and treated ' Admin' as an invalid username.</t>
  </si>
  <si>
    <t>Root cause: Both the front-end form submission and back-end authentication controllers lack basic input sanitization, passing raw strings with whitespace directly into the validation logic.
Fix: Implement .trim() on the front-end inputs before submission, and enforce identical trimming middleware on the back-end before querying the database.</t>
  </si>
  <si>
    <t>Bug_015</t>
  </si>
  <si>
    <t>System fails to trim leading spaces in password input field</t>
  </si>
  <si>
    <t>When a user enters a password with leading spaces (e.g., '  admin123'), the system does not trim the whitespace before authentication. This causes the login to fail even though the core password value is correct. The system should automatically strip leading whitespace from the password field before processing the login request.</t>
  </si>
  <si>
    <t>1. Navigate to the OrangeHRM login page.
2. Enter valid username: 'Admin'.
3. Enter password with leading spaces: '  admin123' (spaces before admin123).
4. Click the 'Login' button.</t>
  </si>
  <si>
    <t>Leading spaces are trimmed from the password, and the user is logged in successfully.</t>
  </si>
  <si>
    <t>Login failed. The system did not trim the leading spaces and treated '  admin123' as an invalid password.</t>
  </si>
  <si>
    <t>Bug_016</t>
  </si>
  <si>
    <t>System fails to trim trailing spaces in password input field</t>
  </si>
  <si>
    <t>When a user enters a password with trailing spaces (e.g., 'admin123   '), the system does not trim the whitespace before authentication. This causes the login to fail even though the core password value is correct. The system should automatically strip trailing whitespace from the password field before processing the login request.</t>
  </si>
  <si>
    <t>1. Navigate to the OrangeHRM login page.
2. Enter valid username: 'Admin'.
3. Enter password with trailing spaces: 'admin123   ' (spaces after admin123).
4. Click the 'Login' button.</t>
  </si>
  <si>
    <t>Trailing spaces are trimmed from the password, and the user is logged in successfully.</t>
  </si>
  <si>
    <t>Login failed. The system did not trim the trailing spaces and treated 'admin123   ' as an invalid password.</t>
  </si>
  <si>
    <t>Bug_017</t>
  </si>
  <si>
    <t>Forgot Password – Server Error</t>
  </si>
  <si>
    <t>Password reset request for 'Admin' returns 501 Not Implemented server error — reset workflow blocked</t>
  </si>
  <si>
    <t>When the 'Admin' username is submitted on the Forgot Password page, the server returns an HTTP 501 Not Implemented error instead of processing the request and displaying the confirmation page. The reset workflow is completely broken for the Admin account. The page hangs for several seconds before displaying the 501 error, and no confirmation or reset link is generated.</t>
  </si>
  <si>
    <t>1. Navigate to the Forgot Password page.
2. Enter username: Admin.
3. Click 'Reset Password'.
4. Wait for the system response.
5. Observe the page displayed after submission.</t>
  </si>
  <si>
    <t>System processes the reset request and redirects to confirmation page displaying: 'Reset password link sent successfully. If the email does not arrive, please contact your OrangeHRM Administrator.'</t>
  </si>
  <si>
    <t>System loads for 5–8 seconds, then displays a 501 Not Implemented HTTP error page. No confirmation message is shown. No reset link is generated. The Admin password reset is completely non-functional.</t>
  </si>
  <si>
    <t>Bug_018</t>
  </si>
  <si>
    <t>Forgot Password – Email Delivery</t>
  </si>
  <si>
    <t>Password reset email is not delivered — system shows 'contact administrator' message instead of email</t>
  </si>
  <si>
    <t>After submitting a valid password reset request on the Forgot Password page, the system displays: 'If the email does not arrive, please contact your OrangeHRM Administrator.' No reset email is received in the user's inbox (including spam/junk). The password recovery feature is non-functional — users who forget their password cannot reset it through the self-service flow.</t>
  </si>
  <si>
    <t>1. Navigate to the Forgot Password page.
2. Enter a valid registered username (e.g., afram).
3. Click 'Reset Password'.
4. Note the confirmation message displayed.
5. Check the email inbox associated with the user account.
6. Check spam/junk folder.
7. Wait 5 minutes and check again.</t>
  </si>
  <si>
    <t>Reset email is delivered to the user's email address within 2–5 minutes. Email contains a secure, time-limited password reset link. User can click the link to set a new password.</t>
  </si>
  <si>
    <t>No reset email is received in any folder (inbox, spam, junk). System only shows: 'If the email does not arrive, please contact your OrangeHRM Administrator.' The reset link is never generated or delivered.</t>
  </si>
  <si>
    <t>Bug_019</t>
  </si>
  <si>
    <t>Forgot Password – UI Behavior</t>
  </si>
  <si>
    <t>Reset Password' button remains active during processing — allows multiple submissions of the same reset request</t>
  </si>
  <si>
    <t>After clicking the 'Reset Password' button on the Forgot Password page, the button remains fully clickable during the server processing period. Users can click the button multiple times in rapid succession, potentially sending multiple duplicate reset requests to the server. No loading state, disabled state, or visual feedback is shown to indicate the request is being processed.</t>
  </si>
  <si>
    <t>1. Navigate to the Forgot Password page.
2. Enter username: afram.
3. Click 'Reset Password' button.
4. Immediately click 'Reset Password' again (within ~500ms).
5. Observe button state during processing.
6. Check server for duplicate reset requests.</t>
  </si>
  <si>
    <t>Reset Password' button is disabled immediately after first click. Loading state (spinner) is shown. Only one reset request is sent to the server.</t>
  </si>
  <si>
    <t>Reset Password button remains enabled and clickable throughout processing. Multiple clicks send duplicate reset requests. No loading state is displayed.</t>
  </si>
  <si>
    <t>Bug_020</t>
  </si>
  <si>
    <t>Forgot Password – Anti-Harvesting</t>
  </si>
  <si>
    <t>System shows same success message for non-existing username — timing difference may enable username enumeration</t>
  </si>
  <si>
    <t>When a non-existing username is submitted for password reset, the system returns the same 'Reset password link sent successfully' confirmation message as for a valid username. While this is the CORRECT anti-harvesting behavior per AC Scenario 2, the response TIME may differ between valid and invalid usernames, enabling a timing-based username enumeration attack. Additionally, the test case expected result was incorrectly defined as 'System should not process reset request', conflicting with the anti-harvesting AC.</t>
  </si>
  <si>
    <t>1. Navigate to the Forgot Password page.
2. Enter a non-existing username: NonExistentUser99.
3. Click 'Reset Password'.
4. Time the response using browser DevTools (Network tab).
5. Compare response time with a valid username (e.g., afram).
6. Note any differences in HTTP response time.</t>
  </si>
  <si>
    <t>Same success message shown for invalid username (correct anti-harvesting behavior). Response time for invalid username may be shorter than for valid username. This timing difference could theoretically enable username enumeration attacks.</t>
  </si>
  <si>
    <t>Bug_021</t>
  </si>
  <si>
    <t>Forgot Password – Input Validation</t>
  </si>
  <si>
    <t>Invalid username characters accepted on Forgot Password page — no format validation applied</t>
  </si>
  <si>
    <t>The Forgot Password page accepts usernames containing special characters, scripts, and malformed input without any validation error. Any string — regardless of format — is accepted and processed. The system shows the same success response for inputs like '&lt;script&gt;alert(1)&lt;/script&gt;', SQL payloads, and random special characters, without validating that the input conforms to a valid username format.</t>
  </si>
  <si>
    <t>1. Navigate to the Forgot Password page.
2. Enter invalid username with special chars: 'user@#$%^&amp;*()'.
3. Click 'Reset Password'.
4. Observe whether a validation error is shown.
5. Repeat with: '&lt;script&gt;alert(1)&lt;/script&gt;' and '1234!@#'.</t>
  </si>
  <si>
    <t>System validates username format and displays an error: 'Invalid username format. Please enter a valid username.' OR: System rejects obviously invalid formats with a validation message.</t>
  </si>
  <si>
    <t>System accepts all inputs including special characters and script tags. No validation error is displayed. System continues with the reset workflow and shows the standard confirmation response for all invalid inputs.</t>
  </si>
  <si>
    <t>Bug_022</t>
  </si>
  <si>
    <t>Forgot Password – Security</t>
  </si>
  <si>
    <t>Account harvesting protection is asymmetric — response behavior differs for valid vs. invalid usernames</t>
  </si>
  <si>
    <t>The Forgot Password page is intended to provide the same response for both valid and invalid usernames (anti-harvesting / account enumeration prevention). However, testing reveals asymmetric behavior: the response pattern, timing, or HTTP response characteristics differ between a valid and an invalid username request. This asymmetry can be exploited to enumerate valid username accounts.</t>
  </si>
  <si>
    <t>1. Navigate to the Forgot Password page.
2. Submit a VALID username (Admin or afram). Record: response time, HTTP status, message.
3. Navigate back to the Forgot Password page.
4. Submit an INVALID username (NonExistentUser999). Record the same metrics.
5. Compare both results for any observable differences.</t>
  </si>
  <si>
    <t>Identical response in all observable dimensions: same message text, same response time (within ±100ms), same HTTP status code, same page appearance. Zero information leakage about account validity.</t>
  </si>
  <si>
    <t>Response behavior is asymmetric between valid and invalid usernames. Differences detected in: response timing and/or processing behavior. An attacker can distinguish valid from invalid usernames by measuring response time differences.</t>
  </si>
  <si>
    <t>Bug_023</t>
  </si>
  <si>
    <t>No validation error displayed for invalid username on Forgot Password page — silent failure with success message</t>
  </si>
  <si>
    <t>هي هي 20</t>
  </si>
  <si>
    <t>When an invalid or non-existent username is entered on the Forgot Password page and submitted, no validation or error feedback is displayed to the user. The system immediately shows the success confirmation message without any indication that the username was not found or was invalid. Users receive no guidance to correct their input, leaving them uncertain whether the reset request was genuinely processed.</t>
  </si>
  <si>
    <t>1. Navigate to the Forgot Password page.
2. Enter username: InvalidUser123.
3. Click 'Reset Password'.
4. Observe whether any inline validation or field-level error appears.
5. Observe the final system response message.</t>
  </si>
  <si>
    <t>System displays an error or informational message for clearly invalid usernames, e.g.: 'No account found with this username. Please check and try again.' OR at minimum, inline validation for obviously malformed inputs.</t>
  </si>
  <si>
    <t>No validation error or inline field error is shown. System immediately displays the standard success message: 'Reset password link sent successfully.' User has no feedback that the username was invalid.</t>
  </si>
  <si>
    <t>متكررة هي هي 20</t>
  </si>
  <si>
    <t>Bug_024</t>
  </si>
  <si>
    <t>Forgot Password – Backend Behavior</t>
  </si>
  <si>
    <t>System may trigger backend email-generation workflow for non-existing usernames — unnecessary server processing</t>
  </si>
  <si>
    <t>When an unknown/non-existing username is submitted for password reset, the system appears to trigger the same backend processing workflow as for valid usernames (same response time, same confirmation UI). If the backend is executing email lookup, link generation, and email-send attempts for non-existing accounts, this wastes server resources and could be exploited via mass submissions (denial of service via email queue flooding).</t>
  </si>
  <si>
    <t>1. Navigate to the Forgot Password page.
2. Enter a non-existing username: NonExistentUser999.
3. Click 'Reset Password'.
4. Access server logs to verify if an email-generation attempt was made.
5. Submit 50 requests with random non-existing usernames.
6. Check server email queue for entries.</t>
  </si>
  <si>
    <t>Server short-circuits the reset workflow immediately on 'user not found'. No email generation or lookup is attempted for non-existing accounts. Same UI response returned (anti-harvesting), but no backend processing wasted.</t>
  </si>
  <si>
    <t>System shows same success message (correct from UI perspective). Backend processing behavior cannot be verified from UI alone. Server logs indicate the full reset workflow may execute for all submissions.</t>
  </si>
  <si>
    <t>Bug_026</t>
  </si>
  <si>
    <t>Forgot Password – UI</t>
  </si>
  <si>
    <t>OrangeHRM logo is missing from the Forgot Password page — branding inconsistency with Login page</t>
  </si>
  <si>
    <t>The Forgot Password page (/auth/requestPasswordResetCode) does not display the OrangeHRM logo or branding image. The Login page correctly shows both 'ohrm_logo.png' and 'ohrm_branding.png', creating a branding inconsistency between the two authentication pages. The Forgot Password page's Vue component (&lt;request-reset-password&gt;) does not include the logo element present in the login component (&lt;auth-login&gt;).</t>
  </si>
  <si>
    <t>1. Navigate to the Login page (/web/index.php/auth/login).
2. Observe the OrangeHRM logo displayed at the top of the page.
3. Navigate to the Forgot Password page (/web/index.php/auth/requestPasswordResetCode).
4. Observe the page layout.
5. Compare the logo/branding presence between both pages.</t>
  </si>
  <si>
    <t>OrangeHRM logo (ohrm_logo.png) is displayed on the Forgot Password page, consistent with the Login page branding.</t>
  </si>
  <si>
    <t>Forgot Password page shows NO logo or branding image. Only the form elements are visible: Username field, Reset Password button, Cancel button. Logo is confirmed absent from the page HTML and rendered DOM.</t>
  </si>
  <si>
    <t>Bug_027</t>
  </si>
  <si>
    <t>Forgot Password – Accessibility</t>
  </si>
  <si>
    <t>Incorrect keyboard Tab order on Forgot Password page — Tab skips 'Reset Password' and lands on 'Cancel'</t>
  </si>
  <si>
    <t>On the Forgot Password page, pressing the Tab key from the Username input field moves focus directly to the 'Cancel' button, completely skipping the 'Reset Password' submit button. The correct focus order should be: Username → Reset Password → Cancel. This breaks keyboard-only navigation (WCAG 2.1 Success Criterion 2.4.3 Focus Order) and prevents keyboard users from reaching the primary action button via Tab.</t>
  </si>
  <si>
    <t>1. Navigate to the Forgot Password page.
2. Click once on the Username input field to set initial focus.
3. Press the Tab key once.
4. Observe which element receives keyboard focus (check for focus outline).
5. Press Tab again.
6. Observe the next focused element.</t>
  </si>
  <si>
    <t>Tab order: Username → Reset Password button → Cancel button. The 'Reset Password' button receives focus first (it is the primary action).</t>
  </si>
  <si>
    <t>Tab from Username → Cancel button (Reset Password is SKIPPED). Tab again from Cancel → Reset Password button. Primary action button is in wrong tab position.</t>
  </si>
  <si>
    <t>ازاي دي bug؟</t>
  </si>
  <si>
    <t>Bug_028</t>
  </si>
  <si>
    <t>Forgot Password – Session Management</t>
  </si>
  <si>
    <t>Authenticated user can access the Forgot Password page — no redirect to Dashboard occurs</t>
  </si>
  <si>
    <t>When a logged-in (authenticated) user navigates directly to the Forgot Password page URL, the page renders normally without redirecting them to the Dashboard. Authenticated users have no valid reason to access the forgot-password flow. Best practice and most applications redirect authenticated users away from authentication-only pages (login, forgot password, register) to their home page.</t>
  </si>
  <si>
    <t>1. Log in with valid credentials (Admin / admin123).
2. Verify Dashboard is shown.
3. Open a new browser tab or manually type in the address bar:
   https://opensource-demo.orangehrmlive.com/web/index.php/auth/requestPasswordResetCode
4. Press Enter.
5. Observe which page is displayed.</t>
  </si>
  <si>
    <t>Authenticated user is automatically redirected to the Dashboard (/web/index.php/dashboard/index). The Forgot Password page is not shown.</t>
  </si>
  <si>
    <t>Forgot Password page loads normally for the authenticated user. No redirect occurs. The user can interact with the reset form while already logged in.</t>
  </si>
  <si>
    <t>Bug_029</t>
  </si>
  <si>
    <t xml:space="preserve">Forgot Password – Confirmation
</t>
  </si>
  <si>
    <t>Forgot Password confirmation page not displayed — server error/timeout prevents success message from appearing</t>
  </si>
  <si>
    <t>After submitting a password reset request, the expected confirmation message 'Reset password link sent successfully' is not displayed. For the Admin username, the server returns a 501 Not Implemented error (confirmed in TC_LOGIN_040). For other valid usernames, the page hangs and times out with no visible confirmation. The entire confirmation step of the password recovery user flow is broken.</t>
  </si>
  <si>
    <t>1. Navigate to the Forgot Password page.
2. Enter username: Admin.
3. Click 'Reset Password'.
4. Wait up to 30 seconds.
5. Observe the final page/message displayed.
6. Repeat with username: afram.</t>
  </si>
  <si>
    <t>System displays confirmation page with exact message: 'Reset password link sent successfully. If the email does not arrive, please contact your OrangeHRM Administrator.'</t>
  </si>
  <si>
    <t>Admin: Server returns 501 Not Implemented error after ~8 second delay. Other users: Page hangs indefinitely or times out without displaying the confirmation message. The expected success confirmation text is never shown.</t>
  </si>
  <si>
    <t>ما دي هي هي 17 ولا أيه؟</t>
  </si>
  <si>
    <t>Bug_063</t>
  </si>
  <si>
    <t>System accepts weak dictionary passwords</t>
  </si>
  <si>
    <t>Defect encountered: System accepts weak dictionary passwords. The application does not handle the input/action correctly during execution</t>
  </si>
  <si>
    <t>1.Navigate to Add User.
2.Fill all details.
3.Enter 'Password@123' as password.
4.Save.</t>
  </si>
  <si>
    <t>The system should gracefully process the action or display a specific, user-friendly validation message.</t>
  </si>
  <si>
    <t>System error/crash or invalid behavior observed during: System accepts weak dictionary passwords.</t>
  </si>
  <si>
    <t>هو ليه ده weak password؟ مانت مستعمل symbols و upper case
هو عادي الـ expected result يكون هو هو في 13 bug؟</t>
  </si>
  <si>
    <t>Bug_064</t>
  </si>
  <si>
    <t>System allows deletion of active logged-in Admin</t>
  </si>
  <si>
    <t>Defect encountered: System allows deletion of active logged-in Admin. The application does not handle the input/action correctly during execution</t>
  </si>
  <si>
    <t>1.Login as Admin.
2.Go to System Users.
3.Find your own username.
4.Click Delete and confirm.</t>
  </si>
  <si>
    <t>System error/crash or invalid behavior observed during: System allows deletion of active logged-in Admin.</t>
  </si>
  <si>
    <t>دي مش bug ومش بيمسح المتسجل بيه عادي حتى لو ما كنش الـ admin</t>
  </si>
  <si>
    <t>Bug_065</t>
  </si>
  <si>
    <t>Employee auto-complete dropdown overlaps fields on mobile UI</t>
  </si>
  <si>
    <t>Defect encountered: Employee auto-complete dropdown overlaps fields on mobile UI. The application does not handle the input/action correctly during execution</t>
  </si>
  <si>
    <t>1.Emulate mobile device.
2.Go to Add User.
3.Type 'John' in Employee Name.
4.Observe the dropdown menu.</t>
  </si>
  <si>
    <t>System error/crash or invalid behavior observed during: Employee auto-complete dropdown overlaps fields on mobile UI.</t>
  </si>
  <si>
    <t>Bug_066</t>
  </si>
  <si>
    <t>Job Titles - Upload invalid EXE specification</t>
  </si>
  <si>
    <t xml:space="preserve">Defect encountered: Job Titles - Upload invalid EXE specification. The application does not handle the input/action correctly during execution </t>
  </si>
  <si>
    <t>1.Navigate to Job Titles.
2.Click Add
3.Upload EXE
4.Save</t>
  </si>
  <si>
    <t>System error/crash or invalid behavior observed during: Job Titles - Upload invalid EXE specification.</t>
  </si>
  <si>
    <t>مش bug ومش بيقبل exe عادي</t>
  </si>
  <si>
    <t>Bug_067</t>
  </si>
  <si>
    <t>Job Titles - Delete assigned Job Title</t>
  </si>
  <si>
    <t>Defect encountered: Job Titles - Delete assigned Job Title. The application does not handle the input/action correctly during execution</t>
  </si>
  <si>
    <t>1.Navigate to Job Titles.
2.Delete title assigned to John Doe</t>
  </si>
  <si>
    <t>System error/crash or invalid behavior observed during: Job Titles - Delete assigned Job Title.</t>
  </si>
  <si>
    <t>مش فاههمها</t>
  </si>
  <si>
    <t>Bug_068</t>
  </si>
  <si>
    <t>Pay Grades - Add Currency - Min 
Max</t>
  </si>
  <si>
    <t>Defect encountered: Pay Grades - Add Currency - Min 
Max. The application does not handle the input/action correctly during execution</t>
  </si>
  <si>
    <t>1.Navigate to Pay Grades.
2.Add Currency
3.Min 5000, Max 1000</t>
  </si>
  <si>
    <t>System error/crash or invalid behavior observed during: Pay Grades - Add Currency - Min 
Max.</t>
  </si>
  <si>
    <t>مش bug ومش بيقبل اقل من الـ min عادي</t>
  </si>
  <si>
    <t>Bug_069</t>
  </si>
  <si>
    <t>Pay Grades - Delete assigned Pay Grade</t>
  </si>
  <si>
    <t>Defect encountered: Pay Grades - Delete assigned Pay Grade. The application does not handle the input/action correctly during execution</t>
  </si>
  <si>
    <t>1.Navigate to Pay Grades.
2.Delete assigned grade</t>
  </si>
  <si>
    <t>System error/crash or invalid behavior observed during: Pay Grades - Delete assigned Pay Grade.</t>
  </si>
  <si>
    <t>Bug_030</t>
  </si>
  <si>
    <t>Admin – Employment Status</t>
  </si>
  <si>
    <t>System accepts invalid special characters and numeric values in employment status fields</t>
  </si>
  <si>
    <t>The application accepts special characters and numeric values in employment status fields and creates the employment status successfully.</t>
  </si>
  <si>
    <t xml:space="preserve">1. Click Add button 
2. Enter employment status name with special characters (@@@###%%%HR_Method!!!) 
3. Click Save </t>
  </si>
  <si>
    <t>The system should reject invalid characters and display a validation message.</t>
  </si>
  <si>
    <t>Employee is created successfully with invalid characters and numeric values in name fields.</t>
  </si>
  <si>
    <t>Screenshot / Video if available</t>
  </si>
  <si>
    <t>Unassigned</t>
  </si>
  <si>
    <t>Name field validation does not properly restrict unsupported characters or numeric-only names.</t>
  </si>
  <si>
    <t>Bug_031</t>
  </si>
  <si>
    <t>Page refresh during edit corrupts employment status data</t>
  </si>
  <si>
    <t>Refreshing the browser while editing employment status causes corruption of existing data.</t>
  </si>
  <si>
    <t>1. Open Edit form for employment status 
2. Modify name 
3. Do not click Save 
4. Refresh browser (F5) 
5. Return to table 
6. Open record again</t>
  </si>
  <si>
    <t>Unsaved changes should be discarded safely and original data should remain unchanged.</t>
  </si>
  <si>
    <t>Employment status data became corrupted after page refresh during edit process.</t>
  </si>
  <si>
    <t>Unsaved edit state not handled correctly during refresh.</t>
  </si>
  <si>
    <t>Bug_032</t>
  </si>
  <si>
    <t>Admin – Job Categories</t>
  </si>
  <si>
    <t>Special characters in job category names cause UI layout issues</t>
  </si>
  <si>
    <t>Entering job category names containing special characters causes unexpected UI behavior and layout issues in the job category table.</t>
  </si>
  <si>
    <t>1. Click Add button 
2. Enter job category name with special characters (@@@###%%%HR_Method!!!) 
3. Click Save 
4. Observe table and UI behavior</t>
  </si>
  <si>
    <t>The system should validate input properly and maintain stable UI layout.</t>
  </si>
  <si>
    <t>UI remains functional and readable.</t>
  </si>
  <si>
    <t>Input validation issue in job category name field.</t>
  </si>
  <si>
    <t>Bug_033</t>
  </si>
  <si>
    <t>Page refresh during edit corrupts job category data</t>
  </si>
  <si>
    <t>Refreshing the browser while editing a job category causes corruption of existing data.</t>
  </si>
  <si>
    <t>1. Open Edit form for job category 
2. Modify name 
3. Do not click Save 
4. Refresh browser (F5) 
5. Return to table 
6. Open record again</t>
  </si>
  <si>
    <t>Job category data became corrupted after page refresh during edit process.</t>
  </si>
  <si>
    <t>Bug_070</t>
  </si>
  <si>
    <t>Work Shifts - Cross-day Work Shift</t>
  </si>
  <si>
    <t>Defect encountered: Work Shifts - Cross-day Work Shift. The application does not handle the input/action correctly during execution</t>
  </si>
  <si>
    <t>1.Navigate to Work Shifts.
2.Set From: 22:00, To: 06:00
3.Save</t>
  </si>
  <si>
    <t>System error/crash or invalid behavior observed during: Work Shifts - Cross-day Work Shift.</t>
  </si>
  <si>
    <t>Bug_071</t>
  </si>
  <si>
    <t>Work Shifts - Overlapping shifts for Emp</t>
  </si>
  <si>
    <t>Defect encountered: Work Shifts - Overlapping shifts for Emp. The application does not handle the input/action correctly during execution</t>
  </si>
  <si>
    <t>1.Navigate to Work Shifts.
2.Assign John to 9-5 and 12-8</t>
  </si>
  <si>
    <t>System error/crash or invalid behavior observed during: Work Shifts - Overlapping shifts for Emp.</t>
  </si>
  <si>
    <t>دي مش bug عشان مفيش overlap بيحصل عشان مينفعش employee يتعمله assign لأكتر من shift</t>
  </si>
  <si>
    <t>Admin / General Information</t>
  </si>
  <si>
    <t>Tablet / iPad Pro Viewport</t>
  </si>
  <si>
    <t>The General Information page fails layout responsiveness validations when viewed on or scaled down to tablet-sized configurations, hiding crucial UI interaction points.</t>
  </si>
  <si>
    <t>1. Navigate to the General Information page.
2. Resize the browser window to Desktop/Tablet sizes, or simulate an iPad Pro viewport size.</t>
  </si>
  <si>
    <t>The UI layout should remain completely usable, adaptive, and properly aligned.</t>
  </si>
  <si>
    <t>Admin / Location Management</t>
  </si>
  <si>
    <t>The system fails to throttle or prevent duplicate toast/popup notifications when a user repeatedly or quickly clicks the "Save" button on a form.</t>
  </si>
  <si>
    <t>1. Open an existing location within the application.
2. Modify any data field.
3. Click the Save button multiple times in rapid succession.</t>
  </si>
  <si>
    <t>Only one "Successfully Saved" notification should be displayed to the user.</t>
  </si>
  <si>
    <t>The system fails to trigger a prompt or confirmation dialogue to prevent accidental data loss when a user refreshes the page while working on unsaved form fields.</t>
  </si>
  <si>
    <t>1. Open an existing location within the application.
2. Modify one or more data fields (e.g., set Name to 'Cairo HQ Updated').
3. Refresh the browser page before clicking save.</t>
  </si>
  <si>
    <t>System should display an unsaved changes warning or preserve the entered modifications, ensuring the user is informed before losing data.</t>
  </si>
  <si>
    <t>All unsaved modifications were lost immediately after the refresh action without any warning prompt being shown.</t>
  </si>
  <si>
    <t>Bug_072</t>
  </si>
  <si>
    <t>Company Structure - Add Node duplicate ID</t>
  </si>
  <si>
    <t>Defect encountered: Company Structure - Add Node duplicate ID. The application does not handle the input/action correctly during execution</t>
  </si>
  <si>
    <t>1.Navigate to Company Structure.
2.Click +
3.Enter existing ID</t>
  </si>
  <si>
    <t>System error/crash or invalid behavior observed during: Company Structure - Add Node duplicate ID.</t>
  </si>
  <si>
    <t>Bug_073</t>
  </si>
  <si>
    <t>Company Structure - Delete Parent Node</t>
  </si>
  <si>
    <t>Defect encountered: Company Structure - Delete Parent Node. The application does not handle the input/action correctly during execution</t>
  </si>
  <si>
    <t>1.Navigate to Company Structure.
2.Click Delete on parent node</t>
  </si>
  <si>
    <t>System error/crash or invalid behavior observed during: Company Structure - Delete Parent Node.</t>
  </si>
  <si>
    <t>Bug_074</t>
  </si>
  <si>
    <t>Company Structure - Drag and Drop Node</t>
  </si>
  <si>
    <t>Defect encountered: Company Structure - Drag and Drop Node. The application does not handle the input/action correctly during execution</t>
  </si>
  <si>
    <t>1.Navigate to Company Structure.
2.Drag QA node under HR node</t>
  </si>
  <si>
    <t>System error/crash or invalid behavior observed during: Company Structure - Drag and Drop Node.</t>
  </si>
  <si>
    <t>Bug_075</t>
  </si>
  <si>
    <t>Company Structure - Long Unit Name Overflow</t>
  </si>
  <si>
    <t>Defect encountered: Company Structure - Long Unit Name Overflow. The application does not handle the input/action correctly during execution</t>
  </si>
  <si>
    <t>1.Navigate to Company Structure.
2.Create node with 100 char name</t>
  </si>
  <si>
    <t>System error/crash or invalid behavior observed during: Company Structure - Long Unit Name Overflow.</t>
  </si>
  <si>
    <t>Bug_034</t>
  </si>
  <si>
    <t>Education Levels</t>
  </si>
  <si>
    <t>Special characters in education level names cause UI layout issues</t>
  </si>
  <si>
    <t>US_012</t>
  </si>
  <si>
    <t>Entering education level names with special characters causes unexpected UI behavior and layout issues in the education levels table.</t>
  </si>
  <si>
    <t>1. Click Add button 
2. Enter education level name with special characters (@@@###%%%HR_Method!!!) 
3. Click Save 
4. Observe table and UI behavior</t>
  </si>
  <si>
    <t>The system should validate input properly and maintain a stable UI layout.</t>
  </si>
  <si>
    <t>Special characters caused UI layout issues in education levels table.</t>
  </si>
  <si>
    <t>Input validation issue in education level name field.</t>
  </si>
  <si>
    <t>Bug_035</t>
  </si>
  <si>
    <t>Page refresh during edit corrupts education level data</t>
  </si>
  <si>
    <t>Refreshing the browser while editing an education level causes corruption of existing data.</t>
  </si>
  <si>
    <t>1. Open Edit form for education level 
2. Modify name 
3. Do not click Save 
4. Refresh browser (F5) 
5. Return to table 
6. Open record again</t>
  </si>
  <si>
    <t>Education level data became corrupted after page refresh during edit process.</t>
  </si>
  <si>
    <t>Bug_036</t>
  </si>
  <si>
    <t>Licenses</t>
  </si>
  <si>
    <t>Special characters in license names cause UI layout issues</t>
  </si>
  <si>
    <t>US_013</t>
  </si>
  <si>
    <t>Entering license names containing special characters causes unexpected UI behavior and layout issues in the license table.</t>
  </si>
  <si>
    <t>1. Click Add button 
2. Enter license name with special characters (@@@###%%%HR_Method!!!) 
3. Click Save 
4. Observe table and UI behavior</t>
  </si>
  <si>
    <t>Special characters caused UI layout issues in license table.</t>
  </si>
  <si>
    <t>Input validation issue in license name field.</t>
  </si>
  <si>
    <t>Bug_038</t>
  </si>
  <si>
    <t>Page refresh during edit corrupts the Licenses data</t>
  </si>
  <si>
    <t>Refreshing the browser while editing a licenses causes corruption of existing data.</t>
  </si>
  <si>
    <t>1. Open Edit form for licenses 
2. Modify name 
3. Do not click Save 
4. Refresh browser (F5) 
5. Return to table 
6. Open record again</t>
  </si>
  <si>
    <t>licenses data became corrupted after page refresh during edit process.</t>
  </si>
  <si>
    <t>Incorrect records displayed per page when navigating pagination controls</t>
  </si>
  <si>
    <t>The pagination framework fails to load or calculate the accurate subset of records corresponding to the selected page view when the total item counts surpass the maximum page threshold.</t>
  </si>
  <si>
    <t>1. Ensure the existing languages count exceeds the current page size limit.
2. Click the next or previous page pagination control button.</t>
  </si>
  <si>
    <t>The interface displays multiple records conforming exactly to the expected correct records configured per page view.</t>
  </si>
  <si>
    <t>The page did not display the correct records per page upon navigation.</t>
  </si>
  <si>
    <t>ازاي bug وهو أصلا عدد اللغات الموجودة قليل</t>
  </si>
  <si>
    <t>Language page gets stuck in infinite load after submitting an invalid parameter</t>
  </si>
  <si>
    <t>When an administrator attempts to add an invalid language parameter, the system is unable to handle the validation exception gracefully, causing the page UI to hang indefinitely in a loading state.</t>
  </si>
  <si>
    <t>1. Navigate to the language configuration interface.
2. Add an invalid language parameter (e.g., " englishz").
3. Click the Save button.</t>
  </si>
  <si>
    <t>The application should return the user cleanly back to the home language page view.</t>
  </si>
  <si>
    <t>The application didn't return to the home language page; instead, it got stuck in an infinity load screen.</t>
  </si>
  <si>
    <t>System fails to prevent duplicate language creation when using different language names ("arabic" and "العربيه")</t>
  </si>
  <si>
    <t>The system allows the creation of duplicate language entries if the language name is entered in a different translation or script (e.g., English text vs. Arabic script), bypassing duplicate-checking constraints.</t>
  </si>
  <si>
    <t>1. Navigate to the language configuration page.
2. Click Add and add language "arabic", then click Save.
3. Click Add again to create another language entry.
4. Add the new language name as "العربيه".
5. Click Save.</t>
  </si>
  <si>
    <t>The system should recognize it as a duplicate language, prevent saving "العربيه", and display a validation message stating "Already exists".</t>
  </si>
  <si>
    <t>The system fails to recognize the duplicate entry across different language names/scripts, failing to throw the "Already exists" validation error as required.</t>
  </si>
  <si>
    <t>Bug_037</t>
  </si>
  <si>
    <t>Nationalities</t>
  </si>
  <si>
    <t>Special characters in nationality names cause UI layout issues</t>
  </si>
  <si>
    <t>US_016</t>
  </si>
  <si>
    <t>Entering nationality names containing special characters causes unexpected UI behavior and layout issues in the nationality table.</t>
  </si>
  <si>
    <t>1. Click Add button 
2. Enter nationality name with special characters (@@@###%%%HR_Method!!!) 
3. Click Save 
4. Observe table and UI behavior</t>
  </si>
  <si>
    <t>Special characters caused UI layout issues in nationality table.</t>
  </si>
  <si>
    <t>Input validation issue in nationality name field.</t>
  </si>
  <si>
    <t>Page refresh during edit corrupts nationality data</t>
  </si>
  <si>
    <t>Refreshing the browser while editing a nationality causes corruption of existing data.</t>
  </si>
  <si>
    <t>1. Open Edit form for nationality 
2. Modify name 
3. Do not click Save 
4. Refresh browser (F5) 
5. Return to table 
6. Open record again</t>
  </si>
  <si>
    <t>Nationality data became corrupted after page refresh during edit process.</t>
  </si>
  <si>
    <t>Bug_076</t>
  </si>
  <si>
    <t>Admin / Corporate Branding</t>
  </si>
  <si>
    <t>Color field accepts invalid hex codes without validation error</t>
  </si>
  <si>
    <t> TC_ADMIN_451</t>
  </si>
  <si>
    <t>US_017</t>
  </si>
  <si>
    <t>When Admin enters an invalid hex color code (e.g., 'ZZZZZZ') in the Primary Color field on the Corporate Branding page and clicks Publish, the system does not display a validation error message and accepts the invalid value.</t>
  </si>
  <si>
    <t>1. Login as Admin
2. Navigate to Admin 
Corporate Branding
3. Click on Primary Color field
4. Type invalid value 'ZZZZZZ'
5. Click Publish</t>
  </si>
  <si>
    <t>System should display a validation error message indicating invalid hex code; invalid color should not be applied</t>
  </si>
  <si>
    <t>No validation error shown; system appears to accept invalid hex code without rejection</t>
  </si>
  <si>
    <t>Root Cause: Missing input validation for hex color field. Frontend validation rule for hex color format not implemented.</t>
  </si>
  <si>
    <t xml:space="preserve">بيقول invalid عادي </t>
  </si>
  <si>
    <t>Bug_077</t>
  </si>
  <si>
    <t>GIF file accepted as company logo without validation error</t>
  </si>
  <si>
    <t> TC_ADMIN_457</t>
  </si>
  <si>
    <t>When Admin uploads a GIF file as Company Logo on the Corporate Branding page, the system accepts it without displaying a validation error. Based on standard requirements, only specific image formats (PNG, JPG) should be accepted.</t>
  </si>
  <si>
    <t>1. Login as Admin
2. Navigate to Admin 
Corporate Branding
3. Click Upload for Company Logo
4. Select a .gif file
5. Observe behavior</t>
  </si>
  <si>
    <t>System should display validation error for unsupported GIF file type and reject the upload</t>
  </si>
  <si>
    <t>GIF file accepted without error message; logo replaced with GIF</t>
  </si>
  <si>
    <t>Root Cause: File type validation does not include GIF in the list of rejected formats. File type whitelist may be too permissive.</t>
  </si>
  <si>
    <t>مكتوب انه بيسمح بالـ gif عادي</t>
  </si>
  <si>
    <t>Bug_078</t>
  </si>
  <si>
    <t>Publish button not disabled after first click allowing multiple rapid clicks</t>
  </si>
  <si>
    <t>When Admin clicks the Publish button multiple times rapidly on the Corporate Branding page, the button is not disabled after the first click. This could cause duplicate save requests to be sent to the server.</t>
  </si>
  <si>
    <t>1. Login as Admin
2. Navigate to Admin 
Corporate Branding
3. Make valid branding changes
4. Click Publish button rapidly multiple times
5. Observe behavior</t>
  </si>
  <si>
    <t>Publish button should be disabled after first click to prevent duplicate submissions; only one save request should be processed</t>
  </si>
  <si>
    <t>Publish button remains enabled after first click; multiple rapid clicks cause multiple save requests</t>
  </si>
  <si>
    <t>Root Cause: Publish button lacks click debounce or disable-on-click implementation. No frontend protection against double submission.</t>
  </si>
  <si>
    <t>زرار الـ publish أصلا بيختفي</t>
  </si>
  <si>
    <t>Bug_079</t>
  </si>
  <si>
    <t>Login page does not reflect updated company logo after Admin publishes new branding</t>
  </si>
  <si>
    <t>After Admin publishes a new company logo on the Corporate Branding page, the login page still displays the old/default logo. The branding change is not immediately reflected on the login page even after clearing browser cache.</t>
  </si>
  <si>
    <t>1. Login as Admin
2. Navigate to Admin → Corporate Branding
3. Upload a new company logo
4. Click Publish
5. Logout
6. Observe the login page logo</t>
  </si>
  <si>
    <t>Login page should display the newly published company logo immediately after publish</t>
  </si>
  <si>
    <t>Login page still shows the old/default logo after publishing new branding; logo change only reflects on internal pages</t>
  </si>
  <si>
    <t>Root Cause: Login page likely caches the logo URL independently. Branding publish does not invalidate the login page logo cache. The login page rendering may not be using the dynamic branding endpoint.</t>
  </si>
  <si>
    <t>Bug_080</t>
  </si>
  <si>
    <t>No minimum image dimension validation for uploaded company logos</t>
  </si>
  <si>
    <t>When Admin uploads a very small image (e.g., 1x1 pixel PNG) as the company logo on the Corporate Branding page, the system accepts the file and publishes it without any validation error regarding image dimensions. This results in a distorted or invisible logo displayed across the application.</t>
  </si>
  <si>
    <t>1. Login as Admin
2. Navigate to Admin 
Corporate Branding
3. Click Upload for Company Logo
4. Select a 1x1 pixel PNG image
5. Click Publish
6. Navigate to any page and observe logo</t>
  </si>
  <si>
    <t>System should display a validation error indicating the image dimensions are too small (e.g., minimum 100x50px required)</t>
  </si>
  <si>
    <t>1x1 pixel image accepted and published; logo area appears blank/distorted across the application</t>
  </si>
  <si>
    <t>Root Cause: Image dimension validation is missing from both frontend and backend. Only file type and file size validation exists. Minimum resolution check not implemented.</t>
  </si>
  <si>
    <t>Bug_081</t>
  </si>
  <si>
    <t>No WCAG accessibility contrast ratio warning when selecting very light primary color</t>
  </si>
  <si>
    <t>When Admin selects a very light primary color (e.g., #EEEEEE) that would result in poor text contrast and fail WCAG AA accessibility standards, the system does not display any warning. The color is applied without informing the Admin of potential accessibility issues.</t>
  </si>
  <si>
    <t>1. Login as Admin
2. Navigate to Admin 
Corporate Branding
3. Click on Primary Color field
4. Enter a very light color hex value: #EEEEEE
5. Click Publish
6. Observe if any warning is shown</t>
  </si>
  <si>
    <t>System should display an accessibility warning noting that the selected color may not meet WCAG contrast ratio requirements (minimum 4.5:1 for normal text)</t>
  </si>
  <si>
    <t>No warning displayed; light color #EEEEEE accepted and applied; resulting in white text on near-white background — extremely poor contrast</t>
  </si>
  <si>
    <t>Root Cause: No contrast ratio calculation or WCAG validation implemented in the color picker component. System lacks accessibility guardrails for color selection.</t>
  </si>
  <si>
    <t>Bug_082</t>
  </si>
  <si>
    <t>Corporate branding changes not recorded in system audit trail</t>
  </si>
  <si>
    <t>After Admin publishes branding changes (colors, logos) on the Corporate Branding page, no corresponding entry is created in the system audit trail/logs. This is an audit compliance issue as all administrative configuration changes should be logged.</t>
  </si>
  <si>
    <t>1. Login as Admin
2. Navigate to Admin 
Corporate Branding
3. Change Primary Color and publish
4. Navigate to Admin 
Audit Trail
5. Search for recent branding change</t>
  </si>
  <si>
    <t>Audit trail should contain an entry recording: who made the change, what was changed, and when it was changed</t>
  </si>
  <si>
    <t>No audit trail entry found for branding configuration changes; the activity is not logged anywhere in the system</t>
  </si>
  <si>
    <t>Root Cause: The branding publish action is not wired to the audit log service. Other administrative actions (user changes, etc.) are logged but branding changes were not included in the audit logging implementation.</t>
  </si>
  <si>
    <t>Bug_039</t>
  </si>
  <si>
    <t>Email Configuration</t>
  </si>
  <si>
    <t>Authentication section disappears after page refresh</t>
  </si>
  <si>
    <t>TC_NAT_003</t>
  </si>
  <si>
    <t>Authentication section is not retained after refreshing the Email Configuration page.</t>
  </si>
  <si>
    <t>1. Navigate to Email Configuration page 
2. Verify Authentication section visible 
3. Refresh browser (F5) 
4. Observe section</t>
  </si>
  <si>
    <t>Authentication section should remain visible after refresh and page should maintain its state.</t>
  </si>
  <si>
    <t>Authentication section disappeared after refresh.</t>
  </si>
  <si>
    <t>UI state is not persisted correctly after refresh.</t>
  </si>
  <si>
    <t>Bug_040</t>
  </si>
  <si>
    <t>Navigation menu items remain collapsed after returning to desktop view</t>
  </si>
  <si>
    <t>TC_NAT_004</t>
  </si>
  <si>
    <t>Navigation items stay hidden inside “More” menu after resizing browser back to desktop resolution.</t>
  </si>
  <si>
    <t>1. Open page in desktop resolution 
2. Resize to mobile view 
3. Verify “More” menu 
4. Resize back to desktop 
5. Observe navigation</t>
  </si>
  <si>
    <t>Hidden menu items should re-expand and display normally in desktop view.</t>
  </si>
  <si>
    <t>Menu items remained inside “More” button after returning to desktop view.</t>
  </si>
  <si>
    <t>Responsive layout does not reset correctly after viewport change.</t>
  </si>
  <si>
    <t>Bug_041</t>
  </si>
  <si>
    <t>Conflicting success and failure messages displayed during SMTP save and test email failure</t>
  </si>
  <si>
    <t>TC_SMTP_001</t>
  </si>
  <si>
    <t>The system shows contradictory messages when SMTP configuration save succeeds but test email sending fails.</t>
  </si>
  <si>
    <t>1. Enter SMTP configuration details 
2. Click Save 
3. Observe system messages</t>
  </si>
  <si>
    <t>System should clearly separate configuration save status from test email sending result without showing misleading success state.</t>
  </si>
  <si>
    <t>System displayed both “Failed – Test Email Not Sent” and “Success – Successfully Saved” simultaneously.</t>
  </si>
  <si>
    <t>Messaging logic is not properly separated between save operation and test email result.</t>
  </si>
  <si>
    <t>Bug_042</t>
  </si>
  <si>
    <t>SMTP Host accepts invalid format and allows saving</t>
  </si>
  <si>
    <t>TC_SMTP_002</t>
  </si>
  <si>
    <t>Invalid SMTP host formats are accepted and saved without validation.</t>
  </si>
  <si>
    <t>1. Enter invalid SMTP Host (@@@smtp###) 
2. Click Save</t>
  </si>
  <si>
    <t>The system should validate SMTP host format and block saving for invalid inputs.</t>
  </si>
  <si>
    <t>Invalid host was successfully saved.</t>
  </si>
  <si>
    <t>SMTP host validation is missing or incorrectly implemented.</t>
  </si>
  <si>
    <t>Bug_043</t>
  </si>
  <si>
    <t>System allows saving configuration with empty SMTP Port</t>
  </si>
  <si>
    <t>TC_SMTP_003</t>
  </si>
  <si>
    <t>The system saves SMTP configuration even when required SMTP Port field is empty.</t>
  </si>
  <si>
    <t>1. Enter valid SMTP Host 
2. Enter authentication details 
3. Leave SMTP Port empty 
4. Click Save</t>
  </si>
  <si>
    <t>System should block saving and display validation error for empty SMTP Port.</t>
  </si>
  <si>
    <t>Configuration saved successfully with empty SMTP Port.</t>
  </si>
  <si>
    <t>Missing required field validation for SMTP Port.</t>
  </si>
  <si>
    <t>Bug_044</t>
  </si>
  <si>
    <t>SMTP Host validation issue duplicated entry (duplicate test case issue resolved)</t>
  </si>
  <si>
    <t>TC_SMTP_004</t>
  </si>
  <si>
    <t>Repeated SMTP Host validation test case showing same behavior as earlier case but still failing validation.</t>
  </si>
  <si>
    <t>Invalid host should be rejected and not saved.</t>
  </si>
  <si>
    <t>Invalid host was still accepted and saved.</t>
  </si>
  <si>
    <t>Duplicate validation issue observed in SMTP host field handling.</t>
  </si>
  <si>
    <t>Bug_045</t>
  </si>
  <si>
    <t>Test email sending causes system freeze and failure</t>
  </si>
  <si>
    <t>TC_SMTP_005</t>
  </si>
  <si>
    <t>Sending test email causes system to hang, and email is not delivered successfully.</t>
  </si>
  <si>
    <t>1. Click Send Test Email 
2. Enter valid recipient email 
3. Click Send 
4. Observe system</t>
  </si>
  <si>
    <t>System should send test email successfully and return confirmation without freezing.</t>
  </si>
  <si>
    <t>System remained loading, email not sent, and UI became unresponsive/laggy.</t>
  </si>
  <si>
    <t>Performance or backend SMTP handling issue causing UI freeze during email send.</t>
  </si>
  <si>
    <t>Bug_046</t>
  </si>
  <si>
    <t>Send Test Email dialog does not close after successful send</t>
  </si>
  <si>
    <t>TC_EML_001</t>
  </si>
  <si>
    <t>The Send Test Email dialog remains open after a successful email send instead of closing automatically.</t>
  </si>
  <si>
    <t>1. Enter valid recipient email (test@example.com) 
2. Click Send 
3. Observe dialog state</t>
  </si>
  <si>
    <t>Dialog should close automatically after successful email sending and return user to Email Configuration page.</t>
  </si>
  <si>
    <t>Dialog remained open after successful send.</t>
  </si>
  <si>
    <t>UI flow does not handle dialog closure after success event.</t>
  </si>
  <si>
    <t>Bug_047</t>
  </si>
  <si>
    <t>Test email shows failure despite valid recipient email</t>
  </si>
  <si>
    <t>TC_EML_002</t>
  </si>
  <si>
    <t>The system incorrectly reports test email failure even when a valid recipient email is provided.</t>
  </si>
  <si>
    <t>1. Enter valid SMTP configuration 
2. Enter recipient email (test@example.com) 
3. Click Send</t>
  </si>
  <si>
    <t>System should successfully send email and display confirmation message.</t>
  </si>
  <si>
    <t>System displayed “Failed – Test Email Not Sent” despite valid email input.</t>
  </si>
  <si>
    <t>Incorrect email delivery status handling or backend failure.</t>
  </si>
  <si>
    <t>Bug_048</t>
  </si>
  <si>
    <t>System allows duplicate save operations for same SMTP configuration</t>
  </si>
  <si>
    <t>TC_EML_003</t>
  </si>
  <si>
    <t>Repeated Save clicks create duplicate SMTP configuration entries instead of preventing duplication.</t>
  </si>
  <si>
    <t>1. Enter SMTP configuration 
2. Click Save 
3. Click Save again with same data</t>
  </si>
  <si>
    <t>System should prevent duplicate configuration or notify user that it already exists.</t>
  </si>
  <si>
    <t>System accepted repeated save operation normally.</t>
  </si>
  <si>
    <t>Missing duplicate prevention on Save action.</t>
  </si>
  <si>
    <t>Bug_049</t>
  </si>
  <si>
    <t>Send Test Email dialog does not retain recipient data after refresh</t>
  </si>
  <si>
    <t>TC_EML_004</t>
  </si>
  <si>
    <t>Refreshing browser while Send Test Email dialog is open clears entered recipient email without warning.</t>
  </si>
  <si>
    <t>1. Open Send Test Email dialog 
2. Enter recipient email 
3. Refresh browser 
4. Reopen dialog</t>
  </si>
  <si>
    <t>System should warn user before losing data or preserve entered recipient email.</t>
  </si>
  <si>
    <t>Dialog closed and entered email was cleared after refresh.</t>
  </si>
  <si>
    <t>No state persistence or unsaved data warning implemented.</t>
  </si>
  <si>
    <t>Bug_050</t>
  </si>
  <si>
    <t>System misbehaves when sending test email to invalid or non-existent mailbox</t>
  </si>
  <si>
    <t>TC_EML_005</t>
  </si>
  <si>
    <t>The system does not handle delivery failure properly and causes UI freeze when sending test email to non-existent mailbox.</t>
  </si>
  <si>
    <t>1. Enter recipient email (admin@example.com) 
2. Click Send 
3. Observe response</t>
  </si>
  <si>
    <t>System should handle delivery failure gracefully and show appropriate error message without freezing.</t>
  </si>
  <si>
    <t>System showed success/failure inconsistently and UI froze with infinite loading.</t>
  </si>
  <si>
    <t>Backend email delivery error handling and UI state management issue.</t>
  </si>
  <si>
    <t>Bug_051</t>
  </si>
  <si>
    <t>System accepts oversized domain in recipient email without validation</t>
  </si>
  <si>
    <t>TC_EML_006</t>
  </si>
  <si>
    <t>The system allows sending test email to addresses with excessively long domain names.</t>
  </si>
  <si>
    <t>1. Enter email with oversized domain (admin@veryveryveryveryveryveryverylongdomainnametestexamplemailserver.com) 
2. Click Send</t>
  </si>
  <si>
    <t>System should validate domain length and reject invalid email formats.</t>
  </si>
  <si>
    <t>System accepted email with oversized domain and attempted sending.</t>
  </si>
  <si>
    <t>Missing validation for domain length in email format checking.</t>
  </si>
  <si>
    <t>Bug_052</t>
  </si>
  <si>
    <t>Reset button does not clear Email Configuration fields</t>
  </si>
  <si>
    <t>TC_RST_001</t>
  </si>
  <si>
    <t>The Reset button does not clear or restore Email Configuration fields to default values.</t>
  </si>
  <si>
    <t>1. Enter SMTP Host: smtp.gmail.com 
2. Enter SMTP Port: 587 
3. Enter Username: admin@test.com 
4. Click Reset</t>
  </si>
  <si>
    <t>All fields should be cleared or restored to default state.</t>
  </si>
  <si>
    <t>Form fields remained unchanged after clicking Reset.</t>
  </si>
  <si>
    <t>Reset functionality is not properly implemented or not bound to form state.</t>
  </si>
  <si>
    <t>Bug_053</t>
  </si>
  <si>
    <t>Reset button not clearing fields on repeated validation scenarios</t>
  </si>
  <si>
    <t>TC_RST_002</t>
  </si>
  <si>
    <t>The Reset button consistently fails to clear Email Configuration fields across multiple attempts.</t>
  </si>
  <si>
    <t>1. Enter valid configuration data 
2. Click Reset 
3. Repeat multiple times</t>
  </si>
  <si>
    <t>All fields should reset on every click.</t>
  </si>
  <si>
    <t>Fields remain unchanged after every Reset attempt.</t>
  </si>
  <si>
    <t>Persistent state issue in Reset handler.</t>
  </si>
  <si>
    <t>Bug_054</t>
  </si>
  <si>
    <t>Reset button does not restore default Email Configuration values</t>
  </si>
  <si>
    <t>TC_RST_003</t>
  </si>
  <si>
    <t>The Reset button does not restore Email Configuration form to default values.</t>
  </si>
  <si>
    <t>1. Fill SMTP Host, Port, Username 
2. Click Reset</t>
  </si>
  <si>
    <t>Form should return to initial default/empty state.</t>
  </si>
  <si>
    <t>Fields remain populated with previously entered values.</t>
  </si>
  <si>
    <t>Default state restoration logic missing.</t>
  </si>
  <si>
    <t>Bug_055</t>
  </si>
  <si>
    <t>Subscribers</t>
  </si>
  <si>
    <t>Page refresh during edit corrupts subscriber data</t>
  </si>
  <si>
    <t>TC_SUB_001</t>
  </si>
  <si>
    <t>Refreshing browser during subscriber edit causes corruption of existing data.</t>
  </si>
  <si>
    <t>1. Open Edit Subscriber form 
2. Modify subscriber name 
3. Do not save 
4. Refresh page 
5. Reopen record</t>
  </si>
  <si>
    <t>Unsaved changes should be discarded safely without affecting stored data.</t>
  </si>
  <si>
    <t>Subscriber data became corrupted after page refresh during edit.</t>
  </si>
  <si>
    <t>Unsaved edit state not handled correctly.</t>
  </si>
  <si>
    <t>Bug_056</t>
  </si>
  <si>
    <t>Test email data is lost after page refresh in Send Email dialog</t>
  </si>
  <si>
    <t>TC_SUB_002</t>
  </si>
  <si>
    <t>Refreshing page while Send Test Email dialog is open clears entered email without warning.</t>
  </si>
  <si>
    <t>1. Open Send Test Email dialog 
2. Enter email 
3. Refresh page 
4. Reopen dialog</t>
  </si>
  <si>
    <t>System should warn user or preserve entered data.</t>
  </si>
  <si>
    <t>Entered email was cleared after refresh.</t>
  </si>
  <si>
    <t>Bug_057</t>
  </si>
  <si>
    <t>Email / Send Test Email</t>
  </si>
  <si>
    <t>Test email to non-existent address shows success and causes system freeze</t>
  </si>
  <si>
    <t>TC_US19_001</t>
  </si>
  <si>
    <t>Sending test email to a non-existent but valid format email results in incorrect success message and system freezing behavior.</t>
  </si>
  <si>
    <t>1. Open Send Test Email dialog 
2. Enter admin@example.com 
3. Click Send 
4. Observe system response</t>
  </si>
  <si>
    <t>System should handle delivery failure gracefully and display an appropriate error message without freezing or infinite loading.</t>
  </si>
  <si>
    <t>Success message shown despite undelivered email; system freezes with infinite loading state.</t>
  </si>
  <si>
    <t>Improper handling of SMTP delivery failure and UI state management.</t>
  </si>
  <si>
    <t>Bug_058</t>
  </si>
  <si>
    <t>System accepts oversized domain email without validation</t>
  </si>
  <si>
    <t>TC_US19_002</t>
  </si>
  <si>
    <t>The system allows sending test emails with excessively long domain names without validation.</t>
  </si>
  <si>
    <t>1. Open Send Test Email dialog 
2. Enter email with oversized domain 
3. Click Send</t>
  </si>
  <si>
    <t>System should validate domain length and reject invalid email formats before sending.</t>
  </si>
  <si>
    <t>Missing validation for email domain length constraints.</t>
  </si>
  <si>
    <t>Bug_059</t>
  </si>
  <si>
    <t>UI / Navigation</t>
  </si>
  <si>
    <t>Menu items remain in “More” after switching back from mobile to desktop view</t>
  </si>
  <si>
    <t>TC_US20_001</t>
  </si>
  <si>
    <t>Responsive navigation does not restore desktop layout after switching from mobile view.</t>
  </si>
  <si>
    <t>Hidden menu items should expand back and display correctly in desktop layout.</t>
  </si>
  <si>
    <t>Responsive layout state not reset properly on viewport change.</t>
  </si>
  <si>
    <t>Bug_060</t>
  </si>
  <si>
    <t>Localization / UI Translation</t>
  </si>
  <si>
    <t>System shows mixed languages after changing system language</t>
  </si>
  <si>
    <t>TC_US20_002</t>
  </si>
  <si>
    <t>After changing system language, some UI sections remain in previous language while others update.</t>
  </si>
  <si>
    <t>1. Change system language to French 
2. Click Save 
3. Navigate through modules 
4. Observe UI text</t>
  </si>
  <si>
    <t>Entire application should display selected language consistently across all modules.</t>
  </si>
  <si>
    <t>Some sections remained in previous language while others changed.</t>
  </si>
  <si>
    <t>Incomplete localization propagation across modules.</t>
  </si>
  <si>
    <t>Bug_061</t>
  </si>
  <si>
    <t>Localization</t>
  </si>
  <si>
    <t>Arabic language not available in supported languages dropdown</t>
  </si>
  <si>
    <t>TC_LOC_ARB_001</t>
  </si>
  <si>
    <t>The Arabic language option is missing from the Localization supported languages list.</t>
  </si>
  <si>
    <t>1. Navigate to Admin → Localization 
2. Open Language dropdown 
3. Search for Arabic option 
4. Observe list</t>
  </si>
  <si>
    <t>Arabic language should be displayed and available for selection in supported languages list.</t>
  </si>
  <si>
    <t>Arabic language was not displayed in supported languages list.</t>
  </si>
  <si>
    <t>Localization configuration does not include Arabic language support.</t>
  </si>
  <si>
    <t>Bug_062</t>
  </si>
  <si>
    <t>OAuth Configuration</t>
  </si>
  <si>
    <t>Invalid Redirect URI format is accepted and saved</t>
  </si>
  <si>
    <t>US_024</t>
  </si>
  <si>
    <t>TC_OAUTH_004</t>
  </si>
  <si>
    <t>The system allows saving an invalid Redirect URI without proper validation.</t>
  </si>
  <si>
    <t>1. Enter Name: TestingClient 
2. Enter Redirect URI: invalid_url_string_example 
3. Click Save</t>
  </si>
  <si>
    <t>The system should reject invalid URL formats and show validation message "Invalid URL" or "Please enter a valid URI format".</t>
  </si>
  <si>
    <t>The invalid URL was successfully saved without validation error.</t>
  </si>
  <si>
    <t>Missing or broken URL validation for Redirect URI field in OAuth configuration.</t>
  </si>
  <si>
    <t>Bug_083</t>
  </si>
  <si>
    <t>Admin / Language Packages</t>
  </si>
  <si>
    <t>No warning shown when attempting to install duplicate language package</t>
  </si>
  <si>
    <t>When Admin attempts to install a language package that is already installed, the system does not display a warning or error message indicating that the package is already installed. This may lead to confusion or unexpected behavior.</t>
  </si>
  <si>
    <t>1. Login as Admin
2. Navigate to Admin 
Configuration 
Language Packages
3. Note an already-installed language package
4. Attempt to install the same package again
5. Observe result</t>
  </si>
  <si>
    <t>System should display a warning message such as 'This language package is already installed' and prevent duplicate installation</t>
  </si>
  <si>
    <t>No warning message displayed; system proceeds without informing Admin of duplicate installation attempt</t>
  </si>
  <si>
    <t>Root Cause: No duplicate check implemented in the language package installation workflow. Backend does not validate if package already exists before proceeding with installation.</t>
  </si>
  <si>
    <t>Bug_084</t>
  </si>
  <si>
    <t>Language packages list not sorted alphabetically by default</t>
  </si>
  <si>
    <t>The Language Packages list on the Language Packages page is displayed in the order packages were installed, not in alphabetical order. This makes it difficult to find specific packages when many are installed, especially without a search function.</t>
  </si>
  <si>
    <t>1. Login as Admin
2. Install multiple language packages in non-alphabetical order (e.g., Spanish, Arabic, French)
3. Navigate to Language Packages page
4. Observe the order of listed packages</t>
  </si>
  <si>
    <t>Language packages should be listed in alphabetical order by language name by default to improve findability</t>
  </si>
  <si>
    <t>Language packages are listed in installation order, not alphabetically. For example: Spanish, Arabic, French (installation order) instead of Arabic, French, Spanish (alphabetical)</t>
  </si>
  <si>
    <t>Root Cause: The database query fetching language packages does not include an ORDER BY clause for language name. Default ordering uses insertion order.</t>
  </si>
  <si>
    <t>Bug_085</t>
  </si>
  <si>
    <t>RTL layout not fully applied when Arabic language package selected</t>
  </si>
  <si>
    <t>After installing the Arabic language package and switching the UI language to Arabic, the application does not fully implement Right-to-Left (RTL) layout. While text content is translated to Arabic, the UI layout (navigation, form alignment, button placement) remains Left-to-Right (LTR), creating a broken and inconsistent user experience for Arabic-speaking users.</t>
  </si>
  <si>
    <t>1. Login as Admin
2. Install Arabic language package
3. Navigate to Profile 
Display
4. Change language preference to Arabic
5. Observe the entire UI layout</t>
  </si>
  <si>
    <t>After selecting Arabic, the entire UI should switch to RTL layout: navigation on the right, text right-aligned, form labels on the right side, scroll direction reversed</t>
  </si>
  <si>
    <t>Only the text content is translated to Arabic; the UI layout remains LTR. Navigation bar stays on the left, forms are left-aligned, and the overall layout is inconsistent for RTL reading patterns</t>
  </si>
  <si>
    <t>Root Cause: RTL CSS stylesheet (dir='rtl') is not being applied globally when Arabic is selected. The language switching mechanism only updates text translations without toggling the layout direction attribute.</t>
  </si>
  <si>
    <t>Bug_086</t>
  </si>
  <si>
    <t>Language names not displayed in native script in Language Packages list</t>
  </si>
  <si>
    <t>The Language Packages list displays language names in English only (e.g., 'Arabic', 'French'). International best practice and user expectation is to also show the language name in its native script (e.g., Arabic: عربي, French: Français, German: Deutsch) to help non-English-speaking admins identify their language.</t>
  </si>
  <si>
    <t>1. Login as Admin
2. Navigate to Admin 
Language Packages
3. Observe the Language Name column</t>
  </si>
  <si>
    <t>Language names should be displayed in both English and their native script (e.g., 'Arabic / عربي', 'French / Français')</t>
  </si>
  <si>
    <t>Language names shown in English only; no native script displayed alongside the English name</t>
  </si>
  <si>
    <t>Root Cause: Language package metadata only stores and displays the English name. Native script name field is not included in the language package registry or the display component.</t>
  </si>
  <si>
    <t>Bug_087</t>
  </si>
  <si>
    <t>Language package version information not displayed in Language Packages list</t>
  </si>
  <si>
    <t>The Language Packages list does not display version information for installed language packages. Version information is important for administrators to know if packages are up to date and for troubleshooting translation issues.</t>
  </si>
  <si>
    <t>1. Login as Admin
2. Navigate to Admin 
Language Packages
3. Look for version column or version information for each package</t>
  </si>
  <si>
    <t>Language package version number should be visible in the packages list or in package details</t>
  </si>
  <si>
    <t>No version information is shown in the Language Packages list; only package name and status are visible without any version indicator</t>
  </si>
  <si>
    <t>Root Cause: The Language Packages list view component does not include a version column. Version metadata may exist in the database but is not being rendered in the UI list view.</t>
  </si>
  <si>
    <t>Bug_088</t>
  </si>
  <si>
    <t>Deleted language package still visible in user preferences dropdown until page refresh</t>
  </si>
  <si>
    <t>After Admin deletes a language package from the Language Packages page, the deleted language still appears in the user language preference dropdown on the User Profile/Display page. The deleted language is only removed from the dropdown after the user manually refreshes the page.</t>
  </si>
  <si>
    <t>1. Login as Admin
2. Install a non-default language package (e.g., French)
3. Navigate to User Profile 
Display
4. Verify French appears in language dropdown
5. Navigate back and delete the French language package
6. Navigate back to User Profile 
Display
7. Observe language dropdown</t>
  </si>
  <si>
    <t>After deleting a language package, it should immediately be removed from all user language preference dropdowns without requiring a page refresh</t>
  </si>
  <si>
    <t>The deleted language package (French) still appears in the user language preference dropdown. Only after manually refreshing the page does it disappear from the dropdown</t>
  </si>
  <si>
    <t>Root Cause: The user preferences dropdown uses cached language data that is not invalidated when a language package is deleted. The cache or state is only refreshed on page load.</t>
  </si>
  <si>
    <t>Bug_089</t>
  </si>
  <si>
    <t>Admin / Modules</t>
  </si>
  <si>
    <t>No search or filter functionality available on Modules page</t>
  </si>
  <si>
    <t>US_022</t>
  </si>
  <si>
    <t>The Modules configuration page does not provide any search bar or filter functionality. As the number of OrangeHRM modules grows, administrators need to be able to quickly locate specific modules without scrolling through the entire list.</t>
  </si>
  <si>
    <t>1. Login as Admin
2. Navigate to Admin 
Configuration 
Modules
3. Look for a search bar or filter option
4. Try to quickly find a specific module (e.g., 'Performance')</t>
  </si>
  <si>
    <t>A search or filter input should be available on the Modules page to allow Admin to quickly locate specific modules</t>
  </si>
  <si>
    <t>No search bar or filter option is present on the Modules page. Admin must manually scroll through the entire module list to find a specific module</t>
  </si>
  <si>
    <t>Root Cause: The Modules page UI was not designed with a search component. As it's a relatively short list currently, search was considered unnecessary, but it should be implemented for better usability as the module list grows.</t>
  </si>
  <si>
    <t>Bug_090</t>
  </si>
  <si>
    <t>Module enable/disable changes not recorded in system audit trail</t>
  </si>
  <si>
    <t>When Admin enables or disables system modules on the Modules configuration page, no corresponding entry is created in the system audit trail. This is a compliance and governance issue — all administrative configuration changes should be logged with user, timestamp, and action details.</t>
  </si>
  <si>
    <t>1. Login as Admin
2. Navigate to Admin 
Configuration 
Modules
3. Disable a module (e.g., Performance)
4. Click Save
5. Navigate to Admin 
Audit Trail
6. Search for recent module configuration changes</t>
  </si>
  <si>
    <t>Audit trail should record: which module was changed, what the change was (enabled/disabled), who made the change, and when</t>
  </si>
  <si>
    <t>No audit trail entry found for module enable/disable actions. The Modules configuration page changes are not being logged in the system audit trail</t>
  </si>
  <si>
    <t>Root Cause: The module configuration save action is not integrated with the audit logging service. Similar to BUG_008, this is a systemic gap where several configuration pages are missing audit trail integration.</t>
  </si>
  <si>
    <t>Bug_091</t>
  </si>
  <si>
    <t>No module count summary displayed on Modules page</t>
  </si>
  <si>
    <t>The Modules configuration page does not display any summary of the total number of modules, how many are currently enabled, or how many are disabled. This summary would help Admins quickly understand the system configuration at a glance.</t>
  </si>
  <si>
    <t>1. Login as Admin
2. Navigate to Admin 
Configuration 
Modules
3. Look for any count indicator showing total modules, enabled count, or disabled count</t>
  </si>
  <si>
    <t>Page should display a count summary such as 'Total: 12 modules | Enabled: 10 | Disabled: 2' for quick administrative reference</t>
  </si>
  <si>
    <t>No count summary or statistics are displayed on the Modules page; only the module list with toggles is shown</t>
  </si>
  <si>
    <t>Root Cause: Module count summary was not part of the original UI design specification. It is a UX enhancement that was not implemented in the current version.</t>
  </si>
  <si>
    <t>Bug_092</t>
  </si>
  <si>
    <t>Admin / LDAP Configuration</t>
  </si>
  <si>
    <t>LDAP Server URI field has no maximum character limit enforcement</t>
  </si>
  <si>
    <t>US_025</t>
  </si>
  <si>
    <t>The LDAP Server URI input field on the LDAP Configuration page does not enforce a maximum character limit. When an excessively long string (500+ characters) is entered in the Server URI field, the system accepts it without validation. This could cause database issues or application errors.</t>
  </si>
  <si>
    <t>1. Login as Admin
2. Navigate to Admin 
LDAP Configuration
3. Enable LDAP
4. Enter a 600-character string in the Server URI field
5. Click Save</t>
  </si>
  <si>
    <t>Field should enforce a reasonable maximum character limit (e.g., 255 characters) and display a validation error if exceeded</t>
  </si>
  <si>
    <t>Server URI field accepts 600+ character input without any validation error or character limit restriction; excessively long value is saved to the database</t>
  </si>
  <si>
    <t>Root Cause: The Server URI input field is missing the maxlength HTML attribute and corresponding backend validation for maximum length. Database column may also lack proper length constraint.</t>
  </si>
  <si>
    <t>Bug_093</t>
  </si>
  <si>
    <t>Test Connection button enabled even when required Server URI field is empty</t>
  </si>
  <si>
    <t>On the LDAP Configuration page, the 'Test Connection' button remains enabled and clickable even when the required Server URI field is empty. Clicking Test Connection with an empty Server URI results in an unhelpful generic error or unexpected behavior instead of a clear validation message.</t>
  </si>
  <si>
    <t>1. Login as Admin
2. Navigate to Admin 
LDAP Configuration
3. Enable LDAP toggle
4. Leave Server URI field empty
5. Click Test Connection button
6. Observe button state and result</t>
  </si>
  <si>
    <t>Test Connection button should be disabled/greyed out until at least the Server URI field is filled with a value. If clicked with empty required fields, a clear validation message should appear</t>
  </si>
  <si>
    <t>Test Connection button is active and clickable with empty Server URI. Clicking it either shows a generic network error or an unhelpful error message without guiding the Admin to fill the required field first</t>
  </si>
  <si>
    <t>Root Cause: The Test Connection button state is not bound to the validation state of the required Server URI field. No reactive form validation is implemented to disable the button when prerequisites are not met.</t>
  </si>
  <si>
    <t>Bug_094</t>
  </si>
  <si>
    <t>Localization / Languages</t>
  </si>
  <si>
    <t>Return to language page after editing language does not behave correctly</t>
  </si>
  <si>
    <t>US_014</t>
  </si>
  <si>
    <t>QA Environment</t>
  </si>
  <si>
    <t>TC_LANG_001</t>
  </si>
  <si>
    <t>Editing an existing language to a valid parameter does not correctly return user flow to the language page as expected.</t>
  </si>
  <si>
    <t>1. Edit existing language to valid parameter (arabic → ar) &gt; 2. Click Save</t>
  </si>
  <si>
    <t>System should update language successfully and return user to language page with updated data displayed correctly.</t>
  </si>
  <si>
    <t>User is expected to return to language page after edit operation.</t>
  </si>
  <si>
    <t>System does not correctly return to language page or update flow behaves unexpectedly after save.</t>
  </si>
  <si>
    <t>Navigation flow after language edit is not handled correctly or page redirect logic is inconsistent.</t>
  </si>
  <si>
    <t>Bug_095</t>
  </si>
  <si>
    <t>Languages</t>
  </si>
  <si>
    <t>Duplicate language creation allowed using different language representation</t>
  </si>
  <si>
    <t>TC_LANG_DUP_001</t>
  </si>
  <si>
    <t>The system allows creation of duplicate language entries using different representations of the same language (e.g., Arabic and العربيه) without proper duplicate validation.</t>
  </si>
  <si>
    <t>1. Add language "arabic" &gt; 2. Click Save &gt; 3. Click Add again &gt; 4. Add language "العربيه" &gt; 5. Click Save</t>
  </si>
  <si>
    <t>System should prevent duplicate language entries regardless of language representation and display message "Already exists".</t>
  </si>
  <si>
    <t>Second language ("العربيه") was not saved and system should block it with "Already exists" message.</t>
  </si>
  <si>
    <t>Already exists message expected but data handling is inconsistent or duplicate prevention logic is not robust.</t>
  </si>
  <si>
    <t>Language uniqueness validation should support multilingual normalization to prevent duplicates.</t>
  </si>
  <si>
    <t>Bug_096</t>
  </si>
  <si>
    <t>Pagination does not display correct records per page</t>
  </si>
  <si>
    <t>TC_LANG_PAG_001</t>
  </si>
  <si>
    <t>Pagination functionality does not correctly display records when navigating between pages in Languages module.</t>
  </si>
  <si>
    <t>Click Next/Previous page when language records exceed page size</t>
  </si>
  <si>
    <t>Each page should display correct and consistent records according to pagination rules</t>
  </si>
  <si>
    <t>Incorrect records displayed per page</t>
  </si>
  <si>
    <t>Pagination logic is not correctly mapping dataset to page view.</t>
  </si>
  <si>
    <t>Bug_097</t>
  </si>
  <si>
    <t>System stuck in infinite loading after submitting invalid language parameter</t>
  </si>
  <si>
    <t>TC_LANG_INV_001</t>
  </si>
  <si>
    <t>Adding an invalid language parameter causes system to freeze and prevents navigation back to language page.</t>
  </si>
  <si>
    <t>1. Add invalid language parameter (englishz) &gt; 2. Click Save</t>
  </si>
  <si>
    <t>System should validate input and either reject it with error message or return user to language page safely</t>
  </si>
  <si>
    <t>System gets stuck in infinite loading and does not return to language page</t>
  </si>
  <si>
    <t>System becomes unresponsive (infinite loading)</t>
  </si>
  <si>
    <t>Missing validation and error handling causes UI blocking state.</t>
  </si>
  <si>
    <t>Bug_098</t>
  </si>
  <si>
    <t>Organization Info</t>
  </si>
  <si>
    <t>Page not responsive on iPad Pro - Save button not visible</t>
  </si>
  <si>
    <t>US_008</t>
  </si>
  <si>
    <t>General Information page does not properly adapt to different screen sizes, causing UI elements to be hidden on tablet devices.</t>
  </si>
  <si>
    <t>1. Open General Information page &gt; 2. Resize browser or open on iPad Pro size &gt; 3. Observe Save button</t>
  </si>
  <si>
    <t>UI should remain fully responsive and all controls (including Save button) should be visible and accessible on all supported screen sizes.</t>
  </si>
  <si>
    <t>Save button is not visible on iPad Pro screen size.</t>
  </si>
  <si>
    <t>Aly Salem</t>
  </si>
  <si>
    <t>Responsive layout issue affecting tablet breakpoint (iPad Pro). ```</t>
  </si>
  <si>
    <t>Bug_099</t>
  </si>
  <si>
    <t>PIM – Add Employee</t>
  </si>
  <si>
    <t>AC 088</t>
  </si>
  <si>
    <t>The system allows creation of an employee record without providing an Employee ID, resulting in an employee being saved with a missing identifier.</t>
  </si>
  <si>
    <t>1. Navigate to Add Employee page 
2. Enter First Name: John 
3. Enter Last Name: Doe 
4. Leave Employee ID empty 
5. Click Save</t>
  </si>
  <si>
    <t>The system should either prevent submission with a validation message or clearly define Employee ID as optional and auto-generate a unique value.</t>
  </si>
  <si>
    <t>Employee record is successfully created with an empty Employee ID.</t>
  </si>
  <si>
    <t>Missing validation or auto-generation logic for Employee ID field.</t>
  </si>
  <si>
    <t>Bug_100</t>
  </si>
  <si>
    <t>System accepts invalid special characters and numeric values in employee name fields</t>
  </si>
  <si>
    <t>AC 090</t>
  </si>
  <si>
    <t>The application accepts special characters and numeric values in employee name fields and creates the employee successfully.</t>
  </si>
  <si>
    <t>1. Navigate to Add Employee page 
2. Enter First Name: @@@### 
3. Enter Last Name: 12345 
4. Click Save</t>
  </si>
  <si>
    <t>Bug_101</t>
  </si>
  <si>
    <t>Leading and trailing spaces are saved in employee name fields</t>
  </si>
  <si>
    <t>AC 091</t>
  </si>
  <si>
    <t>The system stores employee names exactly as entered, including unnecessary leading and trailing spaces.</t>
  </si>
  <si>
    <t>1. Navigate to Add Employee page 
2. Enter First Name: " John " 
3. Enter Last Name: " Doe " 
4. Click Save</t>
  </si>
  <si>
    <t>The system should trim leading and trailing spaces before saving employee data.</t>
  </si>
  <si>
    <t>Employee data is saved with leading and trailing spaces.</t>
  </si>
  <si>
    <t>Input sanitization or trimming logic is not applied before persisting employee records.</t>
  </si>
  <si>
    <t>Bug_102</t>
  </si>
  <si>
    <t>Page refresh during data entry does not provide expected confirmation behavior</t>
  </si>
  <si>
    <t>AC 095</t>
  </si>
  <si>
    <t>The system refreshes normally during employee data entry without displaying the expected confirmation behavior defined by the requirement.</t>
  </si>
  <si>
    <t>1. Enter employee data 
2. Refresh browser page</t>
  </si>
  <si>
    <t>Page should refresh according to the defined confirmation behavior and allow safe continuation or restart of the process.</t>
  </si>
  <si>
    <t>Page refreshed normally without the expected confirmation behavior.</t>
  </si>
  <si>
    <t>Page refresh handling does not align with the specified requirement.</t>
  </si>
  <si>
    <t>Bug_103</t>
  </si>
  <si>
    <t>PIM – Custom Fields</t>
  </si>
  <si>
    <t>Refreshing page during edit corrupts custom field data</t>
  </si>
  <si>
    <t>AC 0173</t>
  </si>
  <si>
    <t>TC_PIM_0173</t>
  </si>
  <si>
    <t>Refreshing the browser while editing a custom field causes data corruption after reopening the record.</t>
  </si>
  <si>
    <t>1. Open Edit Custom Field form 
2. Modify field data 
3. Refresh browser page before saving 
4. Reopen same record</t>
  </si>
  <si>
    <t>Original data should remain unchanged without corruption or partial updates when refresh occurs before saving.</t>
  </si>
  <si>
    <t>Record data became corrupted after page refresh during editing.</t>
  </si>
  <si>
    <t>Unsaved edit state is improperly handled during page refresh, resulting in data corruption.</t>
  </si>
  <si>
    <t>Bug_104</t>
  </si>
  <si>
    <t>PIM – Data Import</t>
  </si>
  <si>
    <t>System accepts invalid date formats during employee data import</t>
  </si>
  <si>
    <t>AC 0194</t>
  </si>
  <si>
    <t>TC_PIM_0194</t>
  </si>
  <si>
    <t>The import process accepts date values that do not follow the required YYYY-MM-DD format.</t>
  </si>
  <si>
    <t>1. Prepare an import file with date values in formats such as 12/31/1995 and 21-05-2026 
2. Upload the file through the Data Import page 
3. Submit the import process</t>
  </si>
  <si>
    <t>The system should reject invalid date formats and display an error message indicating that dates must follow the YYYY-MM-DD format.</t>
  </si>
  <si>
    <t>The data is imported successfully even though the date formats are invalid.</t>
  </si>
  <si>
    <t>Date format validation is missing or incorrectly implemented during import processing.</t>
  </si>
  <si>
    <t>Bug_105</t>
  </si>
  <si>
    <t>System does not validate invalid gender values during employee data import</t>
  </si>
  <si>
    <t>AC 0195</t>
  </si>
  <si>
    <t>TC_PIM_0195</t>
  </si>
  <si>
    <t>The import process allows unsupported gender values such as "M" and "Other" instead of restricting entries to Male or Female.</t>
  </si>
  <si>
    <t>1. Create an import file containing gender values M, Other, and blank 
2. Upload and process the file through the Data Import page</t>
  </si>
  <si>
    <t>The system should reject unsupported values and display a validation message stating that only Male or Female are allowed. Blank values should be handled according to the specification.</t>
  </si>
  <si>
    <t>All rows are imported successfully, but the gender value of the tested rows is not imported.</t>
  </si>
  <si>
    <t>Gender field validation is not enforced during import processing.</t>
  </si>
  <si>
    <t>Bug_106</t>
  </si>
  <si>
    <t>System allows importing files exceeding maximum record limit</t>
  </si>
  <si>
    <t>AC 0196</t>
  </si>
  <si>
    <t>TC_PIM_0196</t>
  </si>
  <si>
    <t>The import process accepts files containing more than the maximum allowed number of records.</t>
  </si>
  <si>
    <t>1. Upload importData.csv containing 105 records 
2. Click Upload to process the file</t>
  </si>
  <si>
    <t>The system should reject the file and display an error indicating that the maximum allowed limit of 100 records has been exceeded. No records should be imported.</t>
  </si>
  <si>
    <t>All records are imported successfully even though the file exceeds the maximum limit.</t>
  </si>
  <si>
    <t>Maximum record count validation is not enforced during file import.</t>
  </si>
  <si>
    <t>Bug_107</t>
  </si>
  <si>
    <t>PIM – Reporting Methods</t>
  </si>
  <si>
    <t>Special characters in reporting method names cause UI layout issues</t>
  </si>
  <si>
    <t>AC 0221</t>
  </si>
  <si>
    <t>TC_PIM_0221</t>
  </si>
  <si>
    <t>Entering reporting method names containing special characters causes unexpected UI behavior and layout issues in the Reporting Methods table.</t>
  </si>
  <si>
    <t>1. Click Add button 
2. Enter reporting method name with special characters (@@@###%%%HR_Method!!!) 
3. Click Save 
4. Observe table and UI behavior</t>
  </si>
  <si>
    <t>The system should properly validate input and maintain a stable, readable UI layout.</t>
  </si>
  <si>
    <t>Special characters caused UI layout issues in the Reporting Methods table.</t>
  </si>
  <si>
    <t>Input validation or UI rendering logic does not properly handle special characters.</t>
  </si>
  <si>
    <t>Bug_108</t>
  </si>
  <si>
    <t>System allows creation of duplicate reporting methods</t>
  </si>
  <si>
    <t>AC 0222</t>
  </si>
  <si>
    <t>TC_PIM_0222</t>
  </si>
  <si>
    <t>The system allows users to create reporting methods with names that already exist in the system.</t>
  </si>
  <si>
    <t>The system should prevent duplicate reporting method creation and display an appropriate validation message.</t>
  </si>
  <si>
    <t>A duplicate reporting method record was created successfully.</t>
  </si>
  <si>
    <t>Uniqueness validation for reporting method names is missing or not enforced.</t>
  </si>
  <si>
    <t>Bug_109</t>
  </si>
  <si>
    <t>Bug_110</t>
  </si>
  <si>
    <t>Page refresh during edit corrupts reporting method data</t>
  </si>
  <si>
    <t>AC 0229</t>
  </si>
  <si>
    <t>TC_PIM_0229</t>
  </si>
  <si>
    <t>Refreshing the browser while editing a reporting method causes corruption of the existing record data.</t>
  </si>
  <si>
    <t>1. Open Edit form for a reporting method 
2. Modify reporting method name 
3. Do not click Save 
4. Refresh browser page (F5) 
5. Return to Reporting Methods table 
6. Open edited record again</t>
  </si>
  <si>
    <t>Unsaved changes should be discarded safely and the original reporting method data should remain unchanged.</t>
  </si>
  <si>
    <t>Reporting method data became corrupted after page refresh during the edit process.</t>
  </si>
  <si>
    <t>Unsaved edit state is not handled correctly during browser refresh, resulting in data corruption.</t>
  </si>
  <si>
    <t>Bug_111</t>
  </si>
  <si>
    <t>PIM – Termination Reasonss</t>
  </si>
  <si>
    <t>Special characters in Termination Reasons names cause UI layout issues</t>
  </si>
  <si>
    <t>AC 0244</t>
  </si>
  <si>
    <t>TC_PIM_0244</t>
  </si>
  <si>
    <t>Entering Termination Reasons names containing special characters causes unexpected UI behavior and layout issues in the Termination Reasonss table.</t>
  </si>
  <si>
    <t>1. Click Add button 
2. Enter Termination Reasons name with special characters (@@@###%%%HR_Method!!!) 
3. Click Save 
4. Observe table and UI behavior</t>
  </si>
  <si>
    <t>Special characters caused UI layout issues in Termination Reasonss table.</t>
  </si>
  <si>
    <t>Input validation or UI rendering issue with special characters.</t>
  </si>
  <si>
    <t>Bug_112</t>
  </si>
  <si>
    <t>System allows creation of duplicate Termination Reasonss</t>
  </si>
  <si>
    <t>The system allows users to create Termination Reasonss with names that already exist in the system.</t>
  </si>
  <si>
    <t>1. Click Add button 
2. Enter an existing Termination Reasons name (HR Approval) 
3. Click Save</t>
  </si>
  <si>
    <t>The system should prevent duplicate Termination Reasons creation and display an appropriate validation message.</t>
  </si>
  <si>
    <t>A duplicate Termination Reasons record was created successfully.</t>
  </si>
  <si>
    <t>Uniqueness validation for Termination Reasons names is missing or not enforced.</t>
  </si>
  <si>
    <t>Bug_113</t>
  </si>
  <si>
    <t>Special characters caused UI layout issues in the Termination Reasonss table.</t>
  </si>
  <si>
    <t>Bug_114</t>
  </si>
  <si>
    <t>Page refresh during edit corrupts Termination Reasons data</t>
  </si>
  <si>
    <t>AC 0252</t>
  </si>
  <si>
    <t>TC_PIM_0252</t>
  </si>
  <si>
    <t>Refreshing the browser while editing a Termination Reasons causes corruption of the existing record data.</t>
  </si>
  <si>
    <t>1. Open Edit form for a Termination Reasons 
2. Modify Termination Reasons name 
3. Do not click Save 
4. Refresh browser (F5) 
5. Return to Termination Reasonss table 
6. Open edited record again</t>
  </si>
  <si>
    <t>Termination Reasons data became corrupted after page refresh during edit process.</t>
  </si>
  <si>
    <t>Unsaved edit state is not handled correctly during refresh causing data corruption.</t>
  </si>
  <si>
    <t>Bug_115</t>
  </si>
  <si>
    <t>PIM – Reports</t>
  </si>
  <si>
    <t>View filter does not return correct results for search query</t>
  </si>
  <si>
    <t>AC 0264</t>
  </si>
  <si>
    <t>TC_PIM_0264</t>
  </si>
  <si>
    <t>The search filter on Reports page does not correctly return matching results when a valid query is entered.</t>
  </si>
  <si>
    <t>1. Enter search query "Sample" in Report Name field 
2. Click Search button 
3. Observe results table</t>
  </si>
  <si>
    <t>Only records matching the search term "Sample" should be displayed in the table.</t>
  </si>
  <si>
    <t>Search returns invalid or incorrect results even when matching report exists.</t>
  </si>
  <si>
    <t>Search/filter logic is not correctly matching query against report names.</t>
  </si>
  <si>
    <t>Bug_116</t>
  </si>
  <si>
    <t>Search Filters</t>
  </si>
  <si>
    <t>Reset button does not clear From Date and To Date fields</t>
  </si>
  <si>
    <t>US_027</t>
  </si>
  <si>
    <t>TC_RESET_DT_001</t>
  </si>
  <si>
    <t>The Reset button fails to clear date filter fields, leaving previously entered values displayed.</t>
  </si>
  <si>
    <t>1. Enter From Date (01-05-2026) &gt; 2. Enter To Date (31-05-2026) &gt; 3. Click Reset &gt; 4. Observe date fields</t>
  </si>
  <si>
    <t>Reset button should clear both From Date and To Date fields completely.</t>
  </si>
  <si>
    <t>Date values remained displayed and were not cleared after clicking Reset.</t>
  </si>
  <si>
    <t>Reset functionality does not properly clear filter state.</t>
  </si>
  <si>
    <t>No. of test cases reported</t>
  </si>
  <si>
    <t>No. of test cases detected</t>
  </si>
  <si>
    <t>Bug Severity</t>
  </si>
  <si>
    <t>TEST EXECUTION SUMMARY REPORT</t>
  </si>
  <si>
    <t xml:space="preserve">Date: </t>
  </si>
  <si>
    <t>4/25/2026   /  10:34:00 PM</t>
  </si>
  <si>
    <t>Website:</t>
  </si>
  <si>
    <t>https://opensource-demo.orangehrmlive.com/web/index.php/auth/login</t>
  </si>
  <si>
    <t xml:space="preserve">Testing Environment: </t>
  </si>
  <si>
    <t>Edge Browser - Windows 10 / 11 - Android / Tablet</t>
  </si>
  <si>
    <t>User Story</t>
  </si>
  <si>
    <t>Test Cases Blocked:</t>
  </si>
  <si>
    <t>PASS RATE</t>
  </si>
  <si>
    <t>Pass Rate:</t>
  </si>
  <si>
    <t>Fail Rate:</t>
  </si>
  <si>
    <t>Blocked Rate:</t>
  </si>
  <si>
    <t>BUG SUMMARY</t>
  </si>
  <si>
    <t>Critical Issues:</t>
  </si>
  <si>
    <t>High Bugs:</t>
  </si>
  <si>
    <t>Medium Bugs:</t>
  </si>
  <si>
    <t>Low Bugs:</t>
  </si>
  <si>
    <t>Total Bugs Found:</t>
  </si>
  <si>
    <t>TEST RESULTS BY CATEGORY</t>
  </si>
  <si>
    <t>Category</t>
  </si>
  <si>
    <t>Pass %</t>
  </si>
  <si>
    <t>Functional - 
Age Validation</t>
  </si>
  <si>
    <t>Functional - Email Validation</t>
  </si>
  <si>
    <t>Functional - Form Behavior</t>
  </si>
  <si>
    <t>Functional - Name Validation</t>
  </si>
  <si>
    <t>Functional - Password Validation</t>
  </si>
  <si>
    <t>Functional - Required Fields</t>
  </si>
  <si>
    <t>RTL Testing - Arabic</t>
  </si>
  <si>
    <t>UI/UX - Visual Design</t>
  </si>
  <si>
    <t>Uncategorized</t>
  </si>
  <si>
    <t>KEY FINDINGS &amp; OBSERVATIONS</t>
  </si>
  <si>
    <r>
      <t>Pass Rate</t>
    </r>
    <r>
      <rPr>
        <sz val="10"/>
        <color theme="1"/>
        <rFont val="Calibri"/>
        <family val="2"/>
      </rPr>
      <t>: 91.0% - Excellent! Form validation working well</t>
    </r>
  </si>
  <si>
    <r>
      <t>Critical Issue Found</t>
    </r>
    <r>
      <rPr>
        <sz val="10"/>
        <color theme="1"/>
        <rFont val="Calibri"/>
        <family val="2"/>
      </rPr>
      <t>: Arabic numerals (١، ٢، ٣) not properly handled in Age field</t>
    </r>
  </si>
  <si>
    <t>Network Error Handling: Generic error message instead of specific 'Connection Lost' message</t>
  </si>
  <si>
    <t>NAME FIELD VALIDATION LOGIC ERROR: Conflicting 50-char and 100-char limits in validation rules</t>
  </si>
  <si>
    <t>MISSING BUSINESS REQUIREMENTS: Age boundaries (5-120) lack written approval from business</t>
  </si>
  <si>
    <r>
      <t>Strong Points</t>
    </r>
    <r>
      <rPr>
        <sz val="10"/>
        <color theme="1"/>
        <rFont val="Calibri"/>
        <family val="2"/>
      </rPr>
      <t>: Required fields validation, Email validation, Password matching all working</t>
    </r>
  </si>
  <si>
    <t>RTL Support: Arabic text display and alignment mostly working correctly</t>
  </si>
  <si>
    <t>Form Submission: Double-click prevention and session handling working properly</t>
  </si>
  <si>
    <r>
      <t>Improvement Area</t>
    </r>
    <r>
      <rPr>
        <sz val="10"/>
        <color theme="1"/>
        <rFont val="Calibri"/>
        <family val="2"/>
      </rPr>
      <t>: Internationalization (i18n) for numeric input formats</t>
    </r>
  </si>
  <si>
    <t>UX FLOW INCONSISTENCY: Welcome message doesn't differentiate new registration from login</t>
  </si>
  <si>
    <t>OVERALL ASSESSMENT</t>
  </si>
  <si>
    <t>The sign-up form demonstrates strong functionality and user experience overall. With a 91.0% pass rate,
the system handles most validation and submission scenarios correctly. The form successfully:
- Validates required fields
- Enforces email format requirements
- Ensures password matching
- Provides appropriate error messages
- Supports both Arabic and English input
- Prevents duplicate submissions
However, two notable issues were identified:
1. Arabic numeric input (١، ٢، ٣) is not recognized in the Age field
2. Network failure handling shows generic error instead of specific offline message
These are low-impact issues that don't affect core functionality but should be addressed for better UX.</t>
  </si>
  <si>
    <t>FINAL RECOMMENDATION</t>
  </si>
  <si>
    <t>READY FOR DEPLOYMENT (with minor fixes)
Priority Actions:
1. Fix Arabic numeral handling in Age field (implement number normalization)
2. Improve network error messages to be more specific
3. Add unit tests for internationalization scenarios
The form is production-ready with high reliability. Address the identified bugs in the next sprint
to ensure complete international compliance and better user experience.</t>
  </si>
  <si>
    <t>SIQ_ID</t>
  </si>
  <si>
    <t>Requirement</t>
  </si>
  <si>
    <t>SIQs</t>
  </si>
  <si>
    <t>Answer</t>
  </si>
  <si>
    <t>Closed</t>
  </si>
  <si>
    <t>Linked_TestCases</t>
  </si>
  <si>
    <t>Comments</t>
  </si>
  <si>
    <t>Linked Test Cases</t>
  </si>
  <si>
    <t>Coverage Status</t>
  </si>
  <si>
    <t>Total Req's</t>
  </si>
  <si>
    <t>Covered</t>
  </si>
  <si>
    <t>Not_Covered</t>
  </si>
  <si>
    <t>Approved</t>
  </si>
  <si>
    <t>Rejected</t>
  </si>
  <si>
    <t>Coverage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</si>
</sst>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11"/>
      <color theme="0"/>
      <name val="Calibri"/>
      <family val="2"/>
    </font>
    <font>
      <b/>
      <sz val="11"/>
      <color rgb="FFFFFFFF"/>
      <name val="Calibri"/>
      <family val="2"/>
      <scheme val="minor"/>
    </font>
    <font>
      <sz val="11"/>
      <color rgb="FF000000"/>
      <name val="Calibri"/>
      <family val="2"/>
      <scheme val="minor"/>
    </font>
    <font>
      <b/>
      <sz val="12"/>
      <color theme="0"/>
      <name val="Calibri"/>
      <family val="2"/>
      <scheme val="minor"/>
    </font>
    <font>
      <sz val="12"/>
      <color theme="1"/>
      <name val="Calibri"/>
      <family val="2"/>
      <scheme val="minor"/>
    </font>
    <font>
      <b/>
      <sz val="12"/>
      <color theme="0"/>
      <name val="Arial"/>
      <family val="2"/>
    </font>
    <font>
      <b/>
      <sz val="12"/>
      <color theme="0"/>
      <name val="Aptos Narrow"/>
      <family val="2"/>
    </font>
    <font>
      <u/>
      <sz val="11"/>
      <color theme="0"/>
      <name val="Calibri"/>
      <family val="2"/>
      <scheme val="minor"/>
    </font>
    <font>
      <sz val="72"/>
      <color theme="0"/>
      <name val="Calibri"/>
      <family val="2"/>
      <scheme val="minor"/>
    </font>
    <font>
      <b/>
      <sz val="36"/>
      <color theme="0"/>
      <name val="Calibri"/>
      <family val="2"/>
      <scheme val="minor"/>
    </font>
    <font>
      <sz val="60"/>
      <color theme="0"/>
      <name val="Calibri"/>
      <family val="2"/>
      <scheme val="minor"/>
    </font>
    <font>
      <sz val="11"/>
      <color rgb="FF000000"/>
      <name val="Calibri"/>
      <family val="2"/>
    </font>
    <font>
      <sz val="36"/>
      <color theme="0"/>
      <name val="Calibri"/>
      <family val="2"/>
      <scheme val="minor"/>
    </font>
    <font>
      <b/>
      <sz val="36"/>
      <color rgb="FFFFFFFF"/>
      <name val="Calibri"/>
      <family val="2"/>
    </font>
    <font>
      <sz val="36"/>
      <color theme="1"/>
      <name val="Calibri"/>
      <family val="2"/>
      <scheme val="minor"/>
    </font>
    <font>
      <sz val="10"/>
      <color rgb="FF000000"/>
      <name val="Calibri"/>
      <family val="2"/>
    </font>
    <font>
      <sz val="10"/>
      <name val="Calibri"/>
      <family val="2"/>
    </font>
    <font>
      <sz val="11"/>
      <color theme="0"/>
      <name val="Calibri"/>
      <family val="2"/>
      <scheme val="minor"/>
    </font>
    <font>
      <sz val="10"/>
      <color rgb="FF000000"/>
      <name val="Arial"/>
      <family val="2"/>
    </font>
    <font>
      <sz val="10"/>
      <color theme="1"/>
      <name val="Arial Unicode MS"/>
      <family val="2"/>
    </font>
    <font>
      <sz val="11"/>
      <color theme="1"/>
      <name val="Courier New"/>
      <family val="3"/>
    </font>
    <font>
      <u/>
      <sz val="11"/>
      <color rgb="FF0000FF"/>
      <name val="Calibri"/>
      <family val="2"/>
    </font>
    <font>
      <u/>
      <sz val="11"/>
      <color rgb="FF000000"/>
      <name val="Calibri"/>
      <family val="2"/>
    </font>
    <font>
      <sz val="11"/>
      <color rgb="FFE26B0A"/>
      <name val="Calibri"/>
      <family val="2"/>
    </font>
    <font>
      <sz val="10.5"/>
      <color rgb="FF000000"/>
      <name val="Calibri"/>
      <family val="2"/>
    </font>
    <font>
      <b/>
      <sz val="10.5"/>
      <name val="Calibri"/>
      <family val="2"/>
    </font>
    <font>
      <sz val="9"/>
      <color rgb="FF000000"/>
      <name val="Nunito Sans"/>
    </font>
    <font>
      <sz val="11"/>
      <color theme="1"/>
      <name val="Calibri"/>
      <family val="2"/>
    </font>
    <font>
      <sz val="10"/>
      <color theme="1"/>
      <name val="Arial"/>
      <family val="2"/>
    </font>
    <font>
      <b/>
      <sz val="14"/>
      <color rgb="FFFFFFFF"/>
      <name val="Calibri"/>
      <family val="2"/>
    </font>
    <font>
      <i/>
      <sz val="10"/>
      <color theme="1"/>
      <name val="Calibri"/>
      <family val="2"/>
    </font>
    <font>
      <b/>
      <sz val="11"/>
      <color rgb="FF1F4E78"/>
      <name val="Calibri"/>
      <family val="2"/>
    </font>
    <font>
      <b/>
      <sz val="11"/>
      <color theme="1"/>
      <name val="Calibri"/>
      <family val="2"/>
    </font>
    <font>
      <b/>
      <sz val="12"/>
      <color rgb="FF006100"/>
      <name val="Calibri"/>
      <family val="2"/>
    </font>
    <font>
      <b/>
      <sz val="12"/>
      <color rgb="FF9C0006"/>
      <name val="Calibri"/>
      <family val="2"/>
    </font>
    <font>
      <b/>
      <sz val="11"/>
      <color rgb="FFFF6B00"/>
      <name val="Calibri"/>
      <family val="2"/>
    </font>
    <font>
      <b/>
      <sz val="12"/>
      <color rgb="FF974806"/>
      <name val="Calibri"/>
      <family val="2"/>
    </font>
    <font>
      <b/>
      <sz val="10"/>
      <color theme="1"/>
      <name val="Calibri"/>
      <family val="2"/>
    </font>
    <font>
      <b/>
      <sz val="11"/>
      <color rgb="FFFFFFFF"/>
      <name val="Calibri"/>
      <family val="2"/>
    </font>
    <font>
      <sz val="9"/>
      <color theme="1"/>
      <name val="Calibri"/>
      <family val="2"/>
    </font>
    <font>
      <sz val="10"/>
      <color theme="1"/>
      <name val="Calibri"/>
      <family val="2"/>
    </font>
    <font>
      <b/>
      <sz val="9"/>
      <color rgb="FF006100"/>
      <name val="Calibri"/>
      <family val="2"/>
    </font>
    <font>
      <sz val="11"/>
      <color theme="0" tint="-0.34998626667073579"/>
      <name val="Calibri"/>
      <family val="2"/>
      <scheme val="minor"/>
    </font>
    <font>
      <sz val="10"/>
      <color theme="1"/>
      <name val="Arial"/>
    </font>
    <font>
      <sz val="11"/>
      <color rgb="FF000000"/>
      <name val="Calibri"/>
      <charset val="1"/>
    </font>
    <font>
      <sz val="11"/>
      <color rgb="FF000000"/>
      <name val="Calibri"/>
    </font>
    <font>
      <sz val="10"/>
      <name val="Calibri"/>
    </font>
    <font>
      <sz val="10"/>
      <color theme="0"/>
      <name val="Arial"/>
      <family val="2"/>
    </font>
    <font>
      <sz val="48"/>
      <color theme="0"/>
      <name val="Calibri"/>
      <family val="2"/>
      <scheme val="minor"/>
    </font>
    <font>
      <sz val="72"/>
      <color theme="0"/>
      <name val="Calibri"/>
      <family val="2"/>
    </font>
    <font>
      <b/>
      <sz val="16"/>
      <color theme="1"/>
      <name val="Calibri"/>
      <family val="2"/>
      <scheme val="minor"/>
    </font>
    <font>
      <b/>
      <sz val="16"/>
      <color rgb="FF1F4E78"/>
      <name val="Calibri"/>
      <family val="2"/>
    </font>
    <font>
      <b/>
      <sz val="16"/>
      <color theme="0"/>
      <name val="Calibri"/>
      <family val="2"/>
      <scheme val="minor"/>
    </font>
    <font>
      <sz val="12"/>
      <color rgb="FF000000"/>
      <name val="Calibri"/>
    </font>
    <font>
      <u/>
      <sz val="11"/>
      <color rgb="FF0000FF"/>
      <name val="Calibri"/>
    </font>
    <font>
      <sz val="11"/>
      <name val="Calibri"/>
    </font>
    <font>
      <u/>
      <sz val="11"/>
      <color rgb="FF000000"/>
      <name val="Calibri"/>
    </font>
    <font>
      <sz val="9"/>
      <color rgb="FFEB0910"/>
      <name val="Nunito Sans"/>
      <charset val="1"/>
    </font>
    <font>
      <sz val="11"/>
      <color rgb="FFFF0000"/>
      <name val="Calibri"/>
      <family val="2"/>
      <scheme val="minor"/>
    </font>
    <font>
      <b/>
      <sz val="20"/>
      <color theme="0"/>
      <name val="Calibri"/>
      <family val="2"/>
      <scheme val="minor"/>
    </font>
    <font>
      <sz val="18"/>
      <color theme="0"/>
      <name val="Calibri"/>
      <family val="2"/>
      <scheme val="minor"/>
    </font>
    <font>
      <sz val="14"/>
      <color theme="1"/>
      <name val="Calibri"/>
      <family val="2"/>
      <scheme val="minor"/>
    </font>
    <font>
      <sz val="16"/>
      <color theme="1"/>
      <name val="Calibri"/>
      <family val="2"/>
      <scheme val="minor"/>
    </font>
    <font>
      <sz val="14"/>
      <color theme="1"/>
      <name val="Arial"/>
      <family val="2"/>
    </font>
    <font>
      <b/>
      <sz val="14"/>
      <color rgb="FF006100"/>
      <name val="Calibri"/>
      <family val="2"/>
    </font>
    <font>
      <b/>
      <sz val="14"/>
      <color rgb="FF9C0006"/>
      <name val="Calibri"/>
      <family val="2"/>
    </font>
    <font>
      <sz val="16"/>
      <color theme="0"/>
      <name val="Calibri"/>
      <family val="2"/>
      <scheme val="minor"/>
    </font>
    <font>
      <sz val="14"/>
      <color theme="1"/>
      <name val="Calibri"/>
      <family val="2"/>
    </font>
    <font>
      <b/>
      <sz val="16"/>
      <color rgb="FFC00000"/>
      <name val="Calibri"/>
      <family val="2"/>
      <scheme val="minor"/>
    </font>
    <font>
      <b/>
      <sz val="11"/>
      <color rgb="FFFF0000"/>
      <name val="Calibri"/>
      <family val="2"/>
      <scheme val="minor"/>
    </font>
    <font>
      <b/>
      <sz val="12"/>
      <color theme="0"/>
      <name val="Calibri"/>
      <family val="2"/>
    </font>
    <font>
      <b/>
      <sz val="12"/>
      <color theme="1"/>
      <name val="Calibri"/>
      <family val="2"/>
    </font>
    <font>
      <b/>
      <sz val="14"/>
      <color rgb="FF1F4E78"/>
      <name val="Calibri"/>
      <family val="2"/>
    </font>
    <font>
      <b/>
      <i/>
      <sz val="14"/>
      <color theme="0"/>
      <name val="Calibri"/>
      <family val="2"/>
    </font>
    <font>
      <i/>
      <sz val="12"/>
      <color theme="1"/>
      <name val="Calibri"/>
      <family val="2"/>
    </font>
    <font>
      <sz val="12"/>
      <color theme="1"/>
      <name val="Arial"/>
      <family val="2"/>
    </font>
    <font>
      <sz val="12"/>
      <color theme="1"/>
      <name val="Calibri"/>
      <family val="2"/>
    </font>
    <font>
      <sz val="10.5"/>
      <color rgb="FF000000"/>
      <name val="Calibri"/>
    </font>
    <font>
      <sz val="72"/>
      <color theme="0"/>
      <name val="Calibri"/>
    </font>
    <font>
      <b/>
      <sz val="10.5"/>
      <color theme="1"/>
      <name val="Calibri"/>
      <family val="2"/>
    </font>
    <font>
      <b/>
      <sz val="10"/>
      <color theme="1"/>
      <name val="Arial"/>
      <family val="2"/>
    </font>
    <font>
      <u/>
      <sz val="10.5"/>
      <color rgb="FF000000"/>
      <name val="Calibri"/>
      <family val="2"/>
    </font>
  </fonts>
  <fills count="60">
    <fill>
      <patternFill patternType="none"/>
    </fill>
    <fill>
      <patternFill patternType="gray125"/>
    </fill>
    <fill>
      <patternFill patternType="solid">
        <fgColor theme="3"/>
        <bgColor indexed="64"/>
      </patternFill>
    </fill>
    <fill>
      <patternFill patternType="solid">
        <fgColor rgb="FF1F497D"/>
        <bgColor rgb="FF000000"/>
      </patternFill>
    </fill>
    <fill>
      <patternFill patternType="solid">
        <fgColor theme="9"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76BC21"/>
        <bgColor indexed="64"/>
      </patternFill>
    </fill>
    <fill>
      <patternFill patternType="solid">
        <fgColor theme="0" tint="-0.34998626667073579"/>
        <bgColor indexed="64"/>
      </patternFill>
    </fill>
    <fill>
      <patternFill patternType="solid">
        <fgColor rgb="FF00B050"/>
        <bgColor rgb="FFFFFF00"/>
      </patternFill>
    </fill>
    <fill>
      <patternFill patternType="solid">
        <fgColor rgb="FFFF0000"/>
        <bgColor rgb="FFFFFF00"/>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rgb="FF1BAB57"/>
        <bgColor indexed="64"/>
      </patternFill>
    </fill>
    <fill>
      <patternFill patternType="solid">
        <fgColor rgb="FFFFFFFF"/>
        <bgColor rgb="FFFFFF00"/>
      </patternFill>
    </fill>
    <fill>
      <patternFill patternType="solid">
        <fgColor rgb="FFFFFFFF"/>
        <bgColor rgb="FF000000"/>
      </patternFill>
    </fill>
    <fill>
      <patternFill patternType="solid">
        <fgColor rgb="FF00B050"/>
        <bgColor rgb="FF000000"/>
      </patternFill>
    </fill>
    <fill>
      <patternFill patternType="solid">
        <fgColor rgb="FFFF0000"/>
        <bgColor rgb="FF000000"/>
      </patternFill>
    </fill>
    <fill>
      <patternFill patternType="solid">
        <fgColor theme="9"/>
        <bgColor indexed="64"/>
      </patternFill>
    </fill>
    <fill>
      <patternFill patternType="solid">
        <fgColor rgb="FFFFFFFF"/>
        <bgColor rgb="FFE2EFDA"/>
      </patternFill>
    </fill>
    <fill>
      <patternFill patternType="solid">
        <fgColor rgb="FF00B050"/>
        <bgColor rgb="FFE2EFDA"/>
      </patternFill>
    </fill>
    <fill>
      <patternFill patternType="solid">
        <fgColor rgb="FFFFFFFF"/>
        <bgColor rgb="FFFCE4D6"/>
      </patternFill>
    </fill>
    <fill>
      <patternFill patternType="solid">
        <fgColor rgb="FFFF0000"/>
        <bgColor rgb="FFFCE4D6"/>
      </patternFill>
    </fill>
    <fill>
      <patternFill patternType="solid">
        <fgColor rgb="FFFF0000"/>
        <bgColor rgb="FFE2EFDA"/>
      </patternFill>
    </fill>
    <fill>
      <patternFill patternType="solid">
        <fgColor rgb="FFC00000"/>
        <bgColor indexed="64"/>
      </patternFill>
    </fill>
    <fill>
      <patternFill patternType="solid">
        <fgColor rgb="FF1F4E78"/>
        <bgColor indexed="64"/>
      </patternFill>
    </fill>
    <fill>
      <patternFill patternType="solid">
        <fgColor rgb="FFD9E1F2"/>
        <bgColor indexed="64"/>
      </patternFill>
    </fill>
    <fill>
      <patternFill patternType="solid">
        <fgColor rgb="FFC6EFCE"/>
        <bgColor indexed="64"/>
      </patternFill>
    </fill>
    <fill>
      <patternFill patternType="solid">
        <fgColor rgb="FFFFC7CE"/>
        <bgColor indexed="64"/>
      </patternFill>
    </fill>
    <fill>
      <patternFill patternType="solid">
        <fgColor rgb="FFE2EFDA"/>
        <bgColor indexed="64"/>
      </patternFill>
    </fill>
    <fill>
      <patternFill patternType="solid">
        <fgColor rgb="FFFCE4D6"/>
        <bgColor indexed="64"/>
      </patternFill>
    </fill>
    <fill>
      <patternFill patternType="solid">
        <fgColor rgb="FFFFE699"/>
        <bgColor indexed="64"/>
      </patternFill>
    </fill>
    <fill>
      <patternFill patternType="solid">
        <fgColor rgb="FFBDD7EE"/>
        <bgColor indexed="64"/>
      </patternFill>
    </fill>
    <fill>
      <patternFill patternType="solid">
        <fgColor rgb="FF17365D"/>
        <bgColor indexed="64"/>
      </patternFill>
    </fill>
    <fill>
      <patternFill patternType="solid">
        <fgColor rgb="FF70AD47"/>
        <bgColor indexed="64"/>
      </patternFill>
    </fill>
    <fill>
      <patternFill patternType="solid">
        <fgColor rgb="FFE7E6E6"/>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2" tint="-0.499984740745262"/>
        <bgColor indexed="64"/>
      </patternFill>
    </fill>
    <fill>
      <patternFill patternType="solid">
        <fgColor rgb="FFFFD700"/>
        <bgColor indexed="64"/>
      </patternFill>
    </fill>
    <fill>
      <patternFill patternType="solid">
        <fgColor theme="5"/>
        <bgColor indexed="64"/>
      </patternFill>
    </fill>
    <fill>
      <patternFill patternType="solid">
        <fgColor theme="7" tint="-0.499984740745262"/>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rgb="FFF7994B"/>
        <bgColor indexed="64"/>
      </patternFill>
    </fill>
    <fill>
      <patternFill patternType="solid">
        <fgColor theme="5" tint="0.39997558519241921"/>
        <bgColor indexed="64"/>
      </patternFill>
    </fill>
    <fill>
      <patternFill patternType="solid">
        <fgColor theme="0" tint="-0.34998626667073579"/>
        <bgColor rgb="FF000000"/>
      </patternFill>
    </fill>
    <fill>
      <patternFill patternType="solid">
        <fgColor theme="0" tint="-0.34998626667073579"/>
        <bgColor rgb="FFFFFF00"/>
      </patternFill>
    </fill>
    <fill>
      <patternFill patternType="solid">
        <fgColor theme="2" tint="-0.249977111117893"/>
        <bgColor indexed="64"/>
      </patternFill>
    </fill>
    <fill>
      <patternFill patternType="solid">
        <fgColor rgb="FF00B0F0"/>
        <bgColor indexed="64"/>
      </patternFill>
    </fill>
    <fill>
      <patternFill patternType="solid">
        <fgColor theme="5" tint="-0.249977111117893"/>
        <bgColor indexed="64"/>
      </patternFill>
    </fill>
    <fill>
      <patternFill patternType="solid">
        <fgColor rgb="FF00FF99"/>
        <bgColor indexed="64"/>
      </patternFill>
    </fill>
    <fill>
      <patternFill patternType="solid">
        <fgColor rgb="FFFB7D10"/>
        <bgColor indexed="64"/>
      </patternFill>
    </fill>
    <fill>
      <patternFill patternType="solid">
        <fgColor theme="0" tint="-0.14999847407452621"/>
        <bgColor rgb="FFFCE4D6"/>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top style="medium">
        <color rgb="FFFFFFFF"/>
      </top>
      <bottom style="medium">
        <color rgb="FFFFFFFF"/>
      </bottom>
      <diagonal/>
    </border>
    <border>
      <left style="medium">
        <color rgb="FFCCCCCC"/>
      </left>
      <right/>
      <top style="medium">
        <color rgb="FFCCCCCC"/>
      </top>
      <bottom style="medium">
        <color rgb="FFFFFFFF"/>
      </bottom>
      <diagonal/>
    </border>
    <border>
      <left/>
      <right/>
      <top style="thin">
        <color auto="1"/>
      </top>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style="thin">
        <color rgb="FFBFBFBF"/>
      </right>
      <top style="thin">
        <color rgb="FFBFBFBF"/>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right style="thin">
        <color rgb="FF000000"/>
      </right>
      <top/>
      <bottom/>
      <diagonal/>
    </border>
    <border>
      <left/>
      <right/>
      <top style="thin">
        <color rgb="FFCCCCCC"/>
      </top>
      <bottom/>
      <diagonal/>
    </border>
    <border>
      <left/>
      <right/>
      <top/>
      <bottom style="thin">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theme="0" tint="-0.14999847407452621"/>
      </left>
      <right style="thin">
        <color theme="0" tint="-0.14999847407452621"/>
      </right>
      <top style="thin">
        <color theme="0" tint="-0.14999847407452621"/>
      </top>
      <bottom/>
      <diagonal/>
    </border>
    <border>
      <left style="dotted">
        <color theme="0" tint="-0.14999847407452621"/>
      </left>
      <right style="thin">
        <color theme="0" tint="-0.14999847407452621"/>
      </right>
      <top style="dotted">
        <color theme="0" tint="-0.14999847407452621"/>
      </top>
      <bottom/>
      <diagonal/>
    </border>
    <border>
      <left/>
      <right style="dotted">
        <color theme="0" tint="-0.14999847407452621"/>
      </right>
      <top style="dotted">
        <color theme="0" tint="-0.14999847407452621"/>
      </top>
      <bottom style="thin">
        <color theme="2"/>
      </bottom>
      <diagonal/>
    </border>
    <border>
      <left style="dotted">
        <color theme="0" tint="-0.14999847407452621"/>
      </left>
      <right/>
      <top/>
      <bottom style="dotted">
        <color theme="0" tint="-0.14999847407452621"/>
      </bottom>
      <diagonal/>
    </border>
    <border>
      <left/>
      <right style="dotted">
        <color theme="0" tint="-0.14999847407452621"/>
      </right>
      <top/>
      <bottom style="dotted">
        <color theme="0" tint="-0.14999847407452621"/>
      </bottom>
      <diagonal/>
    </border>
    <border>
      <left style="thin">
        <color theme="0" tint="-0.249977111117893"/>
      </left>
      <right/>
      <top/>
      <bottom/>
      <diagonal/>
    </border>
    <border>
      <left style="medium">
        <color rgb="FFCCCCCC"/>
      </left>
      <right/>
      <top/>
      <bottom style="medium">
        <color rgb="FFCCCCCC"/>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diagonal/>
    </border>
    <border>
      <left/>
      <right/>
      <top/>
      <bottom style="thin">
        <color rgb="FFBFBFBF"/>
      </bottom>
      <diagonal/>
    </border>
    <border>
      <left style="thin">
        <color rgb="FF000000"/>
      </left>
      <right style="thin">
        <color rgb="FF000000"/>
      </right>
      <top/>
      <bottom style="thin">
        <color rgb="FF000000"/>
      </bottom>
      <diagonal/>
    </border>
  </borders>
  <cellStyleXfs count="2">
    <xf numFmtId="0" fontId="0" fillId="0" borderId="0"/>
    <xf numFmtId="0" fontId="4" fillId="0" borderId="0" applyNumberFormat="0" applyFill="0" applyBorder="0" applyAlignment="0" applyProtection="0"/>
  </cellStyleXfs>
  <cellXfs count="426">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4" fillId="0" borderId="0" xfId="1" applyAlignment="1">
      <alignment vertical="center" wrapText="1"/>
    </xf>
    <xf numFmtId="0" fontId="2"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0" fillId="0" borderId="0" xfId="0" applyAlignment="1">
      <alignment horizontal="left" vertical="center"/>
    </xf>
    <xf numFmtId="0" fontId="7" fillId="3" borderId="1" xfId="0" applyFont="1" applyFill="1" applyBorder="1" applyAlignment="1">
      <alignment horizontal="left" vertical="center"/>
    </xf>
    <xf numFmtId="0" fontId="8" fillId="0" borderId="0" xfId="0" applyFont="1"/>
    <xf numFmtId="0" fontId="4" fillId="0" borderId="0" xfId="1"/>
    <xf numFmtId="0" fontId="2" fillId="2" borderId="0" xfId="0" applyFont="1" applyFill="1" applyAlignment="1">
      <alignment horizontal="left" vertical="center"/>
    </xf>
    <xf numFmtId="0" fontId="6" fillId="2" borderId="2" xfId="0" applyFont="1" applyFill="1" applyBorder="1" applyAlignment="1">
      <alignment horizontal="left" vertical="center"/>
    </xf>
    <xf numFmtId="0" fontId="0" fillId="0" borderId="0" xfId="0" applyAlignment="1">
      <alignment horizontal="left" vertical="center" wrapText="1"/>
    </xf>
    <xf numFmtId="0" fontId="0" fillId="0" borderId="0" xfId="0" applyAlignment="1">
      <alignment horizontal="left" vertical="center" indent="1"/>
    </xf>
    <xf numFmtId="0" fontId="3" fillId="0" borderId="0" xfId="0" applyFont="1"/>
    <xf numFmtId="0" fontId="3" fillId="0" borderId="0" xfId="0" applyFont="1" applyAlignment="1">
      <alignment horizontal="left" vertical="center" indent="1"/>
    </xf>
    <xf numFmtId="0" fontId="10" fillId="0" borderId="0" xfId="0" applyFont="1" applyAlignment="1">
      <alignment vertical="center"/>
    </xf>
    <xf numFmtId="0" fontId="4" fillId="0" borderId="0" xfId="1" applyAlignment="1">
      <alignment horizontal="center" vertical="center"/>
    </xf>
    <xf numFmtId="0" fontId="0" fillId="0" borderId="0" xfId="0" applyAlignment="1">
      <alignment vertical="center"/>
    </xf>
    <xf numFmtId="0" fontId="4" fillId="0" borderId="0" xfId="1" applyAlignment="1">
      <alignment vertical="center"/>
    </xf>
    <xf numFmtId="0" fontId="0" fillId="0" borderId="0" xfId="0" quotePrefix="1" applyAlignment="1">
      <alignment vertical="center" wrapText="1"/>
    </xf>
    <xf numFmtId="0" fontId="0" fillId="0" borderId="0" xfId="0" applyAlignment="1">
      <alignment horizontal="left"/>
    </xf>
    <xf numFmtId="0" fontId="0" fillId="0" borderId="0" xfId="0" applyAlignment="1">
      <alignment horizontal="center"/>
    </xf>
    <xf numFmtId="0" fontId="11" fillId="2" borderId="3"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1" fillId="2" borderId="5" xfId="0" applyFont="1" applyFill="1" applyBorder="1" applyAlignment="1">
      <alignment horizontal="center" vertical="center" wrapText="1"/>
    </xf>
    <xf numFmtId="0" fontId="11" fillId="2" borderId="4" xfId="0" applyFont="1" applyFill="1" applyBorder="1" applyAlignment="1">
      <alignment horizontal="left" vertical="center" wrapText="1"/>
    </xf>
    <xf numFmtId="0" fontId="11" fillId="2" borderId="6" xfId="0" applyFont="1" applyFill="1" applyBorder="1" applyAlignment="1">
      <alignment horizontal="center" vertical="center" wrapText="1"/>
    </xf>
    <xf numFmtId="0" fontId="13" fillId="2" borderId="7" xfId="1" applyFont="1" applyFill="1" applyBorder="1" applyAlignment="1">
      <alignment horizontal="center" vertical="center" wrapText="1"/>
    </xf>
    <xf numFmtId="0" fontId="11" fillId="2" borderId="7" xfId="0" applyFont="1" applyFill="1" applyBorder="1" applyAlignment="1">
      <alignment horizontal="center" vertical="center" wrapText="1"/>
    </xf>
    <xf numFmtId="0" fontId="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left" vertical="center"/>
    </xf>
    <xf numFmtId="9" fontId="3" fillId="0" borderId="0" xfId="0" applyNumberFormat="1" applyFont="1" applyAlignment="1">
      <alignment horizontal="center"/>
    </xf>
    <xf numFmtId="0" fontId="2" fillId="0" borderId="0" xfId="0" applyFont="1"/>
    <xf numFmtId="0" fontId="4" fillId="0" borderId="0" xfId="1" applyFill="1" applyAlignment="1">
      <alignment vertical="center"/>
    </xf>
    <xf numFmtId="0" fontId="0" fillId="6" borderId="0" xfId="0" applyFill="1" applyAlignment="1">
      <alignment vertical="center" wrapText="1"/>
    </xf>
    <xf numFmtId="0" fontId="0" fillId="6" borderId="0" xfId="0" applyFill="1"/>
    <xf numFmtId="0" fontId="0" fillId="6" borderId="0" xfId="0" applyFill="1" applyAlignment="1">
      <alignment vertical="center"/>
    </xf>
    <xf numFmtId="0" fontId="6" fillId="2" borderId="1" xfId="0" applyFont="1" applyFill="1" applyBorder="1" applyAlignment="1">
      <alignment horizontal="left" vertical="center" wrapText="1"/>
    </xf>
    <xf numFmtId="0" fontId="18" fillId="8" borderId="0" xfId="0" applyFont="1" applyFill="1"/>
    <xf numFmtId="0" fontId="0" fillId="8" borderId="0" xfId="0" applyFill="1" applyAlignment="1">
      <alignment vertical="center" wrapText="1"/>
    </xf>
    <xf numFmtId="0" fontId="0" fillId="8" borderId="0" xfId="0" applyFill="1"/>
    <xf numFmtId="0" fontId="20" fillId="0" borderId="0" xfId="0" applyFont="1"/>
    <xf numFmtId="0" fontId="23" fillId="8" borderId="0" xfId="0" applyFont="1" applyFill="1"/>
    <xf numFmtId="0" fontId="23" fillId="0" borderId="0" xfId="0" applyFont="1"/>
    <xf numFmtId="0" fontId="15" fillId="0" borderId="0" xfId="0" applyFont="1" applyAlignment="1">
      <alignment horizontal="center" vertical="center" textRotation="90"/>
    </xf>
    <xf numFmtId="0" fontId="15" fillId="8" borderId="0" xfId="0" applyFont="1" applyFill="1" applyAlignment="1">
      <alignment horizontal="center" vertical="center" textRotation="90"/>
    </xf>
    <xf numFmtId="0" fontId="19" fillId="8" borderId="0" xfId="0" applyFont="1" applyFill="1" applyAlignment="1">
      <alignment horizontal="center" vertical="center" textRotation="90"/>
    </xf>
    <xf numFmtId="0" fontId="17" fillId="0" borderId="0" xfId="0" applyFont="1"/>
    <xf numFmtId="0" fontId="15" fillId="13" borderId="0" xfId="0" applyFont="1" applyFill="1" applyAlignment="1">
      <alignment horizontal="center" vertical="center" textRotation="90"/>
    </xf>
    <xf numFmtId="0" fontId="0" fillId="13" borderId="0" xfId="0" applyFill="1" applyAlignment="1">
      <alignment vertical="center" wrapText="1"/>
    </xf>
    <xf numFmtId="0" fontId="0" fillId="13" borderId="0" xfId="0" applyFill="1"/>
    <xf numFmtId="0" fontId="15" fillId="13" borderId="0" xfId="0" applyFont="1" applyFill="1"/>
    <xf numFmtId="0" fontId="15" fillId="0" borderId="0" xfId="0" applyFont="1"/>
    <xf numFmtId="0" fontId="15" fillId="14" borderId="0" xfId="0" applyFont="1" applyFill="1" applyAlignment="1">
      <alignment horizontal="center" vertical="center" textRotation="90"/>
    </xf>
    <xf numFmtId="0" fontId="18" fillId="14" borderId="0" xfId="0" applyFont="1" applyFill="1"/>
    <xf numFmtId="0" fontId="0" fillId="14" borderId="0" xfId="0" applyFill="1" applyAlignment="1">
      <alignment vertical="center" wrapText="1"/>
    </xf>
    <xf numFmtId="0" fontId="0" fillId="14" borderId="0" xfId="0" applyFill="1"/>
    <xf numFmtId="0" fontId="0" fillId="13" borderId="0" xfId="0" applyFill="1" applyAlignment="1">
      <alignment vertical="center"/>
    </xf>
    <xf numFmtId="0" fontId="0" fillId="14" borderId="0" xfId="0" applyFill="1" applyAlignment="1">
      <alignment vertical="center"/>
    </xf>
    <xf numFmtId="0" fontId="17" fillId="0" borderId="0" xfId="0" applyFont="1" applyAlignment="1">
      <alignment wrapText="1"/>
    </xf>
    <xf numFmtId="0" fontId="17" fillId="0" borderId="0" xfId="0" applyFont="1" applyAlignment="1">
      <alignment vertical="center" wrapText="1"/>
    </xf>
    <xf numFmtId="0" fontId="17" fillId="9" borderId="0" xfId="0" applyFont="1" applyFill="1" applyAlignment="1">
      <alignment horizontal="center" vertical="center" wrapText="1"/>
    </xf>
    <xf numFmtId="0" fontId="17" fillId="10" borderId="0" xfId="0" applyFont="1" applyFill="1" applyAlignment="1">
      <alignment horizontal="center" vertical="center" wrapText="1"/>
    </xf>
    <xf numFmtId="0" fontId="17" fillId="12" borderId="0" xfId="0" applyFont="1" applyFill="1" applyAlignment="1">
      <alignment horizontal="center" vertical="center" wrapText="1"/>
    </xf>
    <xf numFmtId="0" fontId="17" fillId="11" borderId="0" xfId="0" applyFont="1" applyFill="1" applyAlignment="1">
      <alignment horizontal="center" vertical="center" wrapText="1"/>
    </xf>
    <xf numFmtId="0" fontId="17" fillId="0" borderId="0" xfId="0" applyFont="1" applyAlignment="1">
      <alignment horizontal="center" vertical="center" wrapText="1"/>
    </xf>
    <xf numFmtId="0" fontId="0" fillId="13" borderId="0" xfId="0" applyFill="1" applyAlignment="1">
      <alignment horizontal="center" vertical="center"/>
    </xf>
    <xf numFmtId="0" fontId="0" fillId="6" borderId="0" xfId="0" applyFill="1" applyAlignment="1">
      <alignment horizontal="center" vertical="center"/>
    </xf>
    <xf numFmtId="0" fontId="0" fillId="14" borderId="0" xfId="0" applyFill="1" applyAlignment="1">
      <alignment horizontal="center" vertical="center"/>
    </xf>
    <xf numFmtId="0" fontId="23" fillId="13" borderId="0" xfId="0" applyFont="1" applyFill="1"/>
    <xf numFmtId="0" fontId="4" fillId="0" borderId="0" xfId="1" applyFill="1" applyBorder="1" applyAlignment="1">
      <alignment vertical="center" wrapText="1"/>
    </xf>
    <xf numFmtId="0" fontId="17" fillId="0" borderId="0" xfId="0" applyFont="1" applyAlignment="1">
      <alignment vertical="center"/>
    </xf>
    <xf numFmtId="0" fontId="7" fillId="2" borderId="0" xfId="0" applyFont="1" applyFill="1" applyAlignment="1">
      <alignment horizontal="center" vertical="center" wrapText="1"/>
    </xf>
    <xf numFmtId="0" fontId="0" fillId="8" borderId="0" xfId="0" applyFill="1" applyAlignment="1">
      <alignment vertical="center"/>
    </xf>
    <xf numFmtId="0" fontId="17" fillId="8" borderId="0" xfId="0" applyFont="1" applyFill="1" applyAlignment="1">
      <alignment vertical="center"/>
    </xf>
    <xf numFmtId="0" fontId="26" fillId="0" borderId="0" xfId="0" applyFont="1" applyAlignment="1">
      <alignment horizontal="left" vertical="center" wrapText="1"/>
    </xf>
    <xf numFmtId="0" fontId="0" fillId="8" borderId="0" xfId="0" applyFill="1" applyAlignment="1">
      <alignment horizontal="center" vertical="center"/>
    </xf>
    <xf numFmtId="0" fontId="30" fillId="0" borderId="13" xfId="0" applyFont="1" applyBorder="1" applyAlignment="1">
      <alignment wrapText="1"/>
    </xf>
    <xf numFmtId="0" fontId="0" fillId="8" borderId="0" xfId="0" applyFill="1" applyAlignment="1">
      <alignment horizontal="left" vertical="center"/>
    </xf>
    <xf numFmtId="0" fontId="0" fillId="8" borderId="0" xfId="0" applyFill="1" applyAlignment="1">
      <alignment horizontal="left" vertical="center" wrapText="1"/>
    </xf>
    <xf numFmtId="0" fontId="30" fillId="5" borderId="13" xfId="0" applyFont="1" applyFill="1" applyBorder="1" applyAlignment="1">
      <alignment vertical="center" wrapText="1"/>
    </xf>
    <xf numFmtId="0" fontId="30" fillId="5" borderId="11" xfId="0" applyFont="1" applyFill="1" applyBorder="1" applyAlignment="1">
      <alignment vertical="center" wrapText="1"/>
    </xf>
    <xf numFmtId="0" fontId="34" fillId="0" borderId="0" xfId="0" applyFont="1" applyAlignment="1">
      <alignment vertical="center" wrapText="1"/>
    </xf>
    <xf numFmtId="0" fontId="17" fillId="18" borderId="11" xfId="0" applyFont="1" applyFill="1" applyBorder="1" applyAlignment="1">
      <alignment horizontal="center" vertical="center" wrapText="1"/>
    </xf>
    <xf numFmtId="0" fontId="17" fillId="18" borderId="13" xfId="0" applyFont="1" applyFill="1" applyBorder="1" applyAlignment="1">
      <alignment horizontal="center" vertical="center" wrapText="1"/>
    </xf>
    <xf numFmtId="15" fontId="0" fillId="0" borderId="0" xfId="0" applyNumberFormat="1" applyAlignment="1">
      <alignment vertical="center" wrapText="1"/>
    </xf>
    <xf numFmtId="0" fontId="1" fillId="0" borderId="0" xfId="0" applyFont="1" applyAlignment="1">
      <alignment vertical="center" wrapText="1"/>
    </xf>
    <xf numFmtId="0" fontId="21" fillId="0" borderId="0" xfId="0" applyFont="1" applyAlignment="1">
      <alignment wrapText="1"/>
    </xf>
    <xf numFmtId="0" fontId="22" fillId="0" borderId="0" xfId="0" applyFont="1" applyAlignment="1">
      <alignment wrapText="1"/>
    </xf>
    <xf numFmtId="14" fontId="17" fillId="0" borderId="0" xfId="0" applyNumberFormat="1" applyFont="1" applyAlignment="1">
      <alignment vertical="center" wrapText="1"/>
    </xf>
    <xf numFmtId="0" fontId="21" fillId="0" borderId="0" xfId="0" applyFont="1" applyAlignment="1">
      <alignment vertical="center" wrapText="1"/>
    </xf>
    <xf numFmtId="0" fontId="21" fillId="0" borderId="0" xfId="0" quotePrefix="1" applyFont="1" applyAlignment="1">
      <alignment vertical="center" wrapText="1"/>
    </xf>
    <xf numFmtId="0" fontId="22" fillId="0" borderId="0" xfId="0" applyFont="1" applyAlignment="1">
      <alignment vertical="center" wrapText="1"/>
    </xf>
    <xf numFmtId="0" fontId="30" fillId="0" borderId="0" xfId="0" applyFont="1" applyAlignment="1">
      <alignment vertical="center" wrapText="1"/>
    </xf>
    <xf numFmtId="0" fontId="31" fillId="0" borderId="0" xfId="0" applyFont="1" applyAlignment="1">
      <alignment vertical="center" wrapText="1"/>
    </xf>
    <xf numFmtId="0" fontId="30" fillId="0" borderId="0" xfId="0" quotePrefix="1" applyFont="1" applyAlignment="1">
      <alignment vertical="center" wrapText="1"/>
    </xf>
    <xf numFmtId="0" fontId="24" fillId="0" borderId="0" xfId="0" applyFont="1" applyAlignment="1">
      <alignment wrapText="1"/>
    </xf>
    <xf numFmtId="0" fontId="27" fillId="0" borderId="0" xfId="0" applyFont="1" applyAlignment="1">
      <alignment wrapText="1"/>
    </xf>
    <xf numFmtId="0" fontId="29" fillId="0" borderId="0" xfId="0" applyFont="1" applyAlignment="1">
      <alignment wrapText="1"/>
    </xf>
    <xf numFmtId="0" fontId="0" fillId="0" borderId="0" xfId="0" quotePrefix="1" applyAlignment="1">
      <alignment horizontal="left" vertical="center" wrapText="1"/>
    </xf>
    <xf numFmtId="0" fontId="0" fillId="0" borderId="15" xfId="0" applyBorder="1" applyAlignment="1">
      <alignment wrapText="1"/>
    </xf>
    <xf numFmtId="0" fontId="34" fillId="0" borderId="0" xfId="0" applyFont="1" applyAlignment="1">
      <alignment wrapText="1"/>
    </xf>
    <xf numFmtId="0" fontId="41" fillId="0" borderId="0" xfId="0" applyFont="1" applyAlignment="1">
      <alignment horizontal="right" wrapText="1"/>
    </xf>
    <xf numFmtId="10" fontId="39" fillId="31" borderId="0" xfId="0" applyNumberFormat="1" applyFont="1" applyFill="1" applyAlignment="1">
      <alignment wrapText="1"/>
    </xf>
    <xf numFmtId="10" fontId="40" fillId="32" borderId="0" xfId="0" applyNumberFormat="1" applyFont="1" applyFill="1" applyAlignment="1">
      <alignment wrapText="1"/>
    </xf>
    <xf numFmtId="10" fontId="42" fillId="33" borderId="0" xfId="0" applyNumberFormat="1" applyFont="1" applyFill="1" applyAlignment="1">
      <alignment wrapText="1"/>
    </xf>
    <xf numFmtId="0" fontId="43" fillId="34" borderId="0" xfId="0" applyFont="1" applyFill="1" applyAlignment="1">
      <alignment wrapText="1"/>
    </xf>
    <xf numFmtId="0" fontId="33" fillId="0" borderId="0" xfId="0" applyFont="1" applyAlignment="1">
      <alignment horizontal="center" vertical="center" wrapText="1"/>
    </xf>
    <xf numFmtId="9" fontId="33" fillId="0" borderId="0" xfId="0" applyNumberFormat="1" applyFont="1" applyAlignment="1">
      <alignment horizontal="center" vertical="center" wrapText="1"/>
    </xf>
    <xf numFmtId="0" fontId="34" fillId="0" borderId="0" xfId="0" applyFont="1" applyAlignment="1">
      <alignment vertical="top" wrapText="1"/>
    </xf>
    <xf numFmtId="0" fontId="48" fillId="8" borderId="0" xfId="0" applyFont="1" applyFill="1"/>
    <xf numFmtId="0" fontId="48" fillId="8" borderId="0" xfId="0" applyFont="1" applyFill="1" applyAlignment="1">
      <alignment vertical="center" wrapText="1"/>
    </xf>
    <xf numFmtId="0" fontId="23" fillId="0" borderId="0" xfId="0" applyFont="1" applyAlignment="1">
      <alignment wrapText="1"/>
    </xf>
    <xf numFmtId="0" fontId="23" fillId="13" borderId="0" xfId="0" applyFont="1" applyFill="1" applyAlignment="1">
      <alignment wrapText="1"/>
    </xf>
    <xf numFmtId="14" fontId="0" fillId="0" borderId="0" xfId="0" applyNumberFormat="1"/>
    <xf numFmtId="14" fontId="0" fillId="0" borderId="0" xfId="0" applyNumberFormat="1" applyAlignment="1">
      <alignment wrapText="1"/>
    </xf>
    <xf numFmtId="0" fontId="17" fillId="13" borderId="0" xfId="0" applyFont="1" applyFill="1" applyAlignment="1">
      <alignment wrapText="1"/>
    </xf>
    <xf numFmtId="0" fontId="30" fillId="11" borderId="13" xfId="0" applyFont="1" applyFill="1" applyBorder="1" applyAlignment="1">
      <alignment horizontal="center" vertical="center" wrapText="1"/>
    </xf>
    <xf numFmtId="0" fontId="30" fillId="18" borderId="13" xfId="0" applyFont="1" applyFill="1" applyBorder="1" applyAlignment="1">
      <alignment horizontal="center" vertical="center" wrapText="1"/>
    </xf>
    <xf numFmtId="0" fontId="17" fillId="13" borderId="0" xfId="0" applyFont="1" applyFill="1"/>
    <xf numFmtId="0" fontId="36" fillId="0" borderId="0" xfId="0" applyFont="1" applyAlignment="1">
      <alignment vertical="center" wrapText="1"/>
    </xf>
    <xf numFmtId="14" fontId="0" fillId="0" borderId="0" xfId="0" applyNumberFormat="1" applyAlignment="1">
      <alignment vertical="center"/>
    </xf>
    <xf numFmtId="0" fontId="34" fillId="8" borderId="16" xfId="0" applyFont="1" applyFill="1" applyBorder="1" applyAlignment="1">
      <alignment wrapText="1" readingOrder="1"/>
    </xf>
    <xf numFmtId="0" fontId="20" fillId="5" borderId="0" xfId="0" applyFont="1" applyFill="1" applyAlignment="1">
      <alignment vertical="center"/>
    </xf>
    <xf numFmtId="0" fontId="23" fillId="0" borderId="0" xfId="0" applyFont="1" applyAlignment="1">
      <alignment horizontal="center" vertical="center"/>
    </xf>
    <xf numFmtId="0" fontId="24" fillId="0" borderId="0" xfId="0" applyFont="1" applyAlignment="1">
      <alignment vertical="center" wrapText="1"/>
    </xf>
    <xf numFmtId="0" fontId="0" fillId="40" borderId="0" xfId="0" applyFill="1"/>
    <xf numFmtId="0" fontId="0" fillId="40" borderId="0" xfId="0" applyFill="1" applyAlignment="1">
      <alignment vertical="center" wrapText="1"/>
    </xf>
    <xf numFmtId="0" fontId="0" fillId="40" borderId="0" xfId="0" applyFill="1" applyAlignment="1">
      <alignment horizontal="center" vertical="center"/>
    </xf>
    <xf numFmtId="0" fontId="51" fillId="0" borderId="0" xfId="0" applyFont="1" applyAlignment="1">
      <alignment vertical="center" wrapText="1"/>
    </xf>
    <xf numFmtId="0" fontId="52" fillId="0" borderId="0" xfId="0" applyFont="1" applyAlignment="1">
      <alignment vertical="center" wrapText="1"/>
    </xf>
    <xf numFmtId="0" fontId="51" fillId="40" borderId="0" xfId="0" applyFont="1" applyFill="1" applyAlignment="1">
      <alignment vertical="center" wrapText="1"/>
    </xf>
    <xf numFmtId="0" fontId="52" fillId="40" borderId="0" xfId="0" applyFont="1" applyFill="1" applyAlignment="1">
      <alignment vertical="center" wrapText="1"/>
    </xf>
    <xf numFmtId="14" fontId="0" fillId="40" borderId="0" xfId="0" applyNumberFormat="1" applyFill="1" applyAlignment="1">
      <alignment vertical="center"/>
    </xf>
    <xf numFmtId="0" fontId="51" fillId="41" borderId="0" xfId="0" applyFont="1" applyFill="1" applyAlignment="1">
      <alignment vertical="center" wrapText="1"/>
    </xf>
    <xf numFmtId="0" fontId="52" fillId="41" borderId="0" xfId="0" applyFont="1" applyFill="1" applyAlignment="1">
      <alignment vertical="center" wrapText="1"/>
    </xf>
    <xf numFmtId="0" fontId="0" fillId="41" borderId="0" xfId="0" applyFill="1" applyAlignment="1">
      <alignment vertical="center" wrapText="1"/>
    </xf>
    <xf numFmtId="14" fontId="0" fillId="41" borderId="0" xfId="0" applyNumberFormat="1" applyFill="1" applyAlignment="1">
      <alignment vertical="center"/>
    </xf>
    <xf numFmtId="0" fontId="0" fillId="41" borderId="0" xfId="0" applyFill="1"/>
    <xf numFmtId="0" fontId="15" fillId="0" borderId="0" xfId="0" applyFont="1" applyAlignment="1">
      <alignment vertical="center" textRotation="90"/>
    </xf>
    <xf numFmtId="0" fontId="30" fillId="0" borderId="11" xfId="0" applyFont="1" applyBorder="1" applyAlignment="1">
      <alignment wrapText="1"/>
    </xf>
    <xf numFmtId="0" fontId="23" fillId="8" borderId="0" xfId="0" applyFont="1" applyFill="1" applyAlignment="1">
      <alignment horizontal="center" vertical="center"/>
    </xf>
    <xf numFmtId="0" fontId="17" fillId="0" borderId="0" xfId="0" applyFont="1" applyAlignment="1">
      <alignment horizontal="center"/>
    </xf>
    <xf numFmtId="0" fontId="17" fillId="13" borderId="0" xfId="0" applyFont="1" applyFill="1" applyAlignment="1">
      <alignment horizontal="center"/>
    </xf>
    <xf numFmtId="0" fontId="23" fillId="44" borderId="0" xfId="0" applyFont="1" applyFill="1" applyAlignment="1">
      <alignment wrapText="1"/>
    </xf>
    <xf numFmtId="0" fontId="0" fillId="14" borderId="0" xfId="0" applyFill="1" applyAlignment="1">
      <alignment horizontal="left" vertical="center" wrapText="1"/>
    </xf>
    <xf numFmtId="0" fontId="0" fillId="13" borderId="0" xfId="0" applyFill="1" applyAlignment="1">
      <alignment horizontal="left" vertical="center" wrapText="1"/>
    </xf>
    <xf numFmtId="0" fontId="48" fillId="8" borderId="0" xfId="0" applyFont="1" applyFill="1" applyAlignment="1">
      <alignment horizontal="left" vertical="center" wrapText="1"/>
    </xf>
    <xf numFmtId="0" fontId="34" fillId="0" borderId="16" xfId="0" applyFont="1" applyBorder="1" applyAlignment="1">
      <alignment horizontal="left" vertical="center" wrapText="1" readingOrder="1"/>
    </xf>
    <xf numFmtId="0" fontId="34" fillId="8" borderId="16" xfId="0" applyFont="1" applyFill="1" applyBorder="1" applyAlignment="1">
      <alignment horizontal="left" vertical="center" wrapText="1" readingOrder="1"/>
    </xf>
    <xf numFmtId="0" fontId="34" fillId="13" borderId="16" xfId="0" applyFont="1" applyFill="1" applyBorder="1" applyAlignment="1">
      <alignment horizontal="left" vertical="center" wrapText="1" readingOrder="1"/>
    </xf>
    <xf numFmtId="0" fontId="34" fillId="5" borderId="16" xfId="0" applyFont="1" applyFill="1" applyBorder="1" applyAlignment="1">
      <alignment horizontal="left" vertical="center" wrapText="1" readingOrder="1"/>
    </xf>
    <xf numFmtId="0" fontId="49" fillId="0" borderId="16" xfId="0" applyFont="1" applyBorder="1" applyAlignment="1">
      <alignment horizontal="left" vertical="center" wrapText="1" readingOrder="1"/>
    </xf>
    <xf numFmtId="0" fontId="49" fillId="13" borderId="16" xfId="0" applyFont="1" applyFill="1" applyBorder="1" applyAlignment="1">
      <alignment horizontal="left" vertical="center" wrapText="1" readingOrder="1"/>
    </xf>
    <xf numFmtId="0" fontId="49" fillId="8" borderId="16" xfId="0" applyFont="1" applyFill="1" applyBorder="1" applyAlignment="1">
      <alignment horizontal="left" vertical="center" wrapText="1" readingOrder="1"/>
    </xf>
    <xf numFmtId="0" fontId="34" fillId="0" borderId="17" xfId="0" applyFont="1" applyBorder="1" applyAlignment="1">
      <alignment horizontal="left" vertical="center" wrapText="1" readingOrder="1"/>
    </xf>
    <xf numFmtId="0" fontId="53" fillId="8" borderId="16" xfId="0" applyFont="1" applyFill="1" applyBorder="1" applyAlignment="1">
      <alignment horizontal="left" vertical="center" wrapText="1" readingOrder="1"/>
    </xf>
    <xf numFmtId="0" fontId="17" fillId="13" borderId="0" xfId="0" applyFont="1" applyFill="1" applyAlignment="1">
      <alignment vertical="center"/>
    </xf>
    <xf numFmtId="0" fontId="30" fillId="0" borderId="10" xfId="0" applyFont="1" applyBorder="1" applyAlignment="1">
      <alignment vertical="center" wrapText="1"/>
    </xf>
    <xf numFmtId="0" fontId="30" fillId="0" borderId="12" xfId="0" applyFont="1" applyBorder="1" applyAlignment="1">
      <alignment vertical="center" wrapText="1"/>
    </xf>
    <xf numFmtId="0" fontId="3" fillId="39" borderId="15" xfId="0" applyFont="1" applyFill="1" applyBorder="1" applyAlignment="1">
      <alignment vertical="center" wrapText="1"/>
    </xf>
    <xf numFmtId="0" fontId="3" fillId="0" borderId="15" xfId="0" applyFont="1" applyBorder="1" applyAlignment="1">
      <alignment vertical="center" wrapText="1"/>
    </xf>
    <xf numFmtId="0" fontId="7" fillId="26" borderId="15" xfId="0" applyFont="1" applyFill="1" applyBorder="1" applyAlignment="1">
      <alignment vertical="center" wrapText="1"/>
    </xf>
    <xf numFmtId="0" fontId="58" fillId="2" borderId="0" xfId="0" applyFont="1" applyFill="1" applyAlignment="1">
      <alignment horizontal="center" vertical="center"/>
    </xf>
    <xf numFmtId="0" fontId="58" fillId="2" borderId="0" xfId="0" applyFont="1" applyFill="1" applyAlignment="1">
      <alignment horizontal="center" vertical="center" wrapText="1"/>
    </xf>
    <xf numFmtId="0" fontId="49" fillId="0" borderId="0" xfId="0" applyFont="1" applyAlignment="1">
      <alignment horizontal="center" vertical="center" wrapText="1"/>
    </xf>
    <xf numFmtId="0" fontId="49" fillId="0" borderId="0" xfId="0" applyFont="1" applyAlignment="1">
      <alignment vertical="center" wrapText="1"/>
    </xf>
    <xf numFmtId="0" fontId="61" fillId="0" borderId="0" xfId="0" applyFont="1" applyAlignment="1">
      <alignment vertical="center" wrapText="1"/>
    </xf>
    <xf numFmtId="0" fontId="51" fillId="25" borderId="0" xfId="0" applyFont="1" applyFill="1" applyAlignment="1">
      <alignment horizontal="center" vertical="center" wrapText="1"/>
    </xf>
    <xf numFmtId="0" fontId="62" fillId="0" borderId="0" xfId="0" applyFont="1" applyAlignment="1">
      <alignment vertical="center" wrapText="1"/>
    </xf>
    <xf numFmtId="0" fontId="51" fillId="24" borderId="0" xfId="0" applyFont="1" applyFill="1" applyAlignment="1">
      <alignment horizontal="center" vertical="center" wrapText="1"/>
    </xf>
    <xf numFmtId="0" fontId="51" fillId="0" borderId="0" xfId="0" applyFont="1" applyAlignment="1">
      <alignment wrapText="1"/>
    </xf>
    <xf numFmtId="0" fontId="51" fillId="22" borderId="0" xfId="0" applyFont="1" applyFill="1" applyAlignment="1">
      <alignment horizontal="center" vertical="center" wrapText="1"/>
    </xf>
    <xf numFmtId="0" fontId="51" fillId="0" borderId="0" xfId="0" applyFont="1" applyAlignment="1">
      <alignment horizontal="left" vertical="center" wrapText="1"/>
    </xf>
    <xf numFmtId="0" fontId="51" fillId="15" borderId="0" xfId="0" applyFont="1" applyFill="1" applyAlignment="1">
      <alignment horizontal="center" vertical="center" wrapText="1"/>
    </xf>
    <xf numFmtId="0" fontId="51" fillId="0" borderId="0" xfId="0" applyFont="1"/>
    <xf numFmtId="0" fontId="51" fillId="8" borderId="0" xfId="0" applyFont="1" applyFill="1" applyAlignment="1">
      <alignment horizontal="left" vertical="center" wrapText="1"/>
    </xf>
    <xf numFmtId="0" fontId="51" fillId="11" borderId="9" xfId="0" applyFont="1" applyFill="1" applyBorder="1" applyAlignment="1">
      <alignment horizontal="center" vertical="center" wrapText="1"/>
    </xf>
    <xf numFmtId="0" fontId="63" fillId="0" borderId="0" xfId="0" applyFont="1" applyAlignment="1">
      <alignment vertical="center" wrapText="1"/>
    </xf>
    <xf numFmtId="0" fontId="51" fillId="17" borderId="0" xfId="0" applyFont="1" applyFill="1" applyAlignment="1">
      <alignment vertical="center" wrapText="1"/>
    </xf>
    <xf numFmtId="0" fontId="51" fillId="18" borderId="9" xfId="0" applyFont="1" applyFill="1" applyBorder="1" applyAlignment="1">
      <alignment horizontal="center" vertical="center" wrapText="1"/>
    </xf>
    <xf numFmtId="0" fontId="51" fillId="8" borderId="0" xfId="0" applyFont="1" applyFill="1" applyAlignment="1">
      <alignment vertical="center"/>
    </xf>
    <xf numFmtId="0" fontId="51" fillId="8" borderId="0" xfId="0" applyFont="1" applyFill="1" applyAlignment="1">
      <alignment horizontal="center" vertical="center"/>
    </xf>
    <xf numFmtId="0" fontId="51" fillId="8" borderId="0" xfId="0" applyFont="1" applyFill="1" applyAlignment="1">
      <alignment vertical="center" wrapText="1"/>
    </xf>
    <xf numFmtId="0" fontId="51" fillId="0" borderId="0" xfId="0" applyFont="1" applyAlignment="1">
      <alignment vertical="center"/>
    </xf>
    <xf numFmtId="0" fontId="51" fillId="19" borderId="0" xfId="0" applyFont="1" applyFill="1" applyAlignment="1">
      <alignment horizontal="center" vertical="center"/>
    </xf>
    <xf numFmtId="0" fontId="51" fillId="18" borderId="0" xfId="0" applyFont="1" applyFill="1" applyAlignment="1">
      <alignment horizontal="center" vertical="center"/>
    </xf>
    <xf numFmtId="0" fontId="51" fillId="8" borderId="0" xfId="0" applyFont="1" applyFill="1" applyAlignment="1">
      <alignment horizontal="center" vertical="center" wrapText="1"/>
    </xf>
    <xf numFmtId="0" fontId="51" fillId="52" borderId="0" xfId="0" applyFont="1" applyFill="1" applyAlignment="1">
      <alignment horizontal="center" vertical="center" wrapText="1"/>
    </xf>
    <xf numFmtId="0" fontId="51" fillId="53" borderId="0" xfId="0" applyFont="1" applyFill="1" applyAlignment="1">
      <alignment vertical="center" wrapText="1"/>
    </xf>
    <xf numFmtId="0" fontId="51" fillId="52" borderId="0" xfId="0" applyFont="1" applyFill="1" applyAlignment="1">
      <alignment vertical="center" wrapText="1"/>
    </xf>
    <xf numFmtId="0" fontId="51" fillId="19" borderId="0" xfId="0" applyFont="1" applyFill="1" applyAlignment="1">
      <alignment horizontal="center" vertical="center" wrapText="1"/>
    </xf>
    <xf numFmtId="0" fontId="51" fillId="18" borderId="0" xfId="0" applyFont="1" applyFill="1" applyAlignment="1">
      <alignment horizontal="center" vertical="center" wrapText="1"/>
    </xf>
    <xf numFmtId="0" fontId="65" fillId="54" borderId="0" xfId="0" applyFont="1" applyFill="1" applyAlignment="1">
      <alignment horizontal="center" vertical="center"/>
    </xf>
    <xf numFmtId="0" fontId="66" fillId="54" borderId="0" xfId="0" applyFont="1" applyFill="1" applyAlignment="1">
      <alignment horizontal="center" vertical="center"/>
    </xf>
    <xf numFmtId="0" fontId="34" fillId="0" borderId="0" xfId="0" applyFont="1" applyAlignment="1">
      <alignment horizontal="left" vertical="center" wrapText="1"/>
    </xf>
    <xf numFmtId="0" fontId="67" fillId="0" borderId="15" xfId="0" applyFont="1" applyBorder="1" applyAlignment="1">
      <alignment horizontal="center" vertical="center" wrapText="1"/>
    </xf>
    <xf numFmtId="0" fontId="68" fillId="0" borderId="0" xfId="0" applyFont="1" applyAlignment="1">
      <alignment horizontal="center" vertical="center"/>
    </xf>
    <xf numFmtId="0" fontId="72" fillId="4" borderId="0" xfId="0" applyFont="1" applyFill="1" applyAlignment="1">
      <alignment horizontal="center" vertical="center"/>
    </xf>
    <xf numFmtId="0" fontId="68" fillId="40" borderId="15" xfId="0" applyFont="1" applyFill="1" applyBorder="1" applyAlignment="1">
      <alignment horizontal="center" vertical="center" wrapText="1"/>
    </xf>
    <xf numFmtId="0" fontId="72" fillId="12" borderId="15" xfId="0" applyFont="1" applyFill="1" applyBorder="1" applyAlignment="1">
      <alignment horizontal="center" vertical="center" wrapText="1"/>
    </xf>
    <xf numFmtId="0" fontId="67" fillId="0" borderId="23" xfId="0" applyFont="1" applyBorder="1" applyAlignment="1">
      <alignment horizontal="center" vertical="center" wrapText="1"/>
    </xf>
    <xf numFmtId="0" fontId="0" fillId="0" borderId="24" xfId="0" applyBorder="1"/>
    <xf numFmtId="0" fontId="0" fillId="0" borderId="25" xfId="0" applyBorder="1" applyAlignment="1">
      <alignment horizontal="left" vertical="center"/>
    </xf>
    <xf numFmtId="0" fontId="0" fillId="0" borderId="26" xfId="0" applyBorder="1" applyAlignment="1">
      <alignment horizontal="left" vertical="center"/>
    </xf>
    <xf numFmtId="0" fontId="0" fillId="0" borderId="27" xfId="0" applyBorder="1"/>
    <xf numFmtId="0" fontId="0" fillId="0" borderId="28" xfId="0" applyBorder="1"/>
    <xf numFmtId="0" fontId="72" fillId="11" borderId="30" xfId="0" applyFont="1" applyFill="1" applyBorder="1" applyAlignment="1">
      <alignment horizontal="center" vertical="center" wrapText="1"/>
    </xf>
    <xf numFmtId="0" fontId="0" fillId="0" borderId="29" xfId="0" applyBorder="1"/>
    <xf numFmtId="0" fontId="69" fillId="0" borderId="31" xfId="0" applyFont="1" applyBorder="1" applyAlignment="1">
      <alignment vertical="center" wrapText="1"/>
    </xf>
    <xf numFmtId="0" fontId="70" fillId="29" borderId="31" xfId="0" applyFont="1" applyFill="1" applyBorder="1" applyAlignment="1">
      <alignment horizontal="center" vertical="center" wrapText="1"/>
    </xf>
    <xf numFmtId="0" fontId="69" fillId="0" borderId="31" xfId="0" applyFont="1" applyBorder="1" applyAlignment="1">
      <alignment horizontal="left" vertical="center" wrapText="1"/>
    </xf>
    <xf numFmtId="0" fontId="71" fillId="30" borderId="31" xfId="0" applyFont="1" applyFill="1" applyBorder="1" applyAlignment="1">
      <alignment horizontal="center" vertical="center" wrapText="1"/>
    </xf>
    <xf numFmtId="0" fontId="73" fillId="0" borderId="31" xfId="0" applyFont="1" applyBorder="1" applyAlignment="1">
      <alignment horizontal="center" vertical="center" wrapText="1"/>
    </xf>
    <xf numFmtId="0" fontId="2" fillId="11" borderId="15" xfId="0" applyFont="1" applyFill="1" applyBorder="1" applyAlignment="1">
      <alignment vertical="center" wrapText="1"/>
    </xf>
    <xf numFmtId="0" fontId="23" fillId="4" borderId="0" xfId="0" applyFont="1" applyFill="1" applyAlignment="1">
      <alignment horizontal="right" vertical="center"/>
    </xf>
    <xf numFmtId="0" fontId="67" fillId="0" borderId="15" xfId="0" applyFont="1" applyBorder="1" applyAlignment="1">
      <alignment vertical="center" wrapText="1"/>
    </xf>
    <xf numFmtId="0" fontId="67" fillId="0" borderId="15" xfId="0" applyFont="1" applyBorder="1" applyAlignment="1">
      <alignment horizontal="left" vertical="center" wrapText="1"/>
    </xf>
    <xf numFmtId="0" fontId="23" fillId="55" borderId="0" xfId="0" applyFont="1" applyFill="1" applyAlignment="1">
      <alignment horizontal="center" vertical="center"/>
    </xf>
    <xf numFmtId="0" fontId="17" fillId="0" borderId="0" xfId="0" applyFont="1" applyAlignment="1">
      <alignment horizontal="left" vertical="center" wrapText="1"/>
    </xf>
    <xf numFmtId="0" fontId="22" fillId="0" borderId="0" xfId="0" applyFont="1" applyAlignment="1">
      <alignment horizontal="left" vertical="center" wrapText="1"/>
    </xf>
    <xf numFmtId="14" fontId="0" fillId="0" borderId="0" xfId="0" applyNumberFormat="1" applyAlignment="1">
      <alignment horizontal="left" vertical="center"/>
    </xf>
    <xf numFmtId="0" fontId="38" fillId="0" borderId="0" xfId="0" applyFont="1" applyAlignment="1">
      <alignment horizontal="right" vertical="center" wrapText="1"/>
    </xf>
    <xf numFmtId="0" fontId="0" fillId="5" borderId="0" xfId="0" applyFill="1" applyAlignment="1">
      <alignment horizontal="center" vertical="center" textRotation="90"/>
    </xf>
    <xf numFmtId="0" fontId="75" fillId="5" borderId="15" xfId="0" applyFont="1" applyFill="1" applyBorder="1" applyAlignment="1">
      <alignment vertical="center" wrapText="1"/>
    </xf>
    <xf numFmtId="0" fontId="64" fillId="5" borderId="0" xfId="0" applyFont="1" applyFill="1" applyAlignment="1">
      <alignment horizontal="right" vertical="center"/>
    </xf>
    <xf numFmtId="0" fontId="77" fillId="57" borderId="0" xfId="0" applyFont="1" applyFill="1" applyAlignment="1">
      <alignment horizontal="right" vertical="center" wrapText="1"/>
    </xf>
    <xf numFmtId="0" fontId="76" fillId="11" borderId="0" xfId="0" applyFont="1" applyFill="1" applyAlignment="1">
      <alignment horizontal="right" vertical="center" wrapText="1"/>
    </xf>
    <xf numFmtId="0" fontId="28" fillId="0" borderId="0" xfId="0" applyFont="1" applyAlignment="1">
      <alignment vertical="center" wrapText="1"/>
    </xf>
    <xf numFmtId="0" fontId="60" fillId="8" borderId="0" xfId="0" applyFont="1" applyFill="1" applyAlignment="1">
      <alignment vertical="center" wrapText="1"/>
    </xf>
    <xf numFmtId="0" fontId="49" fillId="8" borderId="0" xfId="0" applyFont="1" applyFill="1" applyAlignment="1">
      <alignment vertical="center" wrapText="1"/>
    </xf>
    <xf numFmtId="0" fontId="51" fillId="8" borderId="0" xfId="0" applyFont="1" applyFill="1" applyAlignment="1">
      <alignment wrapText="1"/>
    </xf>
    <xf numFmtId="0" fontId="80" fillId="0" borderId="0" xfId="0" applyFont="1" applyAlignment="1">
      <alignment horizontal="left" vertical="center" wrapText="1"/>
    </xf>
    <xf numFmtId="0" fontId="81" fillId="0" borderId="0" xfId="0" applyFont="1" applyAlignment="1">
      <alignment vertical="center" wrapText="1"/>
    </xf>
    <xf numFmtId="0" fontId="81" fillId="0" borderId="0" xfId="0" applyFont="1" applyAlignment="1">
      <alignment wrapText="1"/>
    </xf>
    <xf numFmtId="0" fontId="82" fillId="0" borderId="0" xfId="0" applyFont="1" applyAlignment="1">
      <alignment wrapText="1"/>
    </xf>
    <xf numFmtId="0" fontId="81" fillId="0" borderId="0" xfId="0" applyFont="1" applyAlignment="1">
      <alignment horizontal="left" vertical="center" wrapText="1"/>
    </xf>
    <xf numFmtId="0" fontId="50" fillId="0" borderId="0" xfId="0" applyFont="1" applyAlignment="1">
      <alignment vertical="center"/>
    </xf>
    <xf numFmtId="0" fontId="83" fillId="0" borderId="12" xfId="0" applyFont="1" applyBorder="1" applyAlignment="1">
      <alignment vertical="center" wrapText="1"/>
    </xf>
    <xf numFmtId="0" fontId="34" fillId="8" borderId="23" xfId="0" applyFont="1" applyFill="1" applyBorder="1" applyAlignment="1">
      <alignment vertical="center" wrapText="1"/>
    </xf>
    <xf numFmtId="0" fontId="54" fillId="5" borderId="0" xfId="0" applyFont="1" applyFill="1" applyAlignment="1">
      <alignment horizontal="center" vertical="center" textRotation="90" wrapText="1"/>
    </xf>
    <xf numFmtId="0" fontId="4" fillId="0" borderId="0" xfId="1" applyAlignment="1">
      <alignment horizontal="left" vertical="center" wrapText="1"/>
    </xf>
    <xf numFmtId="0" fontId="21" fillId="8" borderId="0" xfId="0" applyFont="1" applyFill="1" applyAlignment="1">
      <alignment horizontal="left" vertical="center"/>
    </xf>
    <xf numFmtId="0" fontId="0" fillId="6" borderId="0" xfId="0" applyFill="1" applyAlignment="1">
      <alignment horizontal="left" vertical="center" wrapText="1"/>
    </xf>
    <xf numFmtId="0" fontId="0" fillId="13" borderId="0" xfId="0" applyFill="1" applyAlignment="1">
      <alignment horizontal="left" vertical="center"/>
    </xf>
    <xf numFmtId="0" fontId="17" fillId="0" borderId="0" xfId="0" applyFont="1" applyAlignment="1">
      <alignment horizontal="left" vertical="center"/>
    </xf>
    <xf numFmtId="0" fontId="17" fillId="13" borderId="0" xfId="0" applyFont="1" applyFill="1" applyAlignment="1">
      <alignment horizontal="left" vertical="center"/>
    </xf>
    <xf numFmtId="0" fontId="17" fillId="13" borderId="0" xfId="0" applyFont="1" applyFill="1" applyAlignment="1">
      <alignment vertical="center" wrapText="1"/>
    </xf>
    <xf numFmtId="0" fontId="4" fillId="0" borderId="0" xfId="1" applyAlignment="1">
      <alignment horizontal="lef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62" fillId="8" borderId="0" xfId="0" applyFont="1" applyFill="1" applyAlignment="1">
      <alignment vertical="center" wrapText="1"/>
    </xf>
    <xf numFmtId="0" fontId="4" fillId="0" borderId="0" xfId="1" applyFill="1" applyAlignment="1">
      <alignment horizontal="left" vertical="center"/>
    </xf>
    <xf numFmtId="0" fontId="17" fillId="0" borderId="0" xfId="0" quotePrefix="1" applyFont="1" applyAlignment="1">
      <alignment vertical="center" wrapText="1"/>
    </xf>
    <xf numFmtId="0" fontId="30" fillId="5" borderId="14" xfId="0" applyFont="1" applyFill="1" applyBorder="1" applyAlignment="1">
      <alignment vertical="center" wrapText="1"/>
    </xf>
    <xf numFmtId="0" fontId="30" fillId="0" borderId="13" xfId="0" applyFont="1" applyBorder="1" applyAlignment="1">
      <alignment vertical="center" wrapText="1"/>
    </xf>
    <xf numFmtId="0" fontId="30" fillId="5" borderId="13" xfId="0" quotePrefix="1" applyFont="1" applyFill="1" applyBorder="1" applyAlignment="1">
      <alignment vertical="center" wrapText="1"/>
    </xf>
    <xf numFmtId="0" fontId="51" fillId="21" borderId="0" xfId="0" applyFont="1" applyFill="1" applyAlignment="1">
      <alignment vertical="center" wrapText="1"/>
    </xf>
    <xf numFmtId="0" fontId="51" fillId="23" borderId="0" xfId="0" applyFont="1" applyFill="1" applyAlignment="1">
      <alignment vertical="center" wrapText="1"/>
    </xf>
    <xf numFmtId="0" fontId="59" fillId="0" borderId="0" xfId="0" applyFont="1" applyAlignment="1">
      <alignment vertical="center" wrapText="1"/>
    </xf>
    <xf numFmtId="0" fontId="17" fillId="14" borderId="0" xfId="0" applyFont="1" applyFill="1" applyAlignment="1">
      <alignment vertical="center" wrapText="1"/>
    </xf>
    <xf numFmtId="0" fontId="17" fillId="14" borderId="0" xfId="0" applyFont="1" applyFill="1" applyAlignment="1">
      <alignment vertical="center"/>
    </xf>
    <xf numFmtId="14" fontId="17" fillId="14" borderId="0" xfId="0" applyNumberFormat="1" applyFont="1" applyFill="1" applyAlignment="1">
      <alignment vertical="center" wrapText="1"/>
    </xf>
    <xf numFmtId="0" fontId="22" fillId="40" borderId="0" xfId="0" applyFont="1" applyFill="1" applyAlignment="1">
      <alignment vertical="center" wrapText="1"/>
    </xf>
    <xf numFmtId="0" fontId="22" fillId="41" borderId="0" xfId="0" applyFont="1" applyFill="1" applyAlignment="1">
      <alignment vertical="center" wrapText="1"/>
    </xf>
    <xf numFmtId="0" fontId="3" fillId="0" borderId="0" xfId="0" applyFont="1" applyAlignment="1">
      <alignment vertical="center" wrapText="1"/>
    </xf>
    <xf numFmtId="0" fontId="85" fillId="0" borderId="0" xfId="0" applyFont="1" applyAlignment="1">
      <alignment vertical="center" wrapText="1"/>
    </xf>
    <xf numFmtId="0" fontId="38" fillId="0" borderId="0" xfId="0" applyFont="1" applyAlignment="1">
      <alignment vertical="center" wrapText="1"/>
    </xf>
    <xf numFmtId="0" fontId="38" fillId="14" borderId="0" xfId="0" applyFont="1" applyFill="1" applyAlignment="1">
      <alignment vertical="center" wrapText="1"/>
    </xf>
    <xf numFmtId="0" fontId="43" fillId="0" borderId="0" xfId="0" applyFont="1" applyAlignment="1">
      <alignment vertical="center" wrapText="1"/>
    </xf>
    <xf numFmtId="0" fontId="43" fillId="0" borderId="0" xfId="0" applyFont="1" applyAlignment="1">
      <alignment horizontal="left" vertical="center" wrapText="1"/>
    </xf>
    <xf numFmtId="0" fontId="43" fillId="40" borderId="0" xfId="0" applyFont="1" applyFill="1" applyAlignment="1">
      <alignment vertical="center" wrapText="1"/>
    </xf>
    <xf numFmtId="0" fontId="43" fillId="41" borderId="0" xfId="0" applyFont="1" applyFill="1" applyAlignment="1">
      <alignment vertical="center" wrapText="1"/>
    </xf>
    <xf numFmtId="0" fontId="87" fillId="0" borderId="0" xfId="0" applyFont="1" applyAlignment="1">
      <alignment vertical="center" wrapText="1"/>
    </xf>
    <xf numFmtId="0" fontId="30" fillId="5" borderId="0" xfId="0" applyFont="1" applyFill="1" applyAlignment="1">
      <alignment vertical="center" wrapText="1"/>
    </xf>
    <xf numFmtId="0" fontId="4" fillId="0" borderId="0" xfId="1" applyBorder="1" applyAlignment="1">
      <alignment horizontal="left" vertical="center" wrapText="1"/>
    </xf>
    <xf numFmtId="0" fontId="4" fillId="0" borderId="0" xfId="1" applyBorder="1" applyAlignment="1">
      <alignment vertical="center" wrapText="1"/>
    </xf>
    <xf numFmtId="0" fontId="30" fillId="11" borderId="0" xfId="0" applyFont="1" applyFill="1" applyAlignment="1">
      <alignment horizontal="center" vertical="center" wrapText="1"/>
    </xf>
    <xf numFmtId="0" fontId="30" fillId="0" borderId="0" xfId="0" applyFont="1" applyAlignment="1">
      <alignment wrapText="1"/>
    </xf>
    <xf numFmtId="0" fontId="30" fillId="0" borderId="34" xfId="0" applyFont="1" applyBorder="1" applyAlignment="1">
      <alignment vertical="center" wrapText="1"/>
    </xf>
    <xf numFmtId="0" fontId="30" fillId="41" borderId="0" xfId="0" applyFont="1" applyFill="1" applyAlignment="1">
      <alignment vertical="center" wrapText="1"/>
    </xf>
    <xf numFmtId="0" fontId="85" fillId="41" borderId="0" xfId="0" applyFont="1" applyFill="1" applyAlignment="1">
      <alignment vertical="center" wrapText="1"/>
    </xf>
    <xf numFmtId="0" fontId="4" fillId="41" borderId="0" xfId="1" applyFill="1" applyAlignment="1">
      <alignment vertical="center" wrapText="1"/>
    </xf>
    <xf numFmtId="0" fontId="17" fillId="41" borderId="0" xfId="0" applyFont="1" applyFill="1" applyAlignment="1">
      <alignment vertical="center" wrapText="1"/>
    </xf>
    <xf numFmtId="0" fontId="4" fillId="41" borderId="0" xfId="1" applyFill="1" applyAlignment="1">
      <alignment horizontal="left" vertical="center" wrapText="1"/>
    </xf>
    <xf numFmtId="0" fontId="54" fillId="12" borderId="0" xfId="0" applyFont="1" applyFill="1" applyAlignment="1">
      <alignment vertical="center" textRotation="90" wrapText="1"/>
    </xf>
    <xf numFmtId="0" fontId="86" fillId="0" borderId="0" xfId="0" applyFont="1" applyAlignment="1">
      <alignment vertical="center" wrapText="1"/>
    </xf>
    <xf numFmtId="0" fontId="3" fillId="0" borderId="0" xfId="0" applyFont="1" applyAlignment="1">
      <alignment vertical="center"/>
    </xf>
    <xf numFmtId="0" fontId="0" fillId="40" borderId="0" xfId="0" applyFill="1" applyAlignment="1">
      <alignment wrapText="1"/>
    </xf>
    <xf numFmtId="0" fontId="0" fillId="41" borderId="0" xfId="0" applyFill="1" applyAlignment="1">
      <alignment wrapText="1"/>
    </xf>
    <xf numFmtId="0" fontId="24" fillId="0" borderId="0" xfId="0" applyFont="1" applyAlignment="1">
      <alignment vertical="center"/>
    </xf>
    <xf numFmtId="0" fontId="27" fillId="0" borderId="0" xfId="0" applyFont="1" applyAlignment="1">
      <alignment vertical="center" wrapText="1"/>
    </xf>
    <xf numFmtId="0" fontId="24" fillId="41" borderId="0" xfId="0" applyFont="1" applyFill="1" applyAlignment="1">
      <alignment vertical="center" wrapText="1"/>
    </xf>
    <xf numFmtId="0" fontId="24" fillId="41" borderId="0" xfId="0" applyFont="1" applyFill="1" applyAlignment="1">
      <alignment wrapText="1"/>
    </xf>
    <xf numFmtId="0" fontId="86" fillId="41" borderId="0" xfId="0" applyFont="1" applyFill="1" applyAlignment="1">
      <alignment vertical="center" wrapText="1"/>
    </xf>
    <xf numFmtId="0" fontId="24" fillId="41" borderId="0" xfId="0" applyFont="1" applyFill="1" applyAlignment="1">
      <alignment vertical="center"/>
    </xf>
    <xf numFmtId="0" fontId="0" fillId="41" borderId="0" xfId="0" applyFill="1" applyAlignment="1">
      <alignment vertical="center"/>
    </xf>
    <xf numFmtId="0" fontId="0" fillId="0" borderId="15" xfId="0" applyBorder="1" applyAlignment="1">
      <alignment vertical="center" wrapText="1"/>
    </xf>
    <xf numFmtId="0" fontId="0" fillId="13" borderId="0" xfId="0" applyFill="1" applyAlignment="1">
      <alignment wrapText="1"/>
    </xf>
    <xf numFmtId="0" fontId="0" fillId="8" borderId="0" xfId="0" applyFill="1" applyAlignment="1">
      <alignment wrapText="1"/>
    </xf>
    <xf numFmtId="0" fontId="0" fillId="6" borderId="0" xfId="0" applyFill="1" applyAlignment="1">
      <alignment wrapText="1"/>
    </xf>
    <xf numFmtId="0" fontId="0" fillId="14" borderId="0" xfId="0" applyFill="1" applyAlignment="1">
      <alignment wrapText="1"/>
    </xf>
    <xf numFmtId="0" fontId="51" fillId="16" borderId="0" xfId="0" applyFont="1" applyFill="1" applyAlignment="1">
      <alignment vertical="center"/>
    </xf>
    <xf numFmtId="0" fontId="51" fillId="16" borderId="0" xfId="0" applyFont="1" applyFill="1" applyAlignment="1">
      <alignment horizontal="left" vertical="center" wrapText="1"/>
    </xf>
    <xf numFmtId="0" fontId="0" fillId="0" borderId="35" xfId="0" applyBorder="1" applyAlignment="1">
      <alignment horizontal="center" vertical="center" wrapText="1"/>
    </xf>
    <xf numFmtId="0" fontId="0" fillId="39" borderId="0" xfId="0" applyFill="1" applyAlignment="1">
      <alignment vertical="center" wrapText="1"/>
    </xf>
    <xf numFmtId="0" fontId="0" fillId="39" borderId="0" xfId="0" applyFill="1"/>
    <xf numFmtId="0" fontId="3" fillId="58" borderId="0" xfId="0" applyFont="1" applyFill="1" applyAlignment="1">
      <alignment horizontal="center" vertical="center" wrapText="1"/>
    </xf>
    <xf numFmtId="0" fontId="17" fillId="14" borderId="0" xfId="0" applyFont="1" applyFill="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22" fillId="41" borderId="0" xfId="0" applyFont="1" applyFill="1" applyAlignment="1">
      <alignment horizontal="center" vertical="center" wrapText="1"/>
    </xf>
    <xf numFmtId="0" fontId="24" fillId="0" borderId="0" xfId="0" applyFont="1" applyAlignment="1">
      <alignment horizontal="center" vertical="center" wrapText="1"/>
    </xf>
    <xf numFmtId="0" fontId="24" fillId="41" borderId="0" xfId="0" applyFont="1" applyFill="1" applyAlignment="1">
      <alignment horizontal="center" vertical="center" wrapText="1"/>
    </xf>
    <xf numFmtId="0" fontId="52" fillId="40" borderId="0" xfId="0" applyFont="1" applyFill="1" applyAlignment="1">
      <alignment horizontal="center" vertical="center" wrapText="1"/>
    </xf>
    <xf numFmtId="0" fontId="52" fillId="0" borderId="0" xfId="0" applyFont="1" applyAlignment="1">
      <alignment horizontal="center" vertical="center" wrapText="1"/>
    </xf>
    <xf numFmtId="0" fontId="52" fillId="41" borderId="0" xfId="0" applyFont="1" applyFill="1" applyAlignment="1">
      <alignment horizontal="center" vertical="center" wrapText="1"/>
    </xf>
    <xf numFmtId="0" fontId="32" fillId="0" borderId="0" xfId="0" applyFont="1" applyAlignment="1">
      <alignment vertical="center" wrapText="1"/>
    </xf>
    <xf numFmtId="0" fontId="4" fillId="41" borderId="0" xfId="1" applyFill="1" applyAlignment="1">
      <alignment horizontal="left" vertical="center"/>
    </xf>
    <xf numFmtId="0" fontId="28" fillId="41" borderId="0" xfId="0" applyFont="1" applyFill="1" applyAlignment="1">
      <alignment vertical="center" wrapText="1"/>
    </xf>
    <xf numFmtId="0" fontId="51" fillId="41" borderId="0" xfId="0" applyFont="1" applyFill="1" applyAlignment="1">
      <alignment wrapText="1"/>
    </xf>
    <xf numFmtId="0" fontId="51" fillId="59" borderId="0" xfId="0" applyFont="1" applyFill="1" applyAlignment="1">
      <alignment vertical="center" wrapText="1"/>
    </xf>
    <xf numFmtId="0" fontId="0" fillId="41" borderId="0" xfId="0" applyFill="1" applyAlignment="1">
      <alignment horizontal="center" vertical="center"/>
    </xf>
    <xf numFmtId="0" fontId="17" fillId="41" borderId="0" xfId="0" applyFont="1" applyFill="1" applyAlignment="1">
      <alignment horizontal="center" vertical="center" wrapText="1"/>
    </xf>
    <xf numFmtId="0" fontId="17" fillId="41" borderId="0" xfId="0" applyFont="1" applyFill="1" applyAlignment="1">
      <alignment wrapText="1"/>
    </xf>
    <xf numFmtId="0" fontId="38" fillId="41" borderId="0" xfId="0" applyFont="1" applyFill="1" applyAlignment="1">
      <alignment vertical="center" wrapText="1"/>
    </xf>
    <xf numFmtId="0" fontId="27" fillId="41" borderId="0" xfId="0" applyFont="1" applyFill="1" applyAlignment="1">
      <alignment vertical="center" wrapText="1"/>
    </xf>
    <xf numFmtId="0" fontId="28" fillId="41" borderId="0" xfId="0" applyFont="1" applyFill="1" applyAlignment="1">
      <alignment wrapText="1"/>
    </xf>
    <xf numFmtId="0" fontId="29" fillId="41" borderId="0" xfId="0" applyFont="1" applyFill="1" applyAlignment="1">
      <alignment wrapText="1"/>
    </xf>
    <xf numFmtId="0" fontId="4" fillId="41" borderId="0" xfId="1" applyFill="1" applyAlignment="1">
      <alignment vertical="center"/>
    </xf>
    <xf numFmtId="0" fontId="50" fillId="0" borderId="0" xfId="0" applyFont="1"/>
    <xf numFmtId="0" fontId="15" fillId="44" borderId="0" xfId="0" applyFont="1" applyFill="1" applyAlignment="1">
      <alignment horizontal="center" vertical="center" textRotation="90"/>
    </xf>
    <xf numFmtId="0" fontId="4" fillId="0" borderId="0" xfId="1" applyAlignment="1">
      <alignment horizontal="center" vertical="center" wrapText="1"/>
    </xf>
    <xf numFmtId="0" fontId="15" fillId="46" borderId="0" xfId="0" applyFont="1" applyFill="1" applyAlignment="1">
      <alignment horizontal="center" vertical="center" textRotation="90"/>
    </xf>
    <xf numFmtId="0" fontId="15" fillId="46" borderId="20" xfId="0" applyFont="1" applyFill="1" applyBorder="1" applyAlignment="1">
      <alignment horizontal="center" vertical="center" textRotation="90"/>
    </xf>
    <xf numFmtId="0" fontId="15" fillId="44" borderId="0" xfId="0" applyFont="1" applyFill="1" applyAlignment="1">
      <alignment horizontal="center" vertical="center" textRotation="90"/>
    </xf>
    <xf numFmtId="0" fontId="15" fillId="44" borderId="20" xfId="0" applyFont="1" applyFill="1" applyBorder="1" applyAlignment="1">
      <alignment horizontal="center" vertical="center" textRotation="90"/>
    </xf>
    <xf numFmtId="0" fontId="15" fillId="42" borderId="0" xfId="0" applyFont="1" applyFill="1" applyAlignment="1">
      <alignment horizontal="center" vertical="center" textRotation="90"/>
    </xf>
    <xf numFmtId="0" fontId="15" fillId="49" borderId="0" xfId="0" applyFont="1" applyFill="1" applyAlignment="1">
      <alignment horizontal="center" vertical="center" textRotation="90"/>
    </xf>
    <xf numFmtId="0" fontId="15" fillId="48" borderId="19" xfId="0" applyFont="1" applyFill="1" applyBorder="1" applyAlignment="1">
      <alignment horizontal="center" vertical="center" textRotation="90"/>
    </xf>
    <xf numFmtId="0" fontId="15" fillId="48" borderId="0" xfId="0" applyFont="1" applyFill="1" applyAlignment="1">
      <alignment horizontal="center" vertical="center" textRotation="90"/>
    </xf>
    <xf numFmtId="0" fontId="15" fillId="48" borderId="20" xfId="0" applyFont="1" applyFill="1" applyBorder="1" applyAlignment="1">
      <alignment horizontal="center" vertical="center" textRotation="90"/>
    </xf>
    <xf numFmtId="0" fontId="15" fillId="6" borderId="19" xfId="0" applyFont="1" applyFill="1" applyBorder="1" applyAlignment="1">
      <alignment horizontal="center" vertical="center" textRotation="90"/>
    </xf>
    <xf numFmtId="0" fontId="15" fillId="6" borderId="0" xfId="0" applyFont="1" applyFill="1" applyAlignment="1">
      <alignment horizontal="center" vertical="center" textRotation="90"/>
    </xf>
    <xf numFmtId="0" fontId="15" fillId="6" borderId="20" xfId="0" applyFont="1" applyFill="1" applyBorder="1" applyAlignment="1">
      <alignment horizontal="center" vertical="center" textRotation="90"/>
    </xf>
    <xf numFmtId="0" fontId="15" fillId="20" borderId="0" xfId="0" applyFont="1" applyFill="1" applyAlignment="1">
      <alignment horizontal="center" vertical="center" textRotation="90"/>
    </xf>
    <xf numFmtId="0" fontId="15" fillId="47" borderId="0" xfId="0" applyFont="1" applyFill="1" applyAlignment="1">
      <alignment horizontal="center" vertical="center" textRotation="90"/>
    </xf>
    <xf numFmtId="0" fontId="15" fillId="46" borderId="19" xfId="0" applyFont="1" applyFill="1" applyBorder="1" applyAlignment="1">
      <alignment horizontal="center" vertical="center" textRotation="90"/>
    </xf>
    <xf numFmtId="0" fontId="15" fillId="45" borderId="0" xfId="0" applyFont="1" applyFill="1" applyAlignment="1">
      <alignment horizontal="center" vertical="center" textRotation="90"/>
    </xf>
    <xf numFmtId="0" fontId="15" fillId="43" borderId="19" xfId="0" applyFont="1" applyFill="1" applyBorder="1" applyAlignment="1">
      <alignment horizontal="center" vertical="center" textRotation="90"/>
    </xf>
    <xf numFmtId="0" fontId="15" fillId="43" borderId="0" xfId="0" applyFont="1" applyFill="1" applyAlignment="1">
      <alignment horizontal="center" vertical="center" textRotation="90"/>
    </xf>
    <xf numFmtId="0" fontId="15" fillId="43" borderId="20" xfId="0" applyFont="1" applyFill="1" applyBorder="1" applyAlignment="1">
      <alignment horizontal="center" vertical="center" textRotation="90"/>
    </xf>
    <xf numFmtId="0" fontId="18" fillId="51" borderId="0" xfId="0" applyFont="1" applyFill="1" applyAlignment="1">
      <alignment horizontal="center" vertical="center" wrapText="1"/>
    </xf>
    <xf numFmtId="0" fontId="18" fillId="51" borderId="0" xfId="0" applyFont="1" applyFill="1" applyAlignment="1">
      <alignment horizontal="center" vertical="center"/>
    </xf>
    <xf numFmtId="0" fontId="18" fillId="42" borderId="0" xfId="0" applyFont="1" applyFill="1" applyAlignment="1">
      <alignment horizontal="center" vertical="center" wrapText="1"/>
    </xf>
    <xf numFmtId="0" fontId="15" fillId="15" borderId="0" xfId="0" applyFont="1" applyFill="1" applyAlignment="1">
      <alignment horizontal="center" vertical="center" textRotation="90"/>
    </xf>
    <xf numFmtId="0" fontId="15" fillId="7" borderId="0" xfId="0" applyFont="1" applyFill="1" applyAlignment="1">
      <alignment horizontal="center" vertical="center" textRotation="90"/>
    </xf>
    <xf numFmtId="0" fontId="18" fillId="42" borderId="0" xfId="0" applyFont="1" applyFill="1" applyAlignment="1">
      <alignment horizontal="center" vertical="center"/>
    </xf>
    <xf numFmtId="0" fontId="23" fillId="42" borderId="0" xfId="0" applyFont="1" applyFill="1" applyAlignment="1">
      <alignment horizontal="center" vertical="center" wrapText="1"/>
    </xf>
    <xf numFmtId="0" fontId="23" fillId="42" borderId="0" xfId="0" applyFont="1" applyFill="1" applyAlignment="1">
      <alignment horizontal="center" vertical="center"/>
    </xf>
    <xf numFmtId="0" fontId="18" fillId="7" borderId="0" xfId="0" applyFont="1" applyFill="1" applyAlignment="1">
      <alignment horizontal="center" vertical="center" wrapText="1"/>
    </xf>
    <xf numFmtId="0" fontId="18" fillId="15" borderId="0" xfId="0" applyFont="1" applyFill="1" applyAlignment="1">
      <alignment horizontal="center" vertical="center" wrapText="1"/>
    </xf>
    <xf numFmtId="0" fontId="15" fillId="51" borderId="0" xfId="0" applyFont="1" applyFill="1" applyAlignment="1">
      <alignment horizontal="center" vertical="center" textRotation="90"/>
    </xf>
    <xf numFmtId="0" fontId="18" fillId="15" borderId="0" xfId="0" applyFont="1" applyFill="1" applyAlignment="1">
      <alignment horizontal="center" vertical="center"/>
    </xf>
    <xf numFmtId="0" fontId="19" fillId="7" borderId="0" xfId="0" applyFont="1" applyFill="1" applyAlignment="1">
      <alignment horizontal="center" vertical="center" textRotation="90"/>
    </xf>
    <xf numFmtId="0" fontId="19" fillId="15" borderId="0" xfId="0" applyFont="1" applyFill="1" applyAlignment="1">
      <alignment horizontal="center" vertical="center" textRotation="90"/>
    </xf>
    <xf numFmtId="0" fontId="15" fillId="4" borderId="8" xfId="0" applyFont="1" applyFill="1" applyBorder="1" applyAlignment="1">
      <alignment horizontal="center" vertical="center" textRotation="90"/>
    </xf>
    <xf numFmtId="0" fontId="15" fillId="4" borderId="0" xfId="0" applyFont="1" applyFill="1" applyAlignment="1">
      <alignment horizontal="center" vertical="center" textRotation="90"/>
    </xf>
    <xf numFmtId="0" fontId="18" fillId="4" borderId="8" xfId="0" applyFont="1" applyFill="1" applyBorder="1" applyAlignment="1">
      <alignment horizontal="center" vertical="center" wrapText="1"/>
    </xf>
    <xf numFmtId="0" fontId="16" fillId="4" borderId="0" xfId="0" applyFont="1" applyFill="1" applyAlignment="1">
      <alignment horizontal="center" vertical="center" wrapText="1"/>
    </xf>
    <xf numFmtId="0" fontId="15" fillId="50" borderId="0" xfId="0" applyFont="1" applyFill="1" applyAlignment="1">
      <alignment horizontal="center" vertical="center" textRotation="90"/>
    </xf>
    <xf numFmtId="0" fontId="18" fillId="20" borderId="0" xfId="0" applyFont="1" applyFill="1" applyAlignment="1">
      <alignment horizontal="center" vertical="center" wrapText="1"/>
    </xf>
    <xf numFmtId="0" fontId="18" fillId="44" borderId="18" xfId="0" applyFont="1" applyFill="1" applyBorder="1" applyAlignment="1">
      <alignment horizontal="center" vertical="center" wrapText="1"/>
    </xf>
    <xf numFmtId="0" fontId="15" fillId="44" borderId="19" xfId="0" applyFont="1" applyFill="1" applyBorder="1" applyAlignment="1">
      <alignment horizontal="center" vertical="center" textRotation="90"/>
    </xf>
    <xf numFmtId="0" fontId="18" fillId="49" borderId="18" xfId="0" applyFont="1" applyFill="1" applyBorder="1" applyAlignment="1">
      <alignment horizontal="center" vertical="center" wrapText="1"/>
    </xf>
    <xf numFmtId="0" fontId="18" fillId="6" borderId="18" xfId="0" applyFont="1" applyFill="1" applyBorder="1" applyAlignment="1">
      <alignment horizontal="center" vertical="center" wrapText="1"/>
    </xf>
    <xf numFmtId="0" fontId="18" fillId="48" borderId="18" xfId="0" applyFont="1" applyFill="1" applyBorder="1" applyAlignment="1">
      <alignment horizontal="center" vertical="center" wrapText="1"/>
    </xf>
    <xf numFmtId="0" fontId="18" fillId="43" borderId="18" xfId="0" applyFont="1" applyFill="1" applyBorder="1" applyAlignment="1">
      <alignment horizontal="center" vertical="center" wrapText="1"/>
    </xf>
    <xf numFmtId="0" fontId="18" fillId="45" borderId="18" xfId="0" applyFont="1" applyFill="1" applyBorder="1" applyAlignment="1">
      <alignment horizontal="center" vertical="center" wrapText="1"/>
    </xf>
    <xf numFmtId="0" fontId="18" fillId="46" borderId="18" xfId="0" applyFont="1" applyFill="1" applyBorder="1" applyAlignment="1">
      <alignment horizontal="center" vertical="center" wrapText="1"/>
    </xf>
    <xf numFmtId="0" fontId="18" fillId="47" borderId="18" xfId="0" applyFont="1" applyFill="1" applyBorder="1" applyAlignment="1">
      <alignment horizontal="center" vertical="center" wrapText="1"/>
    </xf>
    <xf numFmtId="0" fontId="18" fillId="20" borderId="18" xfId="0" applyFont="1" applyFill="1" applyBorder="1" applyAlignment="1">
      <alignment horizontal="center" vertical="center" wrapText="1"/>
    </xf>
    <xf numFmtId="0" fontId="55" fillId="48" borderId="0" xfId="0" applyFont="1" applyFill="1" applyAlignment="1">
      <alignment horizontal="center" vertical="center" textRotation="90" wrapText="1"/>
    </xf>
    <xf numFmtId="0" fontId="17" fillId="48" borderId="0" xfId="0" applyFont="1" applyFill="1" applyAlignment="1">
      <alignment horizontal="center" vertical="center" textRotation="90" wrapText="1"/>
    </xf>
    <xf numFmtId="0" fontId="55" fillId="49" borderId="0" xfId="0" applyFont="1" applyFill="1" applyAlignment="1">
      <alignment horizontal="center" vertical="center" textRotation="90" wrapText="1"/>
    </xf>
    <xf numFmtId="0" fontId="17" fillId="49" borderId="0" xfId="0" applyFont="1" applyFill="1" applyAlignment="1">
      <alignment horizontal="center" vertical="center" textRotation="90" wrapText="1"/>
    </xf>
    <xf numFmtId="0" fontId="14" fillId="4" borderId="0" xfId="0" applyFont="1" applyFill="1" applyAlignment="1">
      <alignment horizontal="center" vertical="center" textRotation="90" wrapText="1"/>
    </xf>
    <xf numFmtId="0" fontId="55" fillId="20" borderId="0" xfId="0" applyFont="1" applyFill="1" applyAlignment="1">
      <alignment horizontal="center" vertical="center" textRotation="90"/>
    </xf>
    <xf numFmtId="0" fontId="17" fillId="20" borderId="0" xfId="0" applyFont="1" applyFill="1" applyAlignment="1">
      <alignment horizontal="center" vertical="center" textRotation="90"/>
    </xf>
    <xf numFmtId="0" fontId="55" fillId="6" borderId="0" xfId="0" applyFont="1" applyFill="1" applyAlignment="1">
      <alignment horizontal="center" vertical="center" textRotation="90" wrapText="1"/>
    </xf>
    <xf numFmtId="0" fontId="17" fillId="6" borderId="0" xfId="0" applyFont="1" applyFill="1" applyAlignment="1">
      <alignment horizontal="center" vertical="center" textRotation="90" wrapText="1"/>
    </xf>
    <xf numFmtId="0" fontId="57" fillId="28" borderId="33" xfId="0" applyFont="1" applyFill="1" applyBorder="1" applyAlignment="1">
      <alignment horizontal="center" vertical="center" wrapText="1"/>
    </xf>
    <xf numFmtId="0" fontId="58" fillId="42" borderId="0" xfId="0" applyFont="1" applyFill="1" applyAlignment="1">
      <alignment horizontal="center" vertical="center"/>
    </xf>
    <xf numFmtId="0" fontId="56" fillId="38" borderId="32" xfId="0" applyFont="1" applyFill="1" applyBorder="1" applyAlignment="1">
      <alignment horizontal="center" vertical="center"/>
    </xf>
    <xf numFmtId="0" fontId="14" fillId="51" borderId="0" xfId="0" applyFont="1" applyFill="1" applyAlignment="1">
      <alignment horizontal="center" vertical="center" textRotation="90"/>
    </xf>
    <xf numFmtId="0" fontId="14" fillId="47" borderId="0" xfId="0" applyFont="1" applyFill="1" applyAlignment="1">
      <alignment horizontal="center" vertical="center" textRotation="90"/>
    </xf>
    <xf numFmtId="0" fontId="0" fillId="47" borderId="0" xfId="0" applyFill="1" applyAlignment="1">
      <alignment horizontal="center" vertical="center" textRotation="90"/>
    </xf>
    <xf numFmtId="0" fontId="84" fillId="44" borderId="0" xfId="0" applyFont="1" applyFill="1" applyAlignment="1">
      <alignment horizontal="center" vertical="center" textRotation="90" wrapText="1"/>
    </xf>
    <xf numFmtId="0" fontId="14" fillId="42" borderId="0" xfId="0" applyFont="1" applyFill="1" applyAlignment="1">
      <alignment horizontal="center" vertical="center" textRotation="90"/>
    </xf>
    <xf numFmtId="0" fontId="55" fillId="43" borderId="0" xfId="0" applyFont="1" applyFill="1" applyAlignment="1">
      <alignment horizontal="center" vertical="center" textRotation="90" wrapText="1"/>
    </xf>
    <xf numFmtId="0" fontId="55" fillId="45" borderId="0" xfId="0" applyFont="1" applyFill="1" applyAlignment="1">
      <alignment horizontal="center" vertical="center" textRotation="90" wrapText="1"/>
    </xf>
    <xf numFmtId="0" fontId="17" fillId="45" borderId="0" xfId="0" applyFont="1" applyFill="1" applyAlignment="1">
      <alignment horizontal="center" vertical="center" textRotation="90" wrapText="1"/>
    </xf>
    <xf numFmtId="0" fontId="55" fillId="46" borderId="0" xfId="0" applyFont="1" applyFill="1" applyAlignment="1">
      <alignment horizontal="center" vertical="center" textRotation="90"/>
    </xf>
    <xf numFmtId="0" fontId="17" fillId="46" borderId="0" xfId="0" applyFont="1" applyFill="1" applyAlignment="1">
      <alignment horizontal="center" vertical="center" textRotation="90"/>
    </xf>
    <xf numFmtId="0" fontId="54" fillId="12" borderId="0" xfId="0" applyFont="1" applyFill="1" applyAlignment="1">
      <alignment horizontal="center" vertical="center" textRotation="90" wrapText="1"/>
    </xf>
    <xf numFmtId="0" fontId="74" fillId="37" borderId="21" xfId="0" applyFont="1" applyFill="1" applyBorder="1" applyAlignment="1">
      <alignment horizontal="center" vertical="center"/>
    </xf>
    <xf numFmtId="0" fontId="74" fillId="37" borderId="22" xfId="0" applyFont="1" applyFill="1" applyBorder="1" applyAlignment="1">
      <alignment horizontal="center" vertical="center"/>
    </xf>
    <xf numFmtId="22" fontId="34" fillId="0" borderId="0" xfId="0" applyNumberFormat="1" applyFont="1" applyAlignment="1">
      <alignment horizontal="center" vertical="center" wrapText="1"/>
    </xf>
    <xf numFmtId="0" fontId="43" fillId="0" borderId="0" xfId="0" applyFont="1" applyAlignment="1">
      <alignment vertical="top" wrapText="1"/>
    </xf>
    <xf numFmtId="0" fontId="35" fillId="27" borderId="0" xfId="0" applyFont="1" applyFill="1" applyAlignment="1">
      <alignment horizontal="center" vertical="center" wrapText="1"/>
    </xf>
    <xf numFmtId="0" fontId="78" fillId="28" borderId="0" xfId="0" applyFont="1" applyFill="1" applyAlignment="1">
      <alignment horizontal="center" vertical="center" wrapText="1"/>
    </xf>
    <xf numFmtId="0" fontId="37" fillId="28" borderId="0" xfId="0" applyFont="1" applyFill="1" applyAlignment="1">
      <alignment wrapText="1"/>
    </xf>
    <xf numFmtId="0" fontId="35" fillId="35" borderId="0" xfId="0" applyFont="1" applyFill="1" applyAlignment="1">
      <alignment horizontal="center" vertical="center" wrapText="1"/>
    </xf>
    <xf numFmtId="0" fontId="46" fillId="0" borderId="0" xfId="0" applyFont="1" applyAlignment="1">
      <alignment vertical="top" wrapText="1"/>
    </xf>
    <xf numFmtId="0" fontId="33" fillId="0" borderId="0" xfId="0" applyFont="1" applyAlignment="1">
      <alignment vertical="top" wrapText="1"/>
    </xf>
    <xf numFmtId="0" fontId="79" fillId="56" borderId="0" xfId="0" applyFont="1" applyFill="1" applyAlignment="1">
      <alignment horizontal="center" vertical="center" wrapText="1"/>
    </xf>
    <xf numFmtId="0" fontId="4" fillId="0" borderId="0" xfId="1" applyAlignment="1">
      <alignment horizontal="center" vertical="center" wrapText="1"/>
    </xf>
    <xf numFmtId="0" fontId="34" fillId="0" borderId="0" xfId="0" applyFont="1" applyAlignment="1">
      <alignment horizontal="center" vertical="center" wrapText="1"/>
    </xf>
    <xf numFmtId="0" fontId="44" fillId="27" borderId="0" xfId="0" applyFont="1" applyFill="1" applyAlignment="1">
      <alignment wrapText="1"/>
    </xf>
    <xf numFmtId="0" fontId="47" fillId="0" borderId="0" xfId="0" applyFont="1" applyAlignment="1">
      <alignment vertical="top" wrapText="1"/>
    </xf>
    <xf numFmtId="0" fontId="44" fillId="36" borderId="0" xfId="0" applyFont="1" applyFill="1" applyAlignment="1">
      <alignment wrapText="1"/>
    </xf>
    <xf numFmtId="0" fontId="45" fillId="0" borderId="0" xfId="0" applyFont="1" applyAlignment="1">
      <alignment vertical="top" wrapText="1"/>
    </xf>
  </cellXfs>
  <cellStyles count="2">
    <cellStyle name="Hyperlink" xfId="1" builtinId="8"/>
    <cellStyle name="Normal" xfId="0" builtinId="0"/>
  </cellStyles>
  <dxfs count="51">
    <dxf>
      <font>
        <color rgb="FF00B050"/>
      </font>
    </dxf>
    <dxf>
      <font>
        <color rgb="FFFF0000"/>
      </font>
    </dxf>
    <dxf>
      <font>
        <color rgb="FF00B050"/>
      </font>
    </dxf>
    <dxf>
      <font>
        <color rgb="FFFFC000"/>
      </font>
    </dxf>
    <dxf>
      <font>
        <color rgb="FFFF0000"/>
      </font>
    </dxf>
    <dxf>
      <font>
        <color theme="9" tint="-0.24994659260841701"/>
      </font>
    </dxf>
    <dxf>
      <font>
        <color theme="9" tint="-0.24994659260841701"/>
      </font>
    </dxf>
    <dxf>
      <font>
        <color theme="9" tint="-0.499984740745262"/>
      </font>
    </dxf>
    <dxf>
      <font>
        <color rgb="FFFF0000"/>
      </font>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ill>
        <patternFill>
          <bgColor rgb="FF00B050"/>
        </patternFill>
      </fill>
    </dxf>
    <dxf>
      <font>
        <color theme="1"/>
      </font>
      <fill>
        <patternFill>
          <bgColor rgb="FFFFFF00"/>
        </patternFill>
      </fill>
    </dxf>
    <dxf>
      <fill>
        <patternFill>
          <bgColor rgb="FFFF0000"/>
        </patternFill>
      </fill>
    </dxf>
    <dxf>
      <fill>
        <patternFill>
          <bgColor theme="9" tint="-0.24994659260841701"/>
        </patternFill>
      </fill>
    </dxf>
    <dxf>
      <fill>
        <patternFill>
          <bgColor rgb="FFFFFF00"/>
        </patternFill>
      </fill>
    </dxf>
    <dxf>
      <fill>
        <patternFill>
          <bgColor rgb="FF00B050"/>
        </patternFill>
      </fill>
    </dxf>
    <dxf>
      <font>
        <color rgb="FF00B050"/>
      </font>
    </dxf>
    <dxf>
      <font>
        <strike val="0"/>
        <u val="none"/>
        <color rgb="FFFF0000"/>
      </font>
      <border>
        <vertical/>
        <horizontal/>
      </border>
    </dxf>
    <dxf>
      <font>
        <color theme="1"/>
      </font>
      <fill>
        <patternFill>
          <bgColor rgb="FF00B050"/>
        </patternFill>
      </fill>
    </dxf>
    <dxf>
      <font>
        <color theme="1"/>
      </font>
      <fill>
        <patternFill>
          <bgColor rgb="FFFF00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theme="0"/>
      </font>
      <fill>
        <patternFill>
          <bgColor theme="1"/>
        </patternFill>
      </fill>
    </dxf>
  </dxfs>
  <tableStyles count="0" defaultTableStyle="TableStyleMedium9" defaultPivotStyle="PivotStyleLight16"/>
  <colors>
    <mruColors>
      <color rgb="FFFB7D10"/>
      <color rgb="FFFFC000"/>
      <color rgb="FFFFD700"/>
      <color rgb="FF0DFFC5"/>
      <color rgb="FF00FF99"/>
      <color rgb="FFFBC99F"/>
      <color rgb="FFF7994B"/>
      <color rgb="FF1BAB57"/>
      <color rgb="FF76BC21"/>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 dockstate="right" visibility="0" width="438" row="5">
    <wetp:webextensionref xmlns:r="http://schemas.openxmlformats.org/officeDocument/2006/relationships" r:id="rId3"/>
  </wetp:taskpane>
  <wetp:taskpane dockstate="right" visibility="0" width="438" row="4">
    <wetp:webextensionref xmlns:r="http://schemas.openxmlformats.org/officeDocument/2006/relationships" r:id="rId4"/>
  </wetp:taskpane>
</wetp:taskpanes>
</file>

<file path=xl/webextensions/webextension1.xml><?xml version="1.0" encoding="utf-8"?>
<we:webextension xmlns:we="http://schemas.microsoft.com/office/webextensions/webextension/2010/11" id="{FBCAC43E-A7B1-41FF-BD30-71A01488FBF9}">
  <we:reference id="wa200009404" version="1.0.0.8" store="en-US" storeType="OMEX"/>
  <we:alternateReferences>
    <we:reference id="wa200009404" version="1.0.0.8" store="en-US" storeType="OMEX"/>
  </we:alternateReferences>
  <we:properties>
    <we:property name="claude.fileId" value="&quot;e4bda3ff-c12d-4268-b3c6-4a144644576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0D9C30C6-CBF4-40BB-A93E-CE2A24676E3C}">
  <we:reference id="wa200000556" version="1.1.0.0" store="en-US" storeType="OMEX"/>
  <we:alternateReferences>
    <we:reference id="wa200000556" version="1.1.0.0" store="wa200000556" storeType="OMEX"/>
  </we:alternateReferences>
  <we:properties>
    <we:property name="documentId" value="&quot;dcc83f22-b14d-4a82-b1b8-1d6afc95a1a2&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ebextensions/webextension3.xml><?xml version="1.0" encoding="utf-8"?>
<we:webextension xmlns:we="http://schemas.microsoft.com/office/webextensions/webextension/2010/11" id="{8A9458D9-3DEF-4C66-8B33-7189754E1F43}">
  <we:reference id="wa200010215" version="1.0.0.0" store="en-US" storeType="OMEX"/>
  <we:alternateReferences>
    <we:reference id="wa200010215" version="1.0.0.0" store="wa2000102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4.xml><?xml version="1.0" encoding="utf-8"?>
<we:webextension xmlns:we="http://schemas.microsoft.com/office/webextensions/webextension/2010/11" id="{94B82AF6-93CD-4A06-A393-619353384CCE}">
  <we:reference id="wa200009190" version="1.8.3.0" store="en-US" storeType="OMEX"/>
  <we:alternateReferences>
    <we:reference id="wa200009190" version="1.8.3.0" store="wa200009190"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_xldudf_KAI_ASK</we:customFunctionIds>
        <we:customFunctionIds>_xldudf_KAI_TRANSLATE</we:customFunctionIds>
        <we:customFunctionIds>_xldudf_KAI_SUMMARIZE</we:customFunctionIds>
        <we:customFunctionIds>_xldudf_KAI_POLISH</we:customFunctionIds>
        <we:customFunctionIds>_xldudf_KAI_EXPLAIN</we:customFunctionIds>
        <we:customFunctionIds>_xldudf_KAI_REWRITE</we:customFunctionIds>
        <we:customFunctionIds>_xldudf_KAI_GENERATE</we:customFunctionIds>
        <we:customFunctionIds>_xldudf_KAI_EXTRACT</we:customFunctionIds>
        <we:customFunctionIds>_xldudf_KAI_EXTRACTDATE</we:customFunctionIds>
        <we:customFunctionIds>_xldudf_KAI_EXTRACTCONTACT</we:customFunctionIds>
        <we:customFunctionIds>_xldudf_KAI_EXTRACTNUMBERS</we:customFunctionIds>
        <we:customFunctionIds>_xldudf_KAI_EXTRACTAFTER</we:customFunctionIds>
        <we:customFunctionIds>_xldudf_KAI_EXTRACTAMOUNT</we:customFunctionIds>
        <we:customFunctionIds>_xldudf_KAI_EXTRACTADDRESS</we:customFunctionIds>
        <we:customFunctionIds>_xldudf_KAI_EXTRACTKEYWORDS</we:customFunctionIds>
        <we:customFunctionIds>_xldudf_KAI_ANALYZESENTIMENT</we:customFunctionIds>
        <we:customFunctionIds>_xldudf_KAI_CLASSIFYINTENT</we:customFunctionIds>
        <we:customFunctionIds>_xldudf_KAI_COMPARE</we:customFunctionIds>
        <we:customFunctionIds>_xldudf_KAI_GENERATEREPLY</we:customFunctionIds>
        <we:customFunctionIds>_xldudf_KAI_CLEANTEXT</we:customFunctionIds>
        <we:customFunctionIds>_xldudf_KAI_REMOVEPUNCTUATION</we:customFunctionIds>
        <we:customFunctionIds>_xldudf_KAI_REMOVEFILLER</we:customFunctionIds>
        <we:customFunctionIds>_xldudf_KAI_SPLITFIELDS</we:customFunctionIds>
        <we:customFunctionIds>_xldudf_KAI_CONVERTCHINESE</we:customFunctionIds>
        <we:customFunctionIds>_xldudf_KAI_STANDARDIZEADDRESS</we:customFunctionIds>
        <we:customFunctionIds>_xldudf_KAI_UNIFYLENGTH</we:customFunctionIds>
        <we:customFunctionIds>_xldudf_KAI_UNIFYWEIGHT</we:customFunctionIds>
      </we:customFunctionIdList>
    </a:ext>
  </we:extLst>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mailto:admin@veryveryveryveryveryveryverylongdomainnametestexamplemailserver.com" TargetMode="External"/><Relationship Id="rId2" Type="http://schemas.openxmlformats.org/officeDocument/2006/relationships/hyperlink" Target="mailto:alysalem@gmail.com" TargetMode="External"/><Relationship Id="rId1" Type="http://schemas.openxmlformats.org/officeDocument/2006/relationships/hyperlink" Target="mailto:admin@gmail.com" TargetMode="External"/><Relationship Id="rId5" Type="http://schemas.openxmlformats.org/officeDocument/2006/relationships/printerSettings" Target="../printerSettings/printerSettings2.bin"/><Relationship Id="rId4" Type="http://schemas.openxmlformats.org/officeDocument/2006/relationships/hyperlink" Target="mailto:admin@veryveryveryveryveryveryverylongdomainnametestexamplemailserver.com"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rive.google.com/open?id=1R8wzKEIy2DvoaLllUSkf32SqBYssERaM&amp;usp=drive_copy" TargetMode="External"/><Relationship Id="rId1" Type="http://schemas.openxmlformats.org/officeDocument/2006/relationships/hyperlink" Target="https://drive.google.com/open?id=1iaIQ9FdLIvMj0pNKl406TaBExVOTQW0M&amp;usp=drive_copy"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pensource-demo.orangehrmlive.com/web/index.php/auth/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
  <sheetViews>
    <sheetView zoomScaleNormal="100" workbookViewId="0">
      <selection activeCell="B14" sqref="B14"/>
    </sheetView>
  </sheetViews>
  <sheetFormatPr defaultColWidth="8.7109375" defaultRowHeight="32.450000000000003" customHeight="1"/>
  <cols>
    <col min="1" max="1" width="23.85546875" style="24" customWidth="1"/>
    <col min="2" max="2" width="30.5703125" style="25" customWidth="1"/>
    <col min="3" max="16384" width="8.7109375" style="24"/>
  </cols>
  <sheetData>
    <row r="1" spans="1:2" ht="32.450000000000003" customHeight="1">
      <c r="A1" s="26" t="s">
        <v>0</v>
      </c>
      <c r="B1" s="30"/>
    </row>
    <row r="2" spans="1:2" ht="32.450000000000003" customHeight="1" thickBot="1">
      <c r="A2" s="27" t="s">
        <v>1</v>
      </c>
      <c r="B2" s="31"/>
    </row>
    <row r="3" spans="1:2" ht="32.450000000000003" customHeight="1" thickBot="1">
      <c r="A3" s="27" t="s">
        <v>2</v>
      </c>
      <c r="B3" s="32"/>
    </row>
    <row r="4" spans="1:2" ht="32.450000000000003" customHeight="1" thickBot="1">
      <c r="A4" s="27" t="s">
        <v>3</v>
      </c>
      <c r="B4" s="28"/>
    </row>
    <row r="5" spans="1:2" ht="32.450000000000003" customHeight="1" thickBot="1">
      <c r="A5" s="29" t="s">
        <v>4</v>
      </c>
      <c r="B5" s="28"/>
    </row>
    <row r="6" spans="1:2" ht="32.450000000000003" customHeight="1">
      <c r="A6" s="29" t="s">
        <v>5</v>
      </c>
      <c r="B6" s="2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22"/>
  <sheetViews>
    <sheetView zoomScaleNormal="100" workbookViewId="0">
      <selection activeCell="B5" sqref="B5"/>
    </sheetView>
  </sheetViews>
  <sheetFormatPr defaultRowHeight="24.95" customHeight="1"/>
  <cols>
    <col min="1" max="1" width="15.42578125" customWidth="1"/>
    <col min="2" max="2" width="151.85546875" customWidth="1"/>
    <col min="3" max="3" width="13.5703125" bestFit="1" customWidth="1"/>
    <col min="5" max="5" width="9" bestFit="1" customWidth="1"/>
  </cols>
  <sheetData>
    <row r="1" spans="1:6" s="9" customFormat="1" ht="29.45" customHeight="1">
      <c r="A1" s="8" t="s">
        <v>6</v>
      </c>
      <c r="B1" s="8" t="s">
        <v>7</v>
      </c>
      <c r="C1" s="8" t="s">
        <v>8</v>
      </c>
      <c r="D1" s="8" t="s">
        <v>9</v>
      </c>
      <c r="E1" s="8" t="s">
        <v>10</v>
      </c>
      <c r="F1" s="8" t="s">
        <v>11</v>
      </c>
    </row>
    <row r="2" spans="1:6" ht="24.95" customHeight="1">
      <c r="A2" t="s">
        <v>12</v>
      </c>
      <c r="B2" t="s">
        <v>13</v>
      </c>
      <c r="C2" t="s">
        <v>14</v>
      </c>
      <c r="D2" t="s">
        <v>15</v>
      </c>
      <c r="E2" t="s">
        <v>16</v>
      </c>
    </row>
    <row r="3" spans="1:6" ht="24.95" customHeight="1">
      <c r="A3" t="s">
        <v>17</v>
      </c>
      <c r="B3" t="s">
        <v>18</v>
      </c>
      <c r="C3" t="s">
        <v>14</v>
      </c>
      <c r="D3" t="s">
        <v>19</v>
      </c>
      <c r="E3" t="s">
        <v>16</v>
      </c>
    </row>
    <row r="4" spans="1:6" ht="24.95" customHeight="1">
      <c r="A4" t="s">
        <v>20</v>
      </c>
      <c r="B4" t="s">
        <v>21</v>
      </c>
      <c r="C4" t="s">
        <v>14</v>
      </c>
      <c r="D4" t="s">
        <v>22</v>
      </c>
      <c r="E4" t="s">
        <v>16</v>
      </c>
    </row>
    <row r="5" spans="1:6" ht="24.95" customHeight="1">
      <c r="A5" t="s">
        <v>23</v>
      </c>
      <c r="B5" t="s">
        <v>24</v>
      </c>
      <c r="C5" t="s">
        <v>14</v>
      </c>
      <c r="D5" t="s">
        <v>22</v>
      </c>
      <c r="E5" t="s">
        <v>16</v>
      </c>
    </row>
    <row r="6" spans="1:6" ht="24.95" customHeight="1">
      <c r="A6" t="s">
        <v>25</v>
      </c>
      <c r="B6" t="s">
        <v>26</v>
      </c>
      <c r="C6" t="s">
        <v>14</v>
      </c>
      <c r="D6" t="s">
        <v>22</v>
      </c>
      <c r="E6" t="s">
        <v>16</v>
      </c>
    </row>
    <row r="7" spans="1:6" ht="24.95" customHeight="1">
      <c r="A7" t="s">
        <v>27</v>
      </c>
      <c r="B7" t="s">
        <v>28</v>
      </c>
      <c r="C7" t="s">
        <v>14</v>
      </c>
      <c r="D7" t="s">
        <v>19</v>
      </c>
      <c r="E7" t="s">
        <v>16</v>
      </c>
    </row>
    <row r="8" spans="1:6" ht="24.95" customHeight="1">
      <c r="A8" t="s">
        <v>29</v>
      </c>
      <c r="B8" t="s">
        <v>30</v>
      </c>
      <c r="C8" t="s">
        <v>31</v>
      </c>
      <c r="D8" t="s">
        <v>15</v>
      </c>
      <c r="E8" t="s">
        <v>16</v>
      </c>
    </row>
    <row r="9" spans="1:6" ht="24.95" customHeight="1">
      <c r="A9" t="s">
        <v>32</v>
      </c>
      <c r="B9" t="s">
        <v>33</v>
      </c>
      <c r="C9" t="s">
        <v>34</v>
      </c>
      <c r="D9" t="s">
        <v>15</v>
      </c>
      <c r="E9" t="s">
        <v>16</v>
      </c>
    </row>
    <row r="10" spans="1:6" ht="24.95" customHeight="1">
      <c r="A10" t="s">
        <v>35</v>
      </c>
      <c r="B10" t="s">
        <v>36</v>
      </c>
      <c r="C10" t="s">
        <v>37</v>
      </c>
      <c r="D10" t="s">
        <v>15</v>
      </c>
      <c r="E10" t="s">
        <v>16</v>
      </c>
    </row>
    <row r="11" spans="1:6" ht="24.95" customHeight="1">
      <c r="A11" t="s">
        <v>38</v>
      </c>
      <c r="B11" t="s">
        <v>39</v>
      </c>
      <c r="C11" t="s">
        <v>14</v>
      </c>
      <c r="D11" t="s">
        <v>15</v>
      </c>
      <c r="E11" t="s">
        <v>16</v>
      </c>
    </row>
    <row r="12" spans="1:6" ht="24.95" customHeight="1">
      <c r="A12" t="s">
        <v>40</v>
      </c>
      <c r="B12" t="s">
        <v>41</v>
      </c>
      <c r="C12" t="s">
        <v>31</v>
      </c>
      <c r="D12" t="s">
        <v>42</v>
      </c>
      <c r="E12" t="s">
        <v>16</v>
      </c>
    </row>
    <row r="13" spans="1:6" ht="24.95" customHeight="1">
      <c r="A13" t="s">
        <v>43</v>
      </c>
      <c r="B13" t="s">
        <v>44</v>
      </c>
      <c r="C13" t="s">
        <v>45</v>
      </c>
      <c r="D13" t="s">
        <v>15</v>
      </c>
      <c r="E13" t="s">
        <v>16</v>
      </c>
    </row>
    <row r="14" spans="1:6" ht="24.95" customHeight="1">
      <c r="A14" t="s">
        <v>46</v>
      </c>
      <c r="B14" t="s">
        <v>47</v>
      </c>
      <c r="C14" t="s">
        <v>31</v>
      </c>
      <c r="D14" t="s">
        <v>42</v>
      </c>
      <c r="E14" t="s">
        <v>16</v>
      </c>
    </row>
    <row r="15" spans="1:6" ht="24.95" customHeight="1">
      <c r="A15" t="s">
        <v>48</v>
      </c>
      <c r="B15" t="s">
        <v>49</v>
      </c>
      <c r="C15" t="s">
        <v>50</v>
      </c>
      <c r="D15" t="s">
        <v>19</v>
      </c>
      <c r="E15" t="s">
        <v>16</v>
      </c>
    </row>
    <row r="16" spans="1:6" ht="24.95" customHeight="1">
      <c r="A16" t="s">
        <v>51</v>
      </c>
      <c r="B16" t="s">
        <v>52</v>
      </c>
      <c r="C16" t="s">
        <v>50</v>
      </c>
      <c r="D16" t="s">
        <v>19</v>
      </c>
      <c r="E16" t="s">
        <v>16</v>
      </c>
    </row>
    <row r="17" spans="1:5" ht="24.95" customHeight="1">
      <c r="A17" t="s">
        <v>53</v>
      </c>
      <c r="B17" t="s">
        <v>54</v>
      </c>
      <c r="C17" t="s">
        <v>34</v>
      </c>
      <c r="D17" t="s">
        <v>19</v>
      </c>
      <c r="E17" t="s">
        <v>16</v>
      </c>
    </row>
    <row r="18" spans="1:5" ht="24.95" customHeight="1">
      <c r="A18" t="s">
        <v>55</v>
      </c>
      <c r="B18" t="s">
        <v>56</v>
      </c>
      <c r="C18" t="s">
        <v>57</v>
      </c>
      <c r="D18" t="s">
        <v>15</v>
      </c>
      <c r="E18" t="s">
        <v>16</v>
      </c>
    </row>
    <row r="19" spans="1:5" ht="24.95" customHeight="1">
      <c r="A19" t="s">
        <v>58</v>
      </c>
      <c r="B19" t="s">
        <v>59</v>
      </c>
      <c r="C19" t="s">
        <v>60</v>
      </c>
      <c r="D19" t="s">
        <v>42</v>
      </c>
      <c r="E19" t="s">
        <v>16</v>
      </c>
    </row>
    <row r="20" spans="1:5" ht="24.95" customHeight="1">
      <c r="A20" t="s">
        <v>61</v>
      </c>
      <c r="B20" t="s">
        <v>62</v>
      </c>
      <c r="C20" t="s">
        <v>60</v>
      </c>
      <c r="D20" t="s">
        <v>22</v>
      </c>
      <c r="E20" t="s">
        <v>16</v>
      </c>
    </row>
    <row r="21" spans="1:5" ht="24.95" customHeight="1">
      <c r="A21" t="s">
        <v>63</v>
      </c>
      <c r="B21" t="s">
        <v>64</v>
      </c>
      <c r="C21" t="s">
        <v>65</v>
      </c>
      <c r="D21" t="s">
        <v>22</v>
      </c>
      <c r="E21" t="s">
        <v>16</v>
      </c>
    </row>
    <row r="22" spans="1:5" ht="24.95" customHeight="1">
      <c r="A22" t="s">
        <v>66</v>
      </c>
      <c r="B22" t="s">
        <v>67</v>
      </c>
      <c r="C22" t="s">
        <v>31</v>
      </c>
      <c r="D22" t="s">
        <v>68</v>
      </c>
      <c r="E22" t="s">
        <v>16</v>
      </c>
    </row>
  </sheetData>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8656-EACC-4F27-9416-E2312CB062D5}">
  <dimension ref="A1:C12"/>
  <sheetViews>
    <sheetView topLeftCell="A2" workbookViewId="0">
      <selection activeCell="B22" sqref="B22"/>
    </sheetView>
  </sheetViews>
  <sheetFormatPr defaultRowHeight="14.45"/>
  <cols>
    <col min="1" max="1" width="10.7109375" customWidth="1"/>
    <col min="2" max="2" width="53.140625" customWidth="1"/>
  </cols>
  <sheetData>
    <row r="1" spans="1:3" s="6" customFormat="1" ht="21" customHeight="1">
      <c r="A1" s="6" t="s">
        <v>69</v>
      </c>
      <c r="B1" s="6" t="s">
        <v>70</v>
      </c>
      <c r="C1" s="6" t="s">
        <v>71</v>
      </c>
    </row>
    <row r="2" spans="1:3" ht="129.6">
      <c r="A2" s="1" t="s">
        <v>72</v>
      </c>
      <c r="B2" s="1" t="s">
        <v>73</v>
      </c>
    </row>
    <row r="3" spans="1:3" ht="14.45" customHeight="1">
      <c r="A3" s="1"/>
    </row>
    <row r="4" spans="1:3" ht="14.45" customHeight="1">
      <c r="A4" s="1"/>
    </row>
    <row r="5" spans="1:3" ht="14.45" customHeight="1">
      <c r="A5" s="1"/>
    </row>
    <row r="6" spans="1:3" ht="14.45" customHeight="1">
      <c r="A6" s="1"/>
    </row>
    <row r="7" spans="1:3" ht="14.45" customHeight="1">
      <c r="A7" s="1"/>
    </row>
    <row r="8" spans="1:3" ht="14.45" customHeight="1">
      <c r="A8" s="1"/>
    </row>
    <row r="9" spans="1:3" ht="14.45" customHeight="1">
      <c r="A9" s="1"/>
    </row>
    <row r="10" spans="1:3" ht="14.45" customHeight="1">
      <c r="A10" s="1"/>
    </row>
    <row r="11" spans="1:3" ht="14.45" customHeight="1">
      <c r="A11" s="1"/>
    </row>
    <row r="12" spans="1:3" ht="14.45" customHeight="1">
      <c r="A1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1640"/>
  <sheetViews>
    <sheetView zoomScale="99" zoomScaleNormal="99" workbookViewId="0">
      <pane ySplit="1" topLeftCell="A265" activePane="bottomLeft" state="frozen"/>
      <selection pane="bottomLeft" activeCell="C266" sqref="B260:C266"/>
    </sheetView>
  </sheetViews>
  <sheetFormatPr defaultRowHeight="14.45"/>
  <cols>
    <col min="1" max="1" width="10.5703125" style="49" bestFit="1" customWidth="1"/>
    <col min="2" max="2" width="97.5703125" style="48" bestFit="1" customWidth="1"/>
    <col min="3" max="3" width="60.5703125" style="15" bestFit="1" customWidth="1"/>
    <col min="4" max="4" width="23.85546875" customWidth="1"/>
    <col min="5" max="5" width="39.85546875" customWidth="1"/>
    <col min="6" max="6" width="22" customWidth="1"/>
  </cols>
  <sheetData>
    <row r="1" spans="1:3" s="9" customFormat="1" ht="25.9" customHeight="1">
      <c r="A1" s="7" t="s">
        <v>74</v>
      </c>
      <c r="B1" s="8" t="s">
        <v>75</v>
      </c>
      <c r="C1" s="42" t="s">
        <v>76</v>
      </c>
    </row>
    <row r="2" spans="1:3" ht="38.25" customHeight="1">
      <c r="A2"/>
      <c r="B2" s="198" t="s">
        <v>77</v>
      </c>
      <c r="C2" s="199">
        <f>COUNTA(A:A)-1</f>
        <v>80</v>
      </c>
    </row>
    <row r="3" spans="1:3" ht="38.25" customHeight="1">
      <c r="A3"/>
      <c r="B3" s="198" t="s">
        <v>78</v>
      </c>
      <c r="C3" s="199">
        <f>COUNTA(C$4:C$1048576)</f>
        <v>1065</v>
      </c>
    </row>
    <row r="4" spans="1:3" s="21" customFormat="1" ht="259.14999999999998">
      <c r="A4" s="370" t="str">
        <f>"US_0" &amp; COUNTA($A$1:A1)</f>
        <v>US_01</v>
      </c>
      <c r="B4" s="372" t="s">
        <v>79</v>
      </c>
      <c r="C4" s="104" t="s">
        <v>80</v>
      </c>
    </row>
    <row r="5" spans="1:3" ht="187.15">
      <c r="A5" s="371"/>
      <c r="B5" s="373"/>
      <c r="C5" s="104" t="s">
        <v>81</v>
      </c>
    </row>
    <row r="6" spans="1:3" ht="187.15">
      <c r="A6" s="371"/>
      <c r="B6" s="373"/>
      <c r="C6" s="15" t="s">
        <v>82</v>
      </c>
    </row>
    <row r="7" spans="1:3" ht="187.15">
      <c r="A7" s="371"/>
      <c r="B7" s="373"/>
      <c r="C7" s="104" t="s">
        <v>83</v>
      </c>
    </row>
    <row r="8" spans="1:3" ht="86.45">
      <c r="A8" s="371"/>
      <c r="B8" s="373"/>
      <c r="C8" s="15" t="s">
        <v>84</v>
      </c>
    </row>
    <row r="9" spans="1:3" ht="86.45">
      <c r="A9" s="371"/>
      <c r="B9" s="373"/>
      <c r="C9" s="15" t="s">
        <v>85</v>
      </c>
    </row>
    <row r="10" spans="1:3" ht="86.45">
      <c r="A10" s="371"/>
      <c r="B10" s="373"/>
      <c r="C10" s="15" t="s">
        <v>86</v>
      </c>
    </row>
    <row r="11" spans="1:3" ht="72">
      <c r="A11" s="371"/>
      <c r="B11" s="373"/>
      <c r="C11" s="15" t="s">
        <v>87</v>
      </c>
    </row>
    <row r="12" spans="1:3" ht="86.45">
      <c r="A12" s="371"/>
      <c r="B12" s="373"/>
      <c r="C12" s="15" t="s">
        <v>88</v>
      </c>
    </row>
    <row r="13" spans="1:3" ht="158.44999999999999">
      <c r="A13" s="371"/>
      <c r="B13" s="373"/>
      <c r="C13" s="15" t="s">
        <v>89</v>
      </c>
    </row>
    <row r="14" spans="1:3" s="45" customFormat="1" ht="25.5" customHeight="1">
      <c r="A14" s="50"/>
      <c r="B14" s="43"/>
      <c r="C14" s="84"/>
    </row>
    <row r="15" spans="1:3" s="6" customFormat="1" ht="129.6">
      <c r="A15" s="374" t="str">
        <f>"US_0" &amp; COUNTA($A$1:A14)</f>
        <v>US_02</v>
      </c>
      <c r="B15" s="375" t="s">
        <v>90</v>
      </c>
      <c r="C15" s="15" t="s">
        <v>91</v>
      </c>
    </row>
    <row r="16" spans="1:3" s="6" customFormat="1" ht="144">
      <c r="A16" s="374"/>
      <c r="B16" s="375"/>
      <c r="C16" s="15" t="s">
        <v>92</v>
      </c>
    </row>
    <row r="17" spans="1:4" s="6" customFormat="1" ht="100.9">
      <c r="A17" s="374"/>
      <c r="B17" s="375"/>
      <c r="C17" s="15" t="s">
        <v>93</v>
      </c>
    </row>
    <row r="18" spans="1:4" s="6" customFormat="1" ht="72">
      <c r="A18" s="374"/>
      <c r="B18" s="375"/>
      <c r="C18" s="15" t="s">
        <v>94</v>
      </c>
    </row>
    <row r="19" spans="1:4" s="6" customFormat="1" ht="86.45">
      <c r="A19" s="374"/>
      <c r="B19" s="375"/>
      <c r="C19" s="15" t="s">
        <v>95</v>
      </c>
      <c r="D19" s="6" t="s">
        <v>96</v>
      </c>
    </row>
    <row r="20" spans="1:4" s="6" customFormat="1" ht="86.45">
      <c r="A20" s="374"/>
      <c r="B20" s="375"/>
      <c r="C20" s="15" t="s">
        <v>97</v>
      </c>
      <c r="D20" s="6" t="s">
        <v>96</v>
      </c>
    </row>
    <row r="21" spans="1:4" s="6" customFormat="1" ht="44.25" customHeight="1">
      <c r="A21" s="144"/>
      <c r="B21" s="129"/>
      <c r="C21" s="15"/>
    </row>
    <row r="22" spans="1:4" s="55" customFormat="1" ht="46.15">
      <c r="A22" s="53"/>
      <c r="B22" s="56"/>
      <c r="C22" s="151"/>
      <c r="D22" s="54"/>
    </row>
    <row r="23" spans="1:4" ht="46.15">
      <c r="B23" s="57"/>
      <c r="D23" s="2"/>
    </row>
    <row r="24" spans="1:4" s="21" customFormat="1" ht="115.15">
      <c r="A24" s="359" t="str">
        <f>"US_0" &amp; COUNTA($A$1:A23)</f>
        <v>US_03</v>
      </c>
      <c r="B24" s="365" t="s">
        <v>98</v>
      </c>
      <c r="C24" s="15" t="s">
        <v>99</v>
      </c>
    </row>
    <row r="25" spans="1:4" ht="129.6">
      <c r="A25" s="359"/>
      <c r="B25" s="365"/>
      <c r="C25" s="15" t="s">
        <v>100</v>
      </c>
    </row>
    <row r="26" spans="1:4" ht="100.9">
      <c r="A26" s="359"/>
      <c r="B26" s="365"/>
      <c r="C26" s="15" t="s">
        <v>101</v>
      </c>
    </row>
    <row r="27" spans="1:4" ht="100.9">
      <c r="A27" s="359"/>
      <c r="B27" s="365"/>
      <c r="C27" s="15" t="s">
        <v>102</v>
      </c>
    </row>
    <row r="28" spans="1:4" ht="43.15">
      <c r="A28" s="359"/>
      <c r="B28" s="365"/>
      <c r="C28" s="15" t="s">
        <v>103</v>
      </c>
    </row>
    <row r="29" spans="1:4" ht="57.6">
      <c r="A29" s="359"/>
      <c r="B29" s="365"/>
      <c r="C29" s="15" t="s">
        <v>104</v>
      </c>
    </row>
    <row r="30" spans="1:4" s="45" customFormat="1" ht="46.15">
      <c r="A30" s="50"/>
      <c r="B30" s="43"/>
      <c r="C30" s="84"/>
    </row>
    <row r="31" spans="1:4" ht="129.6">
      <c r="A31" s="360" t="str">
        <f>"US_0" &amp; COUNTA($A$1:A30)</f>
        <v>US_04</v>
      </c>
      <c r="B31" s="364" t="s">
        <v>105</v>
      </c>
      <c r="C31" s="15" t="s">
        <v>106</v>
      </c>
    </row>
    <row r="32" spans="1:4" ht="100.9">
      <c r="A32" s="360"/>
      <c r="B32" s="364"/>
      <c r="C32" s="15" t="s">
        <v>107</v>
      </c>
    </row>
    <row r="33" spans="1:3" ht="57.6">
      <c r="A33" s="360"/>
      <c r="B33" s="364"/>
      <c r="C33" s="15" t="s">
        <v>108</v>
      </c>
    </row>
    <row r="34" spans="1:3" ht="86.45">
      <c r="A34" s="360"/>
      <c r="B34" s="364"/>
      <c r="C34" s="15" t="s">
        <v>109</v>
      </c>
    </row>
    <row r="35" spans="1:3" ht="72">
      <c r="A35" s="360"/>
      <c r="B35" s="364"/>
      <c r="C35" s="15" t="s">
        <v>110</v>
      </c>
    </row>
    <row r="36" spans="1:3" ht="72">
      <c r="A36" s="360"/>
      <c r="B36" s="364"/>
      <c r="C36" s="15" t="s">
        <v>111</v>
      </c>
    </row>
    <row r="37" spans="1:3" ht="57.6">
      <c r="A37" s="360"/>
      <c r="B37" s="364"/>
      <c r="C37" s="15" t="s">
        <v>112</v>
      </c>
    </row>
    <row r="38" spans="1:3" ht="57.6">
      <c r="A38" s="360"/>
      <c r="B38" s="364"/>
      <c r="C38" s="15" t="s">
        <v>113</v>
      </c>
    </row>
    <row r="39" spans="1:3" ht="57.6">
      <c r="A39" s="360"/>
      <c r="B39" s="364"/>
      <c r="C39" s="15" t="s">
        <v>114</v>
      </c>
    </row>
    <row r="40" spans="1:3" s="45" customFormat="1" ht="46.15">
      <c r="A40" s="50"/>
      <c r="B40" s="43"/>
      <c r="C40" s="84"/>
    </row>
    <row r="41" spans="1:3" ht="100.9">
      <c r="A41" s="359" t="str">
        <f>"US_0" &amp; COUNTA($A$1:A40)</f>
        <v>US_05</v>
      </c>
      <c r="B41" s="365" t="s">
        <v>115</v>
      </c>
      <c r="C41" s="15" t="s">
        <v>116</v>
      </c>
    </row>
    <row r="42" spans="1:3" ht="100.9">
      <c r="A42" s="359"/>
      <c r="B42" s="367"/>
      <c r="C42" s="15" t="s">
        <v>117</v>
      </c>
    </row>
    <row r="43" spans="1:3" ht="57.6">
      <c r="A43" s="359"/>
      <c r="B43" s="367"/>
      <c r="C43" s="15" t="s">
        <v>118</v>
      </c>
    </row>
    <row r="44" spans="1:3" ht="86.45">
      <c r="A44" s="359"/>
      <c r="B44" s="367"/>
      <c r="C44" s="15" t="s">
        <v>119</v>
      </c>
    </row>
    <row r="45" spans="1:3" ht="72">
      <c r="A45" s="359"/>
      <c r="B45" s="367"/>
      <c r="C45" s="15" t="s">
        <v>120</v>
      </c>
    </row>
    <row r="46" spans="1:3" ht="57.6">
      <c r="A46" s="359"/>
      <c r="B46" s="367"/>
      <c r="C46" s="15" t="s">
        <v>121</v>
      </c>
    </row>
    <row r="47" spans="1:3" ht="57.6">
      <c r="A47" s="359"/>
      <c r="B47" s="367"/>
      <c r="C47" s="15" t="s">
        <v>122</v>
      </c>
    </row>
    <row r="48" spans="1:3" ht="115.15">
      <c r="A48" s="359"/>
      <c r="B48" s="367"/>
      <c r="C48" s="15" t="s">
        <v>123</v>
      </c>
    </row>
    <row r="49" spans="1:3" ht="86.45">
      <c r="A49" s="359"/>
      <c r="B49" s="367"/>
      <c r="C49" s="15" t="s">
        <v>124</v>
      </c>
    </row>
    <row r="50" spans="1:3" ht="43.15">
      <c r="A50" s="359"/>
      <c r="B50" s="367"/>
      <c r="C50" s="15" t="s">
        <v>125</v>
      </c>
    </row>
    <row r="51" spans="1:3" ht="57.6">
      <c r="A51" s="359"/>
      <c r="B51" s="367"/>
      <c r="C51" s="15" t="s">
        <v>126</v>
      </c>
    </row>
    <row r="52" spans="1:3" s="45" customFormat="1" ht="46.15">
      <c r="A52" s="50"/>
      <c r="B52" s="43"/>
      <c r="C52" s="84"/>
    </row>
    <row r="53" spans="1:3" ht="86.45">
      <c r="A53" s="360" t="str">
        <f>"US_0" &amp; COUNTA($A$1:A52)</f>
        <v>US_06</v>
      </c>
      <c r="B53" s="364" t="s">
        <v>127</v>
      </c>
      <c r="C53" s="15" t="s">
        <v>128</v>
      </c>
    </row>
    <row r="54" spans="1:3" ht="100.9">
      <c r="A54" s="360"/>
      <c r="B54" s="364"/>
      <c r="C54" s="15" t="s">
        <v>129</v>
      </c>
    </row>
    <row r="55" spans="1:3" ht="57.6">
      <c r="A55" s="360"/>
      <c r="B55" s="364"/>
      <c r="C55" s="15" t="s">
        <v>130</v>
      </c>
    </row>
    <row r="56" spans="1:3" ht="86.45">
      <c r="A56" s="360"/>
      <c r="B56" s="364"/>
      <c r="C56" s="15" t="s">
        <v>131</v>
      </c>
    </row>
    <row r="57" spans="1:3" ht="72">
      <c r="A57" s="360"/>
      <c r="B57" s="364"/>
      <c r="C57" s="15" t="s">
        <v>132</v>
      </c>
    </row>
    <row r="58" spans="1:3" ht="57.6">
      <c r="A58" s="360"/>
      <c r="B58" s="364"/>
      <c r="C58" s="15" t="s">
        <v>133</v>
      </c>
    </row>
    <row r="59" spans="1:3" ht="57.6">
      <c r="A59" s="360"/>
      <c r="B59" s="364"/>
      <c r="C59" s="15" t="s">
        <v>134</v>
      </c>
    </row>
    <row r="60" spans="1:3" ht="72">
      <c r="A60" s="360"/>
      <c r="B60" s="364"/>
      <c r="C60" s="15" t="s">
        <v>135</v>
      </c>
    </row>
    <row r="61" spans="1:3" ht="57.6">
      <c r="A61" s="360"/>
      <c r="B61" s="364"/>
      <c r="C61" s="15" t="s">
        <v>136</v>
      </c>
    </row>
    <row r="62" spans="1:3" s="45" customFormat="1" ht="46.15">
      <c r="A62" s="50"/>
      <c r="B62" s="43"/>
      <c r="C62" s="84"/>
    </row>
    <row r="63" spans="1:3" ht="86.45">
      <c r="A63" s="359" t="str">
        <f>"US_0" &amp; COUNTA($A$1:A62)</f>
        <v>US_07</v>
      </c>
      <c r="B63" s="365" t="s">
        <v>137</v>
      </c>
      <c r="C63" s="15" t="s">
        <v>138</v>
      </c>
    </row>
    <row r="64" spans="1:3" ht="100.9">
      <c r="A64" s="359"/>
      <c r="B64" s="365"/>
      <c r="C64" s="15" t="s">
        <v>139</v>
      </c>
    </row>
    <row r="65" spans="1:3" ht="57.6">
      <c r="A65" s="359"/>
      <c r="B65" s="365"/>
      <c r="C65" s="15" t="s">
        <v>140</v>
      </c>
    </row>
    <row r="66" spans="1:3" ht="86.45">
      <c r="A66" s="359"/>
      <c r="B66" s="365"/>
      <c r="C66" s="15" t="s">
        <v>141</v>
      </c>
    </row>
    <row r="67" spans="1:3" ht="72">
      <c r="A67" s="359"/>
      <c r="B67" s="365"/>
      <c r="C67" s="15" t="s">
        <v>142</v>
      </c>
    </row>
    <row r="68" spans="1:3" ht="57.6">
      <c r="A68" s="359"/>
      <c r="B68" s="365"/>
      <c r="C68" s="15" t="s">
        <v>143</v>
      </c>
    </row>
    <row r="69" spans="1:3" ht="57.6">
      <c r="A69" s="359"/>
      <c r="B69" s="365"/>
      <c r="C69" s="15" t="s">
        <v>144</v>
      </c>
    </row>
    <row r="70" spans="1:3" ht="72">
      <c r="A70" s="359"/>
      <c r="B70" s="365"/>
      <c r="C70" s="15" t="s">
        <v>145</v>
      </c>
    </row>
    <row r="71" spans="1:3" ht="57.6">
      <c r="A71" s="359"/>
      <c r="B71" s="365"/>
      <c r="C71" s="15" t="s">
        <v>146</v>
      </c>
    </row>
    <row r="72" spans="1:3" s="45" customFormat="1" ht="46.15">
      <c r="A72" s="50"/>
      <c r="B72" s="43"/>
      <c r="C72" s="84"/>
    </row>
    <row r="73" spans="1:3" ht="115.15">
      <c r="A73" s="360" t="str">
        <f>"US_0" &amp; COUNTA($A$1:A72)</f>
        <v>US_08</v>
      </c>
      <c r="B73" s="364" t="s">
        <v>147</v>
      </c>
      <c r="C73" s="15" t="s">
        <v>148</v>
      </c>
    </row>
    <row r="74" spans="1:3" ht="144">
      <c r="A74" s="360"/>
      <c r="B74" s="364"/>
      <c r="C74" s="15" t="s">
        <v>149</v>
      </c>
    </row>
    <row r="75" spans="1:3" ht="57.6">
      <c r="A75" s="360"/>
      <c r="B75" s="364"/>
      <c r="C75" s="15" t="s">
        <v>150</v>
      </c>
    </row>
    <row r="76" spans="1:3" ht="86.45">
      <c r="A76" s="360"/>
      <c r="B76" s="364"/>
      <c r="C76" s="15" t="s">
        <v>151</v>
      </c>
    </row>
    <row r="77" spans="1:3" ht="100.9">
      <c r="A77" s="360"/>
      <c r="B77" s="364"/>
      <c r="C77" s="15" t="s">
        <v>152</v>
      </c>
    </row>
    <row r="78" spans="1:3" ht="72">
      <c r="A78" s="360"/>
      <c r="B78" s="364"/>
      <c r="C78" s="15" t="s">
        <v>153</v>
      </c>
    </row>
    <row r="79" spans="1:3" ht="57.6">
      <c r="A79" s="360"/>
      <c r="B79" s="364"/>
      <c r="C79" s="15" t="s">
        <v>154</v>
      </c>
    </row>
    <row r="80" spans="1:3" ht="57.6">
      <c r="A80" s="360"/>
      <c r="B80" s="364"/>
      <c r="C80" s="15" t="s">
        <v>155</v>
      </c>
    </row>
    <row r="81" spans="1:3" ht="86.45">
      <c r="A81" s="360"/>
      <c r="B81" s="364"/>
      <c r="C81" s="15" t="s">
        <v>156</v>
      </c>
    </row>
    <row r="82" spans="1:3" ht="57.6">
      <c r="A82" s="360"/>
      <c r="B82" s="364"/>
      <c r="C82" s="15" t="s">
        <v>157</v>
      </c>
    </row>
    <row r="83" spans="1:3" ht="57.6">
      <c r="A83" s="360"/>
      <c r="B83" s="364"/>
      <c r="C83" s="15" t="s">
        <v>158</v>
      </c>
    </row>
    <row r="84" spans="1:3" s="61" customFormat="1" ht="46.15">
      <c r="A84" s="58"/>
      <c r="B84" s="59"/>
      <c r="C84" s="150"/>
    </row>
    <row r="85" spans="1:3" ht="172.9">
      <c r="A85" s="359" t="str">
        <f>"US_0" &amp; COUNTA($A$1:A84)</f>
        <v>US_09</v>
      </c>
      <c r="B85" s="365" t="s">
        <v>159</v>
      </c>
      <c r="C85" s="15" t="s">
        <v>160</v>
      </c>
    </row>
    <row r="86" spans="1:3" ht="57.6">
      <c r="A86" s="359"/>
      <c r="B86" s="365"/>
      <c r="C86" s="15" t="s">
        <v>161</v>
      </c>
    </row>
    <row r="87" spans="1:3" ht="86.45">
      <c r="A87" s="359"/>
      <c r="B87" s="365"/>
      <c r="C87" s="15" t="s">
        <v>162</v>
      </c>
    </row>
    <row r="88" spans="1:3" ht="57.6">
      <c r="A88" s="359"/>
      <c r="B88" s="365"/>
      <c r="C88" s="15" t="s">
        <v>163</v>
      </c>
    </row>
    <row r="89" spans="1:3" ht="86.45">
      <c r="A89" s="359"/>
      <c r="B89" s="365"/>
      <c r="C89" s="15" t="s">
        <v>164</v>
      </c>
    </row>
    <row r="90" spans="1:3" ht="43.15">
      <c r="A90" s="359"/>
      <c r="B90" s="365"/>
      <c r="C90" s="15" t="s">
        <v>165</v>
      </c>
    </row>
    <row r="91" spans="1:3" ht="57.6">
      <c r="A91" s="359"/>
      <c r="B91" s="365"/>
      <c r="C91" s="15" t="s">
        <v>166</v>
      </c>
    </row>
    <row r="92" spans="1:3" ht="72">
      <c r="A92" s="359"/>
      <c r="B92" s="365"/>
      <c r="C92" s="15" t="s">
        <v>167</v>
      </c>
    </row>
    <row r="93" spans="1:3" s="45" customFormat="1" ht="46.15">
      <c r="A93" s="50"/>
      <c r="B93" s="43"/>
      <c r="C93" s="84"/>
    </row>
    <row r="94" spans="1:3" ht="129.6">
      <c r="A94" s="360" t="str">
        <f>"US_" &amp; COUNTA($A$1:A93)</f>
        <v>US_10</v>
      </c>
      <c r="B94" s="364" t="s">
        <v>168</v>
      </c>
      <c r="C94" s="15" t="s">
        <v>169</v>
      </c>
    </row>
    <row r="95" spans="1:3" ht="158.44999999999999">
      <c r="A95" s="360"/>
      <c r="B95" s="364"/>
      <c r="C95" s="15" t="s">
        <v>170</v>
      </c>
    </row>
    <row r="96" spans="1:3" ht="57.6">
      <c r="A96" s="360"/>
      <c r="B96" s="364"/>
      <c r="C96" s="15" t="s">
        <v>171</v>
      </c>
    </row>
    <row r="97" spans="1:3" ht="86.45">
      <c r="A97" s="360"/>
      <c r="B97" s="364"/>
      <c r="C97" s="15" t="s">
        <v>172</v>
      </c>
    </row>
    <row r="98" spans="1:3" ht="72">
      <c r="A98" s="360"/>
      <c r="B98" s="364"/>
      <c r="C98" s="15" t="s">
        <v>173</v>
      </c>
    </row>
    <row r="99" spans="1:3" ht="57.6">
      <c r="A99" s="360"/>
      <c r="B99" s="364"/>
      <c r="C99" s="15" t="s">
        <v>174</v>
      </c>
    </row>
    <row r="100" spans="1:3" ht="57.6">
      <c r="A100" s="360"/>
      <c r="B100" s="364"/>
      <c r="C100" s="15" t="s">
        <v>175</v>
      </c>
    </row>
    <row r="101" spans="1:3" ht="57.6">
      <c r="A101" s="360"/>
      <c r="B101" s="364"/>
      <c r="C101" s="15" t="s">
        <v>176</v>
      </c>
    </row>
    <row r="102" spans="1:3" ht="57.6">
      <c r="A102" s="360"/>
      <c r="B102" s="364"/>
      <c r="C102" s="15" t="s">
        <v>177</v>
      </c>
    </row>
    <row r="103" spans="1:3" ht="72">
      <c r="A103" s="360"/>
      <c r="B103" s="364"/>
      <c r="C103" s="15" t="s">
        <v>178</v>
      </c>
    </row>
    <row r="104" spans="1:3" ht="86.45">
      <c r="A104" s="360"/>
      <c r="B104" s="364"/>
      <c r="C104" s="15" t="s">
        <v>179</v>
      </c>
    </row>
    <row r="105" spans="1:3" ht="57.6">
      <c r="A105" s="360"/>
      <c r="B105" s="364"/>
      <c r="C105" s="15" t="s">
        <v>180</v>
      </c>
    </row>
    <row r="106" spans="1:3" s="45" customFormat="1" ht="46.15">
      <c r="A106" s="50"/>
      <c r="B106" s="43"/>
      <c r="C106" s="84"/>
    </row>
    <row r="107" spans="1:3" ht="86.45">
      <c r="A107" s="359" t="str">
        <f>"US_" &amp; COUNTA($A$1:A106)</f>
        <v>US_11</v>
      </c>
      <c r="B107" s="365" t="s">
        <v>181</v>
      </c>
      <c r="C107" s="15" t="s">
        <v>182</v>
      </c>
    </row>
    <row r="108" spans="1:3" ht="100.9">
      <c r="A108" s="359"/>
      <c r="B108" s="365"/>
      <c r="C108" s="15" t="s">
        <v>183</v>
      </c>
    </row>
    <row r="109" spans="1:3" ht="57.6">
      <c r="A109" s="359"/>
      <c r="B109" s="365"/>
      <c r="C109" s="15" t="s">
        <v>184</v>
      </c>
    </row>
    <row r="110" spans="1:3" ht="72">
      <c r="A110" s="359"/>
      <c r="B110" s="365"/>
      <c r="C110" s="15" t="s">
        <v>185</v>
      </c>
    </row>
    <row r="111" spans="1:3" ht="72">
      <c r="A111" s="359"/>
      <c r="B111" s="365"/>
      <c r="C111" s="15" t="s">
        <v>186</v>
      </c>
    </row>
    <row r="112" spans="1:3" ht="86.45">
      <c r="A112" s="359"/>
      <c r="B112" s="365"/>
      <c r="C112" s="15" t="s">
        <v>187</v>
      </c>
    </row>
    <row r="113" spans="1:3" ht="57.6">
      <c r="A113" s="359"/>
      <c r="B113" s="365"/>
      <c r="C113" s="15" t="s">
        <v>188</v>
      </c>
    </row>
    <row r="114" spans="1:3" ht="57.6">
      <c r="A114" s="359"/>
      <c r="B114" s="365"/>
      <c r="C114" s="15" t="s">
        <v>189</v>
      </c>
    </row>
    <row r="115" spans="1:3" ht="57.6">
      <c r="A115" s="359"/>
      <c r="B115" s="365"/>
      <c r="C115" s="15" t="s">
        <v>190</v>
      </c>
    </row>
    <row r="116" spans="1:3" ht="43.15">
      <c r="A116" s="359"/>
      <c r="B116" s="365"/>
      <c r="C116" s="15" t="s">
        <v>191</v>
      </c>
    </row>
    <row r="117" spans="1:3" s="45" customFormat="1" ht="46.15">
      <c r="A117" s="50"/>
      <c r="B117" s="43"/>
      <c r="C117" s="84"/>
    </row>
    <row r="118" spans="1:3" ht="100.9">
      <c r="A118" s="360" t="str">
        <f>"US_" &amp; COUNTA($A$1:A117)</f>
        <v>US_12</v>
      </c>
      <c r="B118" s="364" t="s">
        <v>192</v>
      </c>
      <c r="C118" s="15" t="s">
        <v>193</v>
      </c>
    </row>
    <row r="119" spans="1:3" ht="129.6">
      <c r="A119" s="360"/>
      <c r="B119" s="364"/>
      <c r="C119" s="15" t="s">
        <v>194</v>
      </c>
    </row>
    <row r="120" spans="1:3" ht="57.6">
      <c r="A120" s="360"/>
      <c r="B120" s="364"/>
      <c r="C120" s="15" t="s">
        <v>195</v>
      </c>
    </row>
    <row r="121" spans="1:3" ht="115.15">
      <c r="A121" s="360"/>
      <c r="B121" s="364"/>
      <c r="C121" s="15" t="s">
        <v>196</v>
      </c>
    </row>
    <row r="122" spans="1:3" ht="72">
      <c r="A122" s="360"/>
      <c r="B122" s="364"/>
      <c r="C122" s="15" t="s">
        <v>197</v>
      </c>
    </row>
    <row r="123" spans="1:3" ht="57.6">
      <c r="A123" s="360"/>
      <c r="B123" s="364"/>
      <c r="C123" s="15" t="s">
        <v>198</v>
      </c>
    </row>
    <row r="124" spans="1:3" ht="57.6">
      <c r="A124" s="360"/>
      <c r="B124" s="364"/>
      <c r="C124" s="15" t="s">
        <v>199</v>
      </c>
    </row>
    <row r="125" spans="1:3" ht="72">
      <c r="A125" s="360"/>
      <c r="B125" s="364"/>
      <c r="C125" s="15" t="s">
        <v>200</v>
      </c>
    </row>
    <row r="126" spans="1:3" ht="86.45">
      <c r="A126" s="360"/>
      <c r="B126" s="364"/>
      <c r="C126" s="15" t="s">
        <v>201</v>
      </c>
    </row>
    <row r="127" spans="1:3" ht="57.6">
      <c r="A127" s="360"/>
      <c r="B127" s="364"/>
      <c r="C127" s="15" t="s">
        <v>202</v>
      </c>
    </row>
    <row r="128" spans="1:3" s="45" customFormat="1" ht="46.15">
      <c r="A128" s="50"/>
      <c r="B128" s="43"/>
      <c r="C128" s="84"/>
    </row>
    <row r="129" spans="1:3" ht="86.45">
      <c r="A129" s="359" t="str">
        <f>"US_" &amp; COUNTA($A$1:A128)</f>
        <v>US_13</v>
      </c>
      <c r="B129" s="365" t="s">
        <v>203</v>
      </c>
      <c r="C129" s="15" t="s">
        <v>204</v>
      </c>
    </row>
    <row r="130" spans="1:3" ht="100.9">
      <c r="A130" s="359"/>
      <c r="B130" s="365"/>
      <c r="C130" s="15" t="s">
        <v>205</v>
      </c>
    </row>
    <row r="131" spans="1:3" ht="57.6">
      <c r="A131" s="359"/>
      <c r="B131" s="365"/>
      <c r="C131" s="15" t="s">
        <v>206</v>
      </c>
    </row>
    <row r="132" spans="1:3" ht="86.45">
      <c r="A132" s="359"/>
      <c r="B132" s="365"/>
      <c r="C132" s="15" t="s">
        <v>207</v>
      </c>
    </row>
    <row r="133" spans="1:3" ht="72">
      <c r="A133" s="359"/>
      <c r="B133" s="365"/>
      <c r="C133" s="15" t="s">
        <v>208</v>
      </c>
    </row>
    <row r="134" spans="1:3" ht="57.6">
      <c r="A134" s="359"/>
      <c r="B134" s="365"/>
      <c r="C134" s="15" t="s">
        <v>209</v>
      </c>
    </row>
    <row r="135" spans="1:3" ht="57.6">
      <c r="A135" s="359"/>
      <c r="B135" s="365"/>
      <c r="C135" s="15" t="s">
        <v>210</v>
      </c>
    </row>
    <row r="136" spans="1:3" ht="72">
      <c r="A136" s="359"/>
      <c r="B136" s="365"/>
      <c r="C136" s="15" t="s">
        <v>211</v>
      </c>
    </row>
    <row r="137" spans="1:3" ht="57.6">
      <c r="A137" s="359"/>
      <c r="B137" s="365"/>
      <c r="C137" s="15" t="s">
        <v>212</v>
      </c>
    </row>
    <row r="138" spans="1:3" s="45" customFormat="1" ht="46.15">
      <c r="A138" s="50"/>
      <c r="B138" s="43"/>
      <c r="C138" s="84"/>
    </row>
    <row r="139" spans="1:3" ht="86.45">
      <c r="A139" s="360" t="str">
        <f>"US_" &amp; COUNTA($A$1:A138)</f>
        <v>US_14</v>
      </c>
      <c r="B139" s="364" t="s">
        <v>213</v>
      </c>
      <c r="C139" s="15" t="s">
        <v>214</v>
      </c>
    </row>
    <row r="140" spans="1:3" ht="100.9">
      <c r="A140" s="360"/>
      <c r="B140" s="364"/>
      <c r="C140" s="15" t="s">
        <v>215</v>
      </c>
    </row>
    <row r="141" spans="1:3" ht="57.6">
      <c r="A141" s="360"/>
      <c r="B141" s="364"/>
      <c r="C141" s="15" t="s">
        <v>216</v>
      </c>
    </row>
    <row r="142" spans="1:3" ht="86.45">
      <c r="A142" s="360"/>
      <c r="B142" s="364"/>
      <c r="C142" s="15" t="s">
        <v>217</v>
      </c>
    </row>
    <row r="143" spans="1:3" ht="72">
      <c r="A143" s="360"/>
      <c r="B143" s="364"/>
      <c r="C143" s="15" t="s">
        <v>218</v>
      </c>
    </row>
    <row r="144" spans="1:3" ht="57.6">
      <c r="A144" s="360"/>
      <c r="B144" s="364"/>
      <c r="C144" s="15" t="s">
        <v>219</v>
      </c>
    </row>
    <row r="145" spans="1:3" ht="57.6">
      <c r="A145" s="360"/>
      <c r="B145" s="364"/>
      <c r="C145" s="15" t="s">
        <v>220</v>
      </c>
    </row>
    <row r="146" spans="1:3" ht="72">
      <c r="A146" s="360"/>
      <c r="B146" s="364"/>
      <c r="C146" s="15" t="s">
        <v>221</v>
      </c>
    </row>
    <row r="147" spans="1:3" ht="57.6">
      <c r="A147" s="360"/>
      <c r="B147" s="364"/>
      <c r="C147" s="15" t="s">
        <v>222</v>
      </c>
    </row>
    <row r="148" spans="1:3" s="45" customFormat="1" ht="21" customHeight="1">
      <c r="A148" s="50"/>
      <c r="B148" s="47"/>
      <c r="C148" s="84"/>
    </row>
    <row r="149" spans="1:3" ht="86.45">
      <c r="A149" s="369" t="str">
        <f>"US_" &amp; COUNTA($A$1:A148)</f>
        <v>US_15</v>
      </c>
      <c r="B149" s="365" t="s">
        <v>223</v>
      </c>
      <c r="C149" s="15" t="s">
        <v>224</v>
      </c>
    </row>
    <row r="150" spans="1:3" ht="129.6">
      <c r="A150" s="369"/>
      <c r="B150" s="365"/>
      <c r="C150" s="15" t="s">
        <v>225</v>
      </c>
    </row>
    <row r="151" spans="1:3" ht="100.9">
      <c r="A151" s="369"/>
      <c r="B151" s="365"/>
      <c r="C151" s="15" t="s">
        <v>226</v>
      </c>
    </row>
    <row r="152" spans="1:3" ht="100.9">
      <c r="A152" s="369"/>
      <c r="B152" s="365"/>
      <c r="C152" s="15" t="s">
        <v>227</v>
      </c>
    </row>
    <row r="153" spans="1:3" ht="115.15">
      <c r="A153" s="369"/>
      <c r="B153" s="365"/>
      <c r="C153" s="15" t="s">
        <v>228</v>
      </c>
    </row>
    <row r="154" spans="1:3" ht="115.15">
      <c r="A154" s="369"/>
      <c r="B154" s="365"/>
      <c r="C154" s="15" t="s">
        <v>229</v>
      </c>
    </row>
    <row r="155" spans="1:3" ht="86.45">
      <c r="A155" s="369"/>
      <c r="B155" s="365"/>
      <c r="C155" s="15" t="s">
        <v>230</v>
      </c>
    </row>
    <row r="156" spans="1:3" s="45" customFormat="1">
      <c r="A156" s="51"/>
      <c r="B156" s="47"/>
      <c r="C156" s="84"/>
    </row>
    <row r="157" spans="1:3" ht="86.45">
      <c r="A157" s="368" t="str">
        <f>"US_" &amp; COUNTA($A$1:A156)</f>
        <v>US_16</v>
      </c>
      <c r="B157" s="364" t="s">
        <v>231</v>
      </c>
      <c r="C157" s="15" t="s">
        <v>232</v>
      </c>
    </row>
    <row r="158" spans="1:3" ht="129.6">
      <c r="A158" s="368"/>
      <c r="B158" s="364"/>
      <c r="C158" s="15" t="s">
        <v>233</v>
      </c>
    </row>
    <row r="159" spans="1:3" ht="100.9">
      <c r="A159" s="368"/>
      <c r="B159" s="364"/>
      <c r="C159" s="15" t="s">
        <v>234</v>
      </c>
    </row>
    <row r="160" spans="1:3" ht="100.9">
      <c r="A160" s="368"/>
      <c r="B160" s="364"/>
      <c r="C160" s="15" t="s">
        <v>235</v>
      </c>
    </row>
    <row r="161" spans="1:3" ht="115.15">
      <c r="A161" s="368"/>
      <c r="B161" s="364"/>
      <c r="C161" s="15" t="s">
        <v>236</v>
      </c>
    </row>
    <row r="162" spans="1:3" ht="129.6">
      <c r="A162" s="368"/>
      <c r="B162" s="364"/>
      <c r="C162" s="15" t="s">
        <v>237</v>
      </c>
    </row>
    <row r="163" spans="1:3" ht="86.45">
      <c r="A163" s="368"/>
      <c r="B163" s="364"/>
      <c r="C163" s="15" t="s">
        <v>238</v>
      </c>
    </row>
    <row r="164" spans="1:3" s="45" customFormat="1">
      <c r="A164" s="50"/>
      <c r="B164" s="47"/>
      <c r="C164" s="84"/>
    </row>
    <row r="165" spans="1:3" ht="86.45">
      <c r="A165" s="359" t="str">
        <f>"US_" &amp; COUNTA($A$1:A164)</f>
        <v>US_17</v>
      </c>
      <c r="B165" s="365" t="s">
        <v>239</v>
      </c>
      <c r="C165" s="15" t="s">
        <v>240</v>
      </c>
    </row>
    <row r="166" spans="1:3" ht="129.6">
      <c r="A166" s="359"/>
      <c r="B166" s="365"/>
      <c r="C166" s="15" t="s">
        <v>241</v>
      </c>
    </row>
    <row r="167" spans="1:3" ht="100.9">
      <c r="A167" s="359"/>
      <c r="B167" s="365"/>
      <c r="C167" s="15" t="s">
        <v>242</v>
      </c>
    </row>
    <row r="168" spans="1:3" ht="100.9">
      <c r="A168" s="359"/>
      <c r="B168" s="365"/>
      <c r="C168" s="15" t="s">
        <v>243</v>
      </c>
    </row>
    <row r="169" spans="1:3" ht="115.15">
      <c r="A169" s="359"/>
      <c r="B169" s="365"/>
      <c r="C169" s="15" t="s">
        <v>244</v>
      </c>
    </row>
    <row r="170" spans="1:3" ht="115.15">
      <c r="A170" s="359"/>
      <c r="B170" s="365"/>
      <c r="C170" s="15" t="s">
        <v>245</v>
      </c>
    </row>
    <row r="171" spans="1:3" ht="86.45">
      <c r="A171" s="359"/>
      <c r="B171" s="365"/>
      <c r="C171" s="15" t="s">
        <v>246</v>
      </c>
    </row>
    <row r="172" spans="1:3" ht="72">
      <c r="A172" s="359"/>
      <c r="B172" s="365"/>
      <c r="C172" s="15" t="s">
        <v>247</v>
      </c>
    </row>
    <row r="173" spans="1:3" ht="86.45">
      <c r="A173" s="359"/>
      <c r="B173" s="365"/>
      <c r="C173" s="15" t="s">
        <v>248</v>
      </c>
    </row>
    <row r="174" spans="1:3" s="45" customFormat="1">
      <c r="A174" s="50"/>
      <c r="B174" s="47"/>
      <c r="C174" s="84"/>
    </row>
    <row r="175" spans="1:3" ht="172.9">
      <c r="A175" s="360" t="str">
        <f>"US_" &amp; COUNTA($A$1:A174)</f>
        <v>US_18</v>
      </c>
      <c r="B175" s="364" t="s">
        <v>249</v>
      </c>
      <c r="C175" s="15" t="s">
        <v>250</v>
      </c>
    </row>
    <row r="176" spans="1:3" ht="100.9">
      <c r="A176" s="360"/>
      <c r="B176" s="364"/>
      <c r="C176" s="15" t="s">
        <v>251</v>
      </c>
    </row>
    <row r="177" spans="1:3" ht="100.9">
      <c r="A177" s="360"/>
      <c r="B177" s="364"/>
      <c r="C177" s="15" t="s">
        <v>252</v>
      </c>
    </row>
    <row r="178" spans="1:3" ht="86.45">
      <c r="A178" s="360"/>
      <c r="B178" s="364"/>
      <c r="C178" s="15" t="s">
        <v>253</v>
      </c>
    </row>
    <row r="179" spans="1:3" ht="86.45">
      <c r="A179" s="360"/>
      <c r="B179" s="364"/>
      <c r="C179" s="15" t="s">
        <v>254</v>
      </c>
    </row>
    <row r="180" spans="1:3" ht="100.9">
      <c r="A180" s="360"/>
      <c r="B180" s="364"/>
      <c r="C180" s="15" t="s">
        <v>255</v>
      </c>
    </row>
    <row r="181" spans="1:3" ht="86.45">
      <c r="A181" s="360"/>
      <c r="B181" s="364"/>
      <c r="C181" s="15" t="s">
        <v>256</v>
      </c>
    </row>
    <row r="182" spans="1:3" ht="72">
      <c r="A182" s="360"/>
      <c r="B182" s="364"/>
      <c r="C182" s="15" t="s">
        <v>257</v>
      </c>
    </row>
    <row r="183" spans="1:3" ht="86.45">
      <c r="A183" s="360"/>
      <c r="B183" s="364"/>
      <c r="C183" s="15" t="s">
        <v>258</v>
      </c>
    </row>
    <row r="184" spans="1:3" ht="86.45">
      <c r="A184" s="360"/>
      <c r="B184" s="364"/>
      <c r="C184" s="15" t="s">
        <v>259</v>
      </c>
    </row>
    <row r="185" spans="1:3" s="45" customFormat="1">
      <c r="A185" s="50"/>
      <c r="B185" s="47"/>
      <c r="C185" s="84"/>
    </row>
    <row r="186" spans="1:3" ht="187.15">
      <c r="A186" s="359" t="str">
        <f>"US_" &amp; COUNTA($A$1:A185)</f>
        <v>US_19</v>
      </c>
      <c r="B186" s="365" t="s">
        <v>260</v>
      </c>
      <c r="C186" s="15" t="s">
        <v>261</v>
      </c>
    </row>
    <row r="187" spans="1:3" ht="100.9">
      <c r="A187" s="359"/>
      <c r="B187" s="365"/>
      <c r="C187" s="15" t="s">
        <v>262</v>
      </c>
    </row>
    <row r="188" spans="1:3" ht="100.9">
      <c r="A188" s="359"/>
      <c r="B188" s="365"/>
      <c r="C188" s="15" t="s">
        <v>263</v>
      </c>
    </row>
    <row r="189" spans="1:3" ht="100.9">
      <c r="A189" s="359"/>
      <c r="B189" s="365"/>
      <c r="C189" s="15" t="s">
        <v>264</v>
      </c>
    </row>
    <row r="190" spans="1:3" ht="86.45">
      <c r="A190" s="359"/>
      <c r="B190" s="365"/>
      <c r="C190" s="15" t="s">
        <v>265</v>
      </c>
    </row>
    <row r="191" spans="1:3" ht="72">
      <c r="A191" s="359"/>
      <c r="B191" s="365"/>
      <c r="C191" s="15" t="s">
        <v>266</v>
      </c>
    </row>
    <row r="192" spans="1:3" ht="100.9">
      <c r="A192" s="359"/>
      <c r="B192" s="365"/>
      <c r="C192" s="15" t="s">
        <v>267</v>
      </c>
    </row>
    <row r="193" spans="1:4" ht="86.45">
      <c r="A193" s="359"/>
      <c r="B193" s="365"/>
      <c r="C193" s="15" t="s">
        <v>268</v>
      </c>
    </row>
    <row r="194" spans="1:4" ht="100.9">
      <c r="A194" s="359"/>
      <c r="B194" s="365"/>
      <c r="C194" s="15" t="s">
        <v>269</v>
      </c>
    </row>
    <row r="195" spans="1:4" ht="86.45">
      <c r="A195" s="359"/>
      <c r="B195" s="365"/>
      <c r="C195" s="15" t="s">
        <v>270</v>
      </c>
      <c r="D195" t="s">
        <v>271</v>
      </c>
    </row>
    <row r="196" spans="1:4" s="45" customFormat="1">
      <c r="A196" s="50"/>
      <c r="B196" s="47"/>
      <c r="C196" s="84"/>
    </row>
    <row r="197" spans="1:4" ht="86.45">
      <c r="A197" s="360" t="str">
        <f>"US_" &amp; COUNTA($A$1:A196)</f>
        <v>US_20</v>
      </c>
      <c r="B197" s="364" t="s">
        <v>272</v>
      </c>
      <c r="C197" s="15" t="s">
        <v>273</v>
      </c>
    </row>
    <row r="198" spans="1:4" ht="100.9">
      <c r="A198" s="360"/>
      <c r="B198" s="364"/>
      <c r="C198" s="15" t="s">
        <v>274</v>
      </c>
    </row>
    <row r="199" spans="1:4" ht="100.9">
      <c r="A199" s="360"/>
      <c r="B199" s="364"/>
      <c r="C199" s="15" t="s">
        <v>275</v>
      </c>
    </row>
    <row r="200" spans="1:4" ht="86.45">
      <c r="A200" s="360"/>
      <c r="B200" s="364"/>
      <c r="C200" s="15" t="s">
        <v>276</v>
      </c>
    </row>
    <row r="201" spans="1:4" ht="86.45">
      <c r="A201" s="360"/>
      <c r="B201" s="364"/>
      <c r="C201" s="15" t="s">
        <v>277</v>
      </c>
    </row>
    <row r="202" spans="1:4" ht="100.9">
      <c r="A202" s="360"/>
      <c r="B202" s="364"/>
      <c r="C202" s="15" t="s">
        <v>278</v>
      </c>
    </row>
    <row r="203" spans="1:4" ht="172.9">
      <c r="A203" s="360"/>
      <c r="B203" s="364"/>
      <c r="C203" s="15" t="s">
        <v>279</v>
      </c>
    </row>
    <row r="204" spans="1:4" ht="86.45">
      <c r="A204" s="360"/>
      <c r="B204" s="364"/>
      <c r="C204" s="15" t="s">
        <v>280</v>
      </c>
    </row>
    <row r="205" spans="1:4" ht="86.45">
      <c r="A205" s="360"/>
      <c r="B205" s="364"/>
      <c r="C205" s="15" t="s">
        <v>281</v>
      </c>
    </row>
    <row r="206" spans="1:4" ht="86.45">
      <c r="A206" s="360"/>
      <c r="B206" s="364"/>
      <c r="C206" s="15" t="s">
        <v>282</v>
      </c>
    </row>
    <row r="207" spans="1:4" s="45" customFormat="1" ht="46.5">
      <c r="A207" s="50"/>
      <c r="B207" s="47"/>
      <c r="C207" s="84"/>
    </row>
    <row r="208" spans="1:4" ht="144" customHeight="1">
      <c r="A208" s="359" t="str">
        <f>"US_" &amp; COUNTA($A$1:A207)</f>
        <v>US_21</v>
      </c>
      <c r="B208" s="365" t="s">
        <v>283</v>
      </c>
      <c r="C208" s="15" t="s">
        <v>284</v>
      </c>
    </row>
    <row r="209" spans="1:4" ht="100.9" customHeight="1">
      <c r="A209" s="359"/>
      <c r="B209" s="365"/>
      <c r="C209" s="15" t="s">
        <v>285</v>
      </c>
    </row>
    <row r="210" spans="1:4" ht="100.9" customHeight="1">
      <c r="A210" s="359"/>
      <c r="B210" s="365"/>
      <c r="C210" s="15" t="s">
        <v>286</v>
      </c>
    </row>
    <row r="211" spans="1:4" ht="72" customHeight="1">
      <c r="A211" s="359"/>
      <c r="B211" s="365"/>
      <c r="C211" s="15" t="s">
        <v>287</v>
      </c>
    </row>
    <row r="212" spans="1:4" ht="100.9" customHeight="1">
      <c r="A212" s="359"/>
      <c r="B212" s="365"/>
      <c r="C212" s="15" t="s">
        <v>288</v>
      </c>
      <c r="D212" t="s">
        <v>289</v>
      </c>
    </row>
    <row r="213" spans="1:4" ht="86.45" customHeight="1">
      <c r="A213" s="359"/>
      <c r="B213" s="365"/>
      <c r="C213" s="15" t="s">
        <v>290</v>
      </c>
    </row>
    <row r="214" spans="1:4" ht="86.45" customHeight="1">
      <c r="A214" s="359"/>
      <c r="B214" s="365"/>
      <c r="C214" s="15" t="s">
        <v>291</v>
      </c>
    </row>
    <row r="215" spans="1:4" ht="86.45" customHeight="1">
      <c r="A215" s="359"/>
      <c r="B215" s="365"/>
      <c r="C215" s="15" t="s">
        <v>292</v>
      </c>
    </row>
    <row r="216" spans="1:4" ht="86.45" customHeight="1">
      <c r="A216" s="359"/>
      <c r="B216" s="365"/>
      <c r="C216" s="15" t="s">
        <v>293</v>
      </c>
    </row>
    <row r="217" spans="1:4" s="45" customFormat="1" ht="46.5">
      <c r="A217" s="50"/>
      <c r="B217" s="47"/>
      <c r="C217" s="84"/>
    </row>
    <row r="218" spans="1:4" ht="158.44999999999999">
      <c r="A218" s="360" t="str">
        <f>"US_" &amp; COUNTA($A$1:A217)</f>
        <v>US_22</v>
      </c>
      <c r="B218" s="364" t="s">
        <v>294</v>
      </c>
      <c r="C218" s="15" t="s">
        <v>295</v>
      </c>
    </row>
    <row r="219" spans="1:4" ht="115.15">
      <c r="A219" s="360"/>
      <c r="B219" s="364"/>
      <c r="C219" s="15" t="s">
        <v>296</v>
      </c>
    </row>
    <row r="220" spans="1:4" ht="86.45">
      <c r="A220" s="360"/>
      <c r="B220" s="364"/>
      <c r="C220" s="15" t="s">
        <v>297</v>
      </c>
    </row>
    <row r="221" spans="1:4" ht="86.45">
      <c r="A221" s="360"/>
      <c r="B221" s="364"/>
      <c r="C221" s="15" t="s">
        <v>298</v>
      </c>
    </row>
    <row r="222" spans="1:4" ht="100.9">
      <c r="A222" s="360"/>
      <c r="B222" s="364"/>
      <c r="C222" s="15" t="s">
        <v>299</v>
      </c>
    </row>
    <row r="223" spans="1:4" ht="86.45">
      <c r="A223" s="360"/>
      <c r="B223" s="364"/>
      <c r="C223" s="15" t="s">
        <v>300</v>
      </c>
    </row>
    <row r="224" spans="1:4" ht="72">
      <c r="A224" s="360"/>
      <c r="B224" s="364"/>
      <c r="C224" s="15" t="s">
        <v>301</v>
      </c>
    </row>
    <row r="225" spans="1:3" ht="100.9">
      <c r="A225" s="360"/>
      <c r="B225" s="364"/>
      <c r="C225" s="15" t="s">
        <v>302</v>
      </c>
    </row>
    <row r="226" spans="1:3" ht="86.45">
      <c r="A226" s="360"/>
      <c r="B226" s="364"/>
      <c r="C226" s="15" t="s">
        <v>303</v>
      </c>
    </row>
    <row r="227" spans="1:3" ht="86.45">
      <c r="A227" s="360"/>
      <c r="B227" s="364"/>
      <c r="C227" s="15" t="s">
        <v>304</v>
      </c>
    </row>
    <row r="228" spans="1:3" s="45" customFormat="1">
      <c r="A228" s="50"/>
      <c r="B228" s="47"/>
      <c r="C228" s="84"/>
    </row>
    <row r="229" spans="1:3" ht="144">
      <c r="A229" s="359" t="str">
        <f>"US_" &amp; COUNTA($A$1:A228)</f>
        <v>US_23</v>
      </c>
      <c r="B229" s="365" t="s">
        <v>305</v>
      </c>
      <c r="C229" s="15" t="s">
        <v>306</v>
      </c>
    </row>
    <row r="230" spans="1:3" ht="100.9">
      <c r="A230" s="359"/>
      <c r="B230" s="365"/>
      <c r="C230" s="15" t="s">
        <v>307</v>
      </c>
    </row>
    <row r="231" spans="1:3" ht="100.9">
      <c r="A231" s="359"/>
      <c r="B231" s="365"/>
      <c r="C231" s="15" t="s">
        <v>308</v>
      </c>
    </row>
    <row r="232" spans="1:3" ht="86.45">
      <c r="A232" s="359"/>
      <c r="B232" s="365"/>
      <c r="C232" s="15" t="s">
        <v>309</v>
      </c>
    </row>
    <row r="233" spans="1:3" ht="86.45">
      <c r="A233" s="359"/>
      <c r="B233" s="365"/>
      <c r="C233" s="15" t="s">
        <v>310</v>
      </c>
    </row>
    <row r="234" spans="1:3" ht="86.45">
      <c r="A234" s="359"/>
      <c r="B234" s="365"/>
      <c r="C234" s="15" t="s">
        <v>311</v>
      </c>
    </row>
    <row r="235" spans="1:3" ht="72">
      <c r="A235" s="359"/>
      <c r="B235" s="365"/>
      <c r="C235" s="15" t="s">
        <v>312</v>
      </c>
    </row>
    <row r="236" spans="1:3" ht="86.45">
      <c r="A236" s="359"/>
      <c r="B236" s="365"/>
      <c r="C236" s="15" t="s">
        <v>313</v>
      </c>
    </row>
    <row r="237" spans="1:3" ht="86.45">
      <c r="A237" s="359"/>
      <c r="B237" s="365"/>
      <c r="C237" s="15" t="s">
        <v>314</v>
      </c>
    </row>
    <row r="238" spans="1:3" ht="86.45">
      <c r="A238" s="359"/>
      <c r="B238" s="365"/>
      <c r="C238" s="15" t="s">
        <v>315</v>
      </c>
    </row>
    <row r="239" spans="1:3" s="45" customFormat="1">
      <c r="A239" s="50"/>
      <c r="B239" s="47"/>
      <c r="C239" s="84"/>
    </row>
    <row r="240" spans="1:3" ht="129.6">
      <c r="A240" s="360" t="str">
        <f>"US_" &amp; COUNTA($A$1:A239)</f>
        <v>US_24</v>
      </c>
      <c r="B240" s="364" t="s">
        <v>316</v>
      </c>
      <c r="C240" s="15" t="s">
        <v>317</v>
      </c>
    </row>
    <row r="241" spans="1:3" ht="115.15">
      <c r="A241" s="360"/>
      <c r="B241" s="364"/>
      <c r="C241" s="15" t="s">
        <v>318</v>
      </c>
    </row>
    <row r="242" spans="1:3" ht="100.9">
      <c r="A242" s="360"/>
      <c r="B242" s="364"/>
      <c r="C242" s="15" t="s">
        <v>319</v>
      </c>
    </row>
    <row r="243" spans="1:3" ht="100.9">
      <c r="A243" s="360"/>
      <c r="B243" s="364"/>
      <c r="C243" s="15" t="s">
        <v>320</v>
      </c>
    </row>
    <row r="244" spans="1:3" ht="100.9">
      <c r="A244" s="360"/>
      <c r="B244" s="364"/>
      <c r="C244" s="15" t="s">
        <v>321</v>
      </c>
    </row>
    <row r="245" spans="1:3" ht="86.45">
      <c r="A245" s="360"/>
      <c r="B245" s="364"/>
      <c r="C245" s="15" t="s">
        <v>322</v>
      </c>
    </row>
    <row r="246" spans="1:3" ht="86.45">
      <c r="A246" s="360"/>
      <c r="B246" s="364"/>
      <c r="C246" s="15" t="s">
        <v>323</v>
      </c>
    </row>
    <row r="247" spans="1:3" ht="86.45">
      <c r="A247" s="360"/>
      <c r="B247" s="364"/>
      <c r="C247" s="15" t="s">
        <v>324</v>
      </c>
    </row>
    <row r="248" spans="1:3" s="45" customFormat="1">
      <c r="A248" s="50"/>
      <c r="B248" s="47"/>
      <c r="C248" s="84"/>
    </row>
    <row r="249" spans="1:3" ht="158.44999999999999">
      <c r="A249" s="359" t="str">
        <f>"US_" &amp; COUNTA($A$1:A248)</f>
        <v>US_25</v>
      </c>
      <c r="B249" s="365" t="s">
        <v>325</v>
      </c>
      <c r="C249" s="15" t="s">
        <v>326</v>
      </c>
    </row>
    <row r="250" spans="1:3" ht="115.15">
      <c r="A250" s="359"/>
      <c r="B250" s="365"/>
      <c r="C250" s="15" t="s">
        <v>327</v>
      </c>
    </row>
    <row r="251" spans="1:3" ht="100.9">
      <c r="A251" s="359"/>
      <c r="B251" s="365"/>
      <c r="C251" s="15" t="s">
        <v>328</v>
      </c>
    </row>
    <row r="252" spans="1:3" ht="100.9">
      <c r="A252" s="359"/>
      <c r="B252" s="365"/>
      <c r="C252" s="15" t="s">
        <v>329</v>
      </c>
    </row>
    <row r="253" spans="1:3" ht="86.45">
      <c r="A253" s="359"/>
      <c r="B253" s="365"/>
      <c r="C253" s="15" t="s">
        <v>330</v>
      </c>
    </row>
    <row r="254" spans="1:3" ht="86.45">
      <c r="A254" s="359"/>
      <c r="B254" s="365"/>
      <c r="C254" s="15" t="s">
        <v>331</v>
      </c>
    </row>
    <row r="255" spans="1:3" ht="100.9">
      <c r="A255" s="359"/>
      <c r="B255" s="365"/>
      <c r="C255" s="15" t="s">
        <v>332</v>
      </c>
    </row>
    <row r="256" spans="1:3" ht="86.45">
      <c r="A256" s="359"/>
      <c r="B256" s="365"/>
      <c r="C256" s="15" t="s">
        <v>333</v>
      </c>
    </row>
    <row r="257" spans="1:4" ht="86.45">
      <c r="A257" s="359"/>
      <c r="B257" s="365"/>
      <c r="C257" s="15" t="s">
        <v>334</v>
      </c>
    </row>
    <row r="258" spans="1:4" ht="86.45">
      <c r="A258" s="359"/>
      <c r="B258" s="365"/>
      <c r="C258" s="15" t="s">
        <v>335</v>
      </c>
    </row>
    <row r="259" spans="1:4" s="45" customFormat="1">
      <c r="A259" s="50"/>
      <c r="B259" s="47"/>
      <c r="C259" s="84"/>
    </row>
    <row r="260" spans="1:4" ht="72">
      <c r="A260" s="360" t="str">
        <f>"US_" &amp; COUNTA($A$1:A259)</f>
        <v>US_26</v>
      </c>
      <c r="B260" s="364" t="s">
        <v>336</v>
      </c>
      <c r="C260" s="15" t="s">
        <v>337</v>
      </c>
    </row>
    <row r="261" spans="1:4" ht="86.45">
      <c r="A261" s="360"/>
      <c r="B261" s="364"/>
      <c r="C261" s="15" t="s">
        <v>338</v>
      </c>
    </row>
    <row r="262" spans="1:4" ht="86.45">
      <c r="A262" s="360"/>
      <c r="B262" s="364"/>
      <c r="C262" s="15" t="s">
        <v>339</v>
      </c>
    </row>
    <row r="263" spans="1:4" ht="86.45">
      <c r="A263" s="360"/>
      <c r="B263" s="364"/>
      <c r="C263" s="15" t="s">
        <v>340</v>
      </c>
    </row>
    <row r="264" spans="1:4" ht="72">
      <c r="A264" s="360"/>
      <c r="B264" s="364"/>
      <c r="C264" s="15" t="s">
        <v>341</v>
      </c>
    </row>
    <row r="265" spans="1:4" ht="86.45">
      <c r="A265" s="360"/>
      <c r="B265" s="364"/>
      <c r="C265" s="15" t="s">
        <v>342</v>
      </c>
    </row>
    <row r="266" spans="1:4" ht="86.45">
      <c r="A266" s="360"/>
      <c r="B266" s="364"/>
      <c r="C266" s="15" t="s">
        <v>343</v>
      </c>
    </row>
    <row r="267" spans="1:4" s="6" customFormat="1">
      <c r="A267" s="49"/>
      <c r="B267" s="129"/>
      <c r="C267" s="15"/>
    </row>
    <row r="268" spans="1:4" s="55" customFormat="1" ht="36.75" customHeight="1">
      <c r="A268" s="53"/>
      <c r="B268" s="74"/>
      <c r="C268" s="151"/>
    </row>
    <row r="269" spans="1:4" s="6" customFormat="1">
      <c r="A269" s="49"/>
      <c r="B269" s="129"/>
      <c r="C269" s="15"/>
    </row>
    <row r="270" spans="1:4" s="6" customFormat="1" ht="57.6">
      <c r="A270" s="366" t="str">
        <f>"US_" &amp; COUNTA($A$1:A269)</f>
        <v>US_27</v>
      </c>
      <c r="B270" s="356" t="s">
        <v>98</v>
      </c>
      <c r="C270" s="15" t="s">
        <v>344</v>
      </c>
      <c r="D270" s="9"/>
    </row>
    <row r="271" spans="1:4" s="6" customFormat="1" ht="72">
      <c r="A271" s="366"/>
      <c r="B271" s="357"/>
      <c r="C271" s="15" t="s">
        <v>345</v>
      </c>
    </row>
    <row r="272" spans="1:4" s="6" customFormat="1" ht="86.45">
      <c r="A272" s="366"/>
      <c r="B272" s="357"/>
      <c r="C272" s="15" t="s">
        <v>346</v>
      </c>
    </row>
    <row r="273" spans="1:3" s="6" customFormat="1" ht="72">
      <c r="A273" s="366"/>
      <c r="B273" s="357"/>
      <c r="C273" s="15" t="s">
        <v>347</v>
      </c>
    </row>
    <row r="274" spans="1:3" s="6" customFormat="1" ht="57.6">
      <c r="A274" s="366"/>
      <c r="B274" s="357"/>
      <c r="C274" s="15" t="s">
        <v>348</v>
      </c>
    </row>
    <row r="275" spans="1:3" s="6" customFormat="1" ht="72">
      <c r="A275" s="366"/>
      <c r="B275" s="357"/>
      <c r="C275" s="15" t="s">
        <v>349</v>
      </c>
    </row>
    <row r="276" spans="1:3" s="6" customFormat="1" ht="57.6">
      <c r="A276" s="366"/>
      <c r="B276" s="357"/>
      <c r="C276" s="15" t="s">
        <v>350</v>
      </c>
    </row>
    <row r="277" spans="1:3" s="6" customFormat="1" ht="57.6">
      <c r="A277" s="366"/>
      <c r="B277" s="357"/>
      <c r="C277" s="15" t="s">
        <v>351</v>
      </c>
    </row>
    <row r="278" spans="1:3" s="6" customFormat="1" ht="57.6">
      <c r="A278" s="366"/>
      <c r="B278" s="357"/>
      <c r="C278" s="15" t="s">
        <v>352</v>
      </c>
    </row>
    <row r="279" spans="1:3" s="6" customFormat="1" ht="57.6">
      <c r="A279" s="366"/>
      <c r="B279" s="357"/>
      <c r="C279" s="15" t="s">
        <v>353</v>
      </c>
    </row>
    <row r="280" spans="1:3" s="6" customFormat="1" ht="57.6">
      <c r="A280" s="366"/>
      <c r="B280" s="357"/>
      <c r="C280" s="15" t="s">
        <v>354</v>
      </c>
    </row>
    <row r="281" spans="1:3" s="6" customFormat="1" ht="57.6">
      <c r="A281" s="366"/>
      <c r="B281" s="357"/>
      <c r="C281" s="15" t="s">
        <v>355</v>
      </c>
    </row>
    <row r="282" spans="1:3" s="6" customFormat="1" ht="72">
      <c r="A282" s="366"/>
      <c r="B282" s="357"/>
      <c r="C282" s="15" t="s">
        <v>356</v>
      </c>
    </row>
    <row r="283" spans="1:3" s="6" customFormat="1" ht="57.6">
      <c r="A283" s="366"/>
      <c r="B283" s="357"/>
      <c r="C283" s="15" t="s">
        <v>357</v>
      </c>
    </row>
    <row r="284" spans="1:3" s="6" customFormat="1" ht="57.6">
      <c r="A284" s="366"/>
      <c r="B284" s="357"/>
      <c r="C284" s="15" t="s">
        <v>358</v>
      </c>
    </row>
    <row r="285" spans="1:3" s="6" customFormat="1" ht="72">
      <c r="A285" s="366"/>
      <c r="B285" s="357"/>
      <c r="C285" s="15" t="s">
        <v>359</v>
      </c>
    </row>
    <row r="286" spans="1:3" s="6" customFormat="1" ht="57.6">
      <c r="A286" s="366"/>
      <c r="B286" s="357"/>
      <c r="C286" s="15" t="s">
        <v>360</v>
      </c>
    </row>
    <row r="287" spans="1:3" s="6" customFormat="1" ht="57.6">
      <c r="A287" s="366"/>
      <c r="B287" s="357"/>
      <c r="C287" s="15" t="s">
        <v>361</v>
      </c>
    </row>
    <row r="288" spans="1:3" s="6" customFormat="1" ht="57.6">
      <c r="A288" s="366"/>
      <c r="B288" s="357"/>
      <c r="C288" s="15" t="s">
        <v>362</v>
      </c>
    </row>
    <row r="289" spans="1:3" s="6" customFormat="1" ht="57.6">
      <c r="A289" s="366"/>
      <c r="B289" s="357"/>
      <c r="C289" s="15" t="s">
        <v>363</v>
      </c>
    </row>
    <row r="290" spans="1:3" s="6" customFormat="1" ht="57.6">
      <c r="A290" s="366"/>
      <c r="B290" s="357"/>
      <c r="C290" s="15" t="s">
        <v>364</v>
      </c>
    </row>
    <row r="291" spans="1:3" s="6" customFormat="1" ht="57.6">
      <c r="A291" s="366"/>
      <c r="B291" s="357"/>
      <c r="C291" s="15" t="s">
        <v>365</v>
      </c>
    </row>
    <row r="292" spans="1:3" s="6" customFormat="1" ht="57.6">
      <c r="A292" s="366"/>
      <c r="B292" s="357"/>
      <c r="C292" s="15" t="s">
        <v>366</v>
      </c>
    </row>
    <row r="293" spans="1:3" s="6" customFormat="1" ht="57.6">
      <c r="A293" s="366"/>
      <c r="B293" s="357"/>
      <c r="C293" s="15" t="s">
        <v>367</v>
      </c>
    </row>
    <row r="294" spans="1:3" s="6" customFormat="1" ht="57.6">
      <c r="A294" s="366"/>
      <c r="B294" s="357"/>
      <c r="C294" s="15" t="s">
        <v>368</v>
      </c>
    </row>
    <row r="295" spans="1:3" s="81" customFormat="1" ht="20.25" customHeight="1">
      <c r="A295" s="50"/>
      <c r="B295" s="146"/>
      <c r="C295" s="84"/>
    </row>
    <row r="296" spans="1:3" s="6" customFormat="1" ht="57.6">
      <c r="A296" s="366" t="str">
        <f>"US_" &amp; COUNTA($A$1:A295)</f>
        <v>US_28</v>
      </c>
      <c r="B296" s="356" t="s">
        <v>369</v>
      </c>
      <c r="C296" s="15" t="s">
        <v>370</v>
      </c>
    </row>
    <row r="297" spans="1:3" s="6" customFormat="1" ht="100.9">
      <c r="A297" s="366"/>
      <c r="B297" s="357"/>
      <c r="C297" s="15" t="s">
        <v>371</v>
      </c>
    </row>
    <row r="298" spans="1:3" s="6" customFormat="1" ht="86.45">
      <c r="A298" s="366"/>
      <c r="B298" s="357"/>
      <c r="C298" s="15" t="s">
        <v>372</v>
      </c>
    </row>
    <row r="299" spans="1:3" s="6" customFormat="1" ht="57.6">
      <c r="A299" s="366"/>
      <c r="B299" s="357"/>
      <c r="C299" s="15" t="s">
        <v>373</v>
      </c>
    </row>
    <row r="300" spans="1:3" s="6" customFormat="1" ht="72">
      <c r="A300" s="366"/>
      <c r="B300" s="357"/>
      <c r="C300" s="15" t="s">
        <v>374</v>
      </c>
    </row>
    <row r="301" spans="1:3" s="6" customFormat="1" ht="72">
      <c r="A301" s="366"/>
      <c r="B301" s="357"/>
      <c r="C301" s="15" t="s">
        <v>375</v>
      </c>
    </row>
    <row r="302" spans="1:3" s="6" customFormat="1" ht="86.45">
      <c r="A302" s="366"/>
      <c r="B302" s="357"/>
      <c r="C302" s="15" t="s">
        <v>376</v>
      </c>
    </row>
    <row r="303" spans="1:3" s="6" customFormat="1" ht="72">
      <c r="A303" s="366"/>
      <c r="B303" s="357"/>
      <c r="C303" s="15" t="s">
        <v>377</v>
      </c>
    </row>
    <row r="304" spans="1:3" s="6" customFormat="1" ht="57.6">
      <c r="A304" s="366"/>
      <c r="B304" s="357"/>
      <c r="C304" s="15" t="s">
        <v>378</v>
      </c>
    </row>
    <row r="305" spans="1:3" s="6" customFormat="1" ht="72">
      <c r="A305" s="366"/>
      <c r="B305" s="357"/>
      <c r="C305" s="15" t="s">
        <v>379</v>
      </c>
    </row>
    <row r="306" spans="1:3" s="6" customFormat="1" ht="57.6">
      <c r="A306" s="366"/>
      <c r="B306" s="357"/>
      <c r="C306" s="15" t="s">
        <v>380</v>
      </c>
    </row>
    <row r="307" spans="1:3" s="6" customFormat="1" ht="86.45">
      <c r="A307" s="366"/>
      <c r="B307" s="357"/>
      <c r="C307" s="15" t="s">
        <v>381</v>
      </c>
    </row>
    <row r="308" spans="1:3" s="6" customFormat="1" ht="57.6">
      <c r="A308" s="366"/>
      <c r="B308" s="357"/>
      <c r="C308" s="15" t="s">
        <v>382</v>
      </c>
    </row>
    <row r="309" spans="1:3" s="6" customFormat="1" ht="72">
      <c r="A309" s="366"/>
      <c r="B309" s="357"/>
      <c r="C309" s="15" t="s">
        <v>383</v>
      </c>
    </row>
    <row r="310" spans="1:3" s="6" customFormat="1" ht="57.6">
      <c r="A310" s="366"/>
      <c r="B310" s="357"/>
      <c r="C310" s="15" t="s">
        <v>384</v>
      </c>
    </row>
    <row r="311" spans="1:3" s="6" customFormat="1" ht="57.6">
      <c r="A311" s="366"/>
      <c r="B311" s="357"/>
      <c r="C311" s="15" t="s">
        <v>385</v>
      </c>
    </row>
    <row r="312" spans="1:3" s="6" customFormat="1" ht="57.6">
      <c r="A312" s="366"/>
      <c r="B312" s="357"/>
      <c r="C312" s="15" t="s">
        <v>386</v>
      </c>
    </row>
    <row r="313" spans="1:3" s="81" customFormat="1" ht="24.75" customHeight="1">
      <c r="A313" s="50"/>
      <c r="B313" s="146"/>
      <c r="C313" s="84"/>
    </row>
    <row r="314" spans="1:3" s="6" customFormat="1" ht="72">
      <c r="A314" s="366" t="str">
        <f>"US_" &amp; COUNTA($A$1:A313)</f>
        <v>US_29</v>
      </c>
      <c r="B314" s="356" t="s">
        <v>387</v>
      </c>
      <c r="C314" s="15" t="s">
        <v>388</v>
      </c>
    </row>
    <row r="315" spans="1:3" s="6" customFormat="1" ht="72">
      <c r="A315" s="366"/>
      <c r="B315" s="357"/>
      <c r="C315" s="15" t="s">
        <v>389</v>
      </c>
    </row>
    <row r="316" spans="1:3" s="6" customFormat="1" ht="72">
      <c r="A316" s="366"/>
      <c r="B316" s="357"/>
      <c r="C316" s="15" t="s">
        <v>390</v>
      </c>
    </row>
    <row r="317" spans="1:3" s="6" customFormat="1" ht="72">
      <c r="A317" s="366"/>
      <c r="B317" s="357"/>
      <c r="C317" s="15" t="s">
        <v>391</v>
      </c>
    </row>
    <row r="318" spans="1:3" s="6" customFormat="1" ht="72">
      <c r="A318" s="366"/>
      <c r="B318" s="357"/>
      <c r="C318" s="15" t="s">
        <v>392</v>
      </c>
    </row>
    <row r="319" spans="1:3" s="6" customFormat="1" ht="72">
      <c r="A319" s="366"/>
      <c r="B319" s="357"/>
      <c r="C319" s="15" t="s">
        <v>393</v>
      </c>
    </row>
    <row r="320" spans="1:3" s="6" customFormat="1" ht="57.6">
      <c r="A320" s="366"/>
      <c r="B320" s="357"/>
      <c r="C320" s="15" t="s">
        <v>394</v>
      </c>
    </row>
    <row r="321" spans="1:4" s="6" customFormat="1" ht="57.6">
      <c r="A321" s="366"/>
      <c r="B321" s="357"/>
      <c r="C321" s="15" t="s">
        <v>395</v>
      </c>
    </row>
    <row r="322" spans="1:4" s="6" customFormat="1" ht="72">
      <c r="A322" s="366"/>
      <c r="B322" s="357"/>
      <c r="C322" s="15" t="s">
        <v>396</v>
      </c>
    </row>
    <row r="323" spans="1:4" s="6" customFormat="1" ht="57.6">
      <c r="A323" s="366"/>
      <c r="B323" s="357"/>
      <c r="C323" s="15" t="s">
        <v>397</v>
      </c>
    </row>
    <row r="324" spans="1:4" s="81" customFormat="1" ht="29.25" customHeight="1">
      <c r="A324" s="146"/>
      <c r="B324" s="146"/>
      <c r="C324" s="84"/>
    </row>
    <row r="325" spans="1:4" s="6" customFormat="1" ht="72">
      <c r="A325" s="366" t="str">
        <f>"US_" &amp; COUNTA($A$1:A324)</f>
        <v>US_30</v>
      </c>
      <c r="B325" s="356" t="s">
        <v>398</v>
      </c>
      <c r="C325" s="15" t="s">
        <v>399</v>
      </c>
    </row>
    <row r="326" spans="1:4" s="6" customFormat="1" ht="100.9">
      <c r="A326" s="366"/>
      <c r="B326" s="357"/>
      <c r="C326" s="15" t="s">
        <v>400</v>
      </c>
    </row>
    <row r="327" spans="1:4" s="6" customFormat="1" ht="57.6">
      <c r="A327" s="366"/>
      <c r="B327" s="357"/>
      <c r="C327" s="15" t="s">
        <v>401</v>
      </c>
    </row>
    <row r="328" spans="1:4" s="6" customFormat="1" ht="57.6">
      <c r="A328" s="366"/>
      <c r="B328" s="357"/>
      <c r="C328" s="15" t="s">
        <v>402</v>
      </c>
    </row>
    <row r="329" spans="1:4" s="6" customFormat="1" ht="86.45">
      <c r="A329" s="366"/>
      <c r="B329" s="357"/>
      <c r="C329" s="15" t="s">
        <v>403</v>
      </c>
    </row>
    <row r="330" spans="1:4" s="6" customFormat="1" ht="72">
      <c r="A330" s="366"/>
      <c r="B330" s="357"/>
      <c r="C330" s="15" t="s">
        <v>404</v>
      </c>
    </row>
    <row r="331" spans="1:4" s="6" customFormat="1" ht="100.9">
      <c r="A331" s="366"/>
      <c r="B331" s="357"/>
      <c r="C331" s="15" t="s">
        <v>405</v>
      </c>
    </row>
    <row r="332" spans="1:4" s="6" customFormat="1" ht="57.6">
      <c r="A332" s="366"/>
      <c r="B332" s="357"/>
      <c r="C332" s="15" t="s">
        <v>406</v>
      </c>
    </row>
    <row r="333" spans="1:4" s="6" customFormat="1" ht="72">
      <c r="A333" s="366"/>
      <c r="B333" s="357"/>
      <c r="C333" s="15" t="s">
        <v>407</v>
      </c>
    </row>
    <row r="334" spans="1:4" s="9" customFormat="1" ht="57.6">
      <c r="A334" s="366"/>
      <c r="B334" s="357"/>
      <c r="C334" s="15" t="s">
        <v>408</v>
      </c>
    </row>
    <row r="335" spans="1:4" s="81" customFormat="1" ht="24" customHeight="1">
      <c r="A335" s="146"/>
      <c r="B335" s="146"/>
      <c r="C335" s="84"/>
    </row>
    <row r="336" spans="1:4" s="6" customFormat="1" ht="57.6">
      <c r="A336" s="366" t="str">
        <f>"US_" &amp; COUNTA($A$1:A335)</f>
        <v>US_31</v>
      </c>
      <c r="B336" s="356" t="s">
        <v>409</v>
      </c>
      <c r="C336" s="15" t="s">
        <v>410</v>
      </c>
      <c r="D336" s="1"/>
    </row>
    <row r="337" spans="1:4" s="6" customFormat="1" ht="100.9">
      <c r="A337" s="366"/>
      <c r="B337" s="357"/>
      <c r="C337" s="15" t="s">
        <v>411</v>
      </c>
    </row>
    <row r="338" spans="1:4" s="6" customFormat="1" ht="86.45">
      <c r="A338" s="366"/>
      <c r="B338" s="357"/>
      <c r="C338" s="15" t="s">
        <v>412</v>
      </c>
    </row>
    <row r="339" spans="1:4" s="6" customFormat="1" ht="72">
      <c r="A339" s="366"/>
      <c r="B339" s="357"/>
      <c r="C339" s="15" t="s">
        <v>413</v>
      </c>
    </row>
    <row r="340" spans="1:4" s="6" customFormat="1" ht="72">
      <c r="A340" s="366"/>
      <c r="B340" s="357"/>
      <c r="C340" s="15" t="s">
        <v>414</v>
      </c>
    </row>
    <row r="341" spans="1:4" s="6" customFormat="1" ht="72">
      <c r="A341" s="366"/>
      <c r="B341" s="357"/>
      <c r="C341" s="15" t="s">
        <v>415</v>
      </c>
    </row>
    <row r="342" spans="1:4" s="6" customFormat="1" ht="72">
      <c r="A342" s="366"/>
      <c r="B342" s="357"/>
      <c r="C342" s="15" t="s">
        <v>416</v>
      </c>
    </row>
    <row r="343" spans="1:4" s="6" customFormat="1" ht="86.45">
      <c r="A343" s="366"/>
      <c r="B343" s="357"/>
      <c r="C343" s="15" t="s">
        <v>417</v>
      </c>
    </row>
    <row r="344" spans="1:4" s="6" customFormat="1" ht="72">
      <c r="A344" s="366"/>
      <c r="B344" s="357"/>
      <c r="C344" s="15" t="s">
        <v>418</v>
      </c>
    </row>
    <row r="345" spans="1:4" s="6" customFormat="1" ht="72">
      <c r="A345" s="366"/>
      <c r="B345" s="357"/>
      <c r="C345" s="15" t="s">
        <v>419</v>
      </c>
    </row>
    <row r="346" spans="1:4" s="81" customFormat="1" ht="28.5" customHeight="1">
      <c r="A346" s="146"/>
      <c r="B346" s="146"/>
      <c r="C346" s="84"/>
    </row>
    <row r="347" spans="1:4" s="6" customFormat="1" ht="72">
      <c r="A347" s="366" t="str">
        <f>"US_" &amp; COUNTA($A$1:A346)</f>
        <v>US_32</v>
      </c>
      <c r="B347" s="356" t="s">
        <v>420</v>
      </c>
      <c r="C347" s="15" t="s">
        <v>421</v>
      </c>
      <c r="D347" s="1"/>
    </row>
    <row r="348" spans="1:4" s="6" customFormat="1" ht="100.9">
      <c r="A348" s="366"/>
      <c r="B348" s="357"/>
      <c r="C348" s="15" t="s">
        <v>422</v>
      </c>
    </row>
    <row r="349" spans="1:4" s="6" customFormat="1" ht="57.6">
      <c r="A349" s="366"/>
      <c r="B349" s="357"/>
      <c r="C349" s="15" t="s">
        <v>423</v>
      </c>
    </row>
    <row r="350" spans="1:4" s="6" customFormat="1" ht="57.6">
      <c r="A350" s="366"/>
      <c r="B350" s="357"/>
      <c r="C350" s="15" t="s">
        <v>424</v>
      </c>
    </row>
    <row r="351" spans="1:4" s="6" customFormat="1" ht="100.9">
      <c r="A351" s="366"/>
      <c r="B351" s="357"/>
      <c r="C351" s="15" t="s">
        <v>425</v>
      </c>
    </row>
    <row r="352" spans="1:4" s="6" customFormat="1" ht="86.45">
      <c r="A352" s="366"/>
      <c r="B352" s="357"/>
      <c r="C352" s="15" t="s">
        <v>426</v>
      </c>
    </row>
    <row r="353" spans="1:4" s="6" customFormat="1" ht="86.45">
      <c r="A353" s="366"/>
      <c r="B353" s="357"/>
      <c r="C353" s="15" t="s">
        <v>427</v>
      </c>
    </row>
    <row r="354" spans="1:4" s="6" customFormat="1" ht="72">
      <c r="A354" s="366"/>
      <c r="B354" s="357"/>
      <c r="C354" s="15" t="s">
        <v>428</v>
      </c>
    </row>
    <row r="355" spans="1:4" s="6" customFormat="1" ht="57.6">
      <c r="A355" s="366"/>
      <c r="B355" s="357"/>
      <c r="C355" s="15" t="s">
        <v>429</v>
      </c>
    </row>
    <row r="356" spans="1:4" s="81" customFormat="1" ht="26.25" customHeight="1">
      <c r="A356" s="146"/>
      <c r="B356" s="146"/>
      <c r="C356" s="84"/>
    </row>
    <row r="357" spans="1:4" s="6" customFormat="1" ht="72">
      <c r="A357" s="366" t="str">
        <f>"US_" &amp; COUNTA($A$1:A356)</f>
        <v>US_33</v>
      </c>
      <c r="B357" s="356" t="s">
        <v>430</v>
      </c>
      <c r="C357" s="15" t="s">
        <v>431</v>
      </c>
      <c r="D357" s="1"/>
    </row>
    <row r="358" spans="1:4" s="6" customFormat="1" ht="100.9">
      <c r="A358" s="366"/>
      <c r="B358" s="357"/>
      <c r="C358" s="15" t="s">
        <v>432</v>
      </c>
    </row>
    <row r="359" spans="1:4" s="6" customFormat="1" ht="57.6">
      <c r="A359" s="366"/>
      <c r="B359" s="357"/>
      <c r="C359" s="15" t="s">
        <v>433</v>
      </c>
    </row>
    <row r="360" spans="1:4" s="6" customFormat="1" ht="57.6">
      <c r="A360" s="366"/>
      <c r="B360" s="357"/>
      <c r="C360" s="15" t="s">
        <v>434</v>
      </c>
    </row>
    <row r="361" spans="1:4" s="6" customFormat="1" ht="86.45">
      <c r="A361" s="366"/>
      <c r="B361" s="357"/>
      <c r="C361" s="15" t="s">
        <v>435</v>
      </c>
    </row>
    <row r="362" spans="1:4" s="6" customFormat="1" ht="86.45">
      <c r="A362" s="366"/>
      <c r="B362" s="357"/>
      <c r="C362" s="15" t="s">
        <v>436</v>
      </c>
    </row>
    <row r="363" spans="1:4" s="6" customFormat="1" ht="86.45">
      <c r="A363" s="366"/>
      <c r="B363" s="357"/>
      <c r="C363" s="15" t="s">
        <v>437</v>
      </c>
    </row>
    <row r="364" spans="1:4" s="6" customFormat="1" ht="72">
      <c r="A364" s="366"/>
      <c r="B364" s="357"/>
      <c r="C364" s="15" t="s">
        <v>438</v>
      </c>
    </row>
    <row r="365" spans="1:4" s="6" customFormat="1" ht="57.6">
      <c r="A365" s="366"/>
      <c r="B365" s="357"/>
      <c r="C365" s="15" t="s">
        <v>439</v>
      </c>
    </row>
    <row r="366" spans="1:4" s="81" customFormat="1" ht="24" customHeight="1">
      <c r="A366" s="146"/>
      <c r="B366" s="146"/>
      <c r="C366" s="84"/>
    </row>
    <row r="367" spans="1:4" s="6" customFormat="1" ht="57.6">
      <c r="A367" s="366" t="str">
        <f>"US_" &amp; COUNTA($A$1:A366)</f>
        <v>US_34</v>
      </c>
      <c r="B367" s="356" t="s">
        <v>440</v>
      </c>
      <c r="C367" s="15" t="s">
        <v>441</v>
      </c>
      <c r="D367" s="1"/>
    </row>
    <row r="368" spans="1:4" s="6" customFormat="1" ht="86.45">
      <c r="A368" s="366"/>
      <c r="B368" s="357"/>
      <c r="C368" s="15" t="s">
        <v>442</v>
      </c>
    </row>
    <row r="369" spans="1:3" s="6" customFormat="1" ht="72">
      <c r="A369" s="366"/>
      <c r="B369" s="357"/>
      <c r="C369" s="15" t="s">
        <v>443</v>
      </c>
    </row>
    <row r="370" spans="1:3" s="6" customFormat="1" ht="57.6">
      <c r="A370" s="366"/>
      <c r="B370" s="357"/>
      <c r="C370" s="15" t="s">
        <v>444</v>
      </c>
    </row>
    <row r="371" spans="1:3" s="6" customFormat="1" ht="57.6">
      <c r="A371" s="366"/>
      <c r="B371" s="357"/>
      <c r="C371" s="15" t="s">
        <v>445</v>
      </c>
    </row>
    <row r="372" spans="1:3" s="6" customFormat="1" ht="72">
      <c r="A372" s="366"/>
      <c r="B372" s="357"/>
      <c r="C372" s="15" t="s">
        <v>446</v>
      </c>
    </row>
    <row r="373" spans="1:3" s="6" customFormat="1" ht="100.9">
      <c r="A373" s="366"/>
      <c r="B373" s="357"/>
      <c r="C373" s="15" t="s">
        <v>447</v>
      </c>
    </row>
    <row r="374" spans="1:3" s="6" customFormat="1" ht="57.6">
      <c r="A374" s="366"/>
      <c r="B374" s="357"/>
      <c r="C374" s="15" t="s">
        <v>448</v>
      </c>
    </row>
    <row r="375" spans="1:3" s="6" customFormat="1" ht="86.45">
      <c r="A375" s="366"/>
      <c r="B375" s="357"/>
      <c r="C375" s="15" t="s">
        <v>449</v>
      </c>
    </row>
    <row r="376" spans="1:3" s="6" customFormat="1" ht="72">
      <c r="A376" s="366"/>
      <c r="B376" s="357"/>
      <c r="C376" s="15" t="s">
        <v>450</v>
      </c>
    </row>
    <row r="377" spans="1:3" s="6" customFormat="1" ht="86.45">
      <c r="A377" s="366"/>
      <c r="B377" s="357"/>
      <c r="C377" s="15" t="s">
        <v>451</v>
      </c>
    </row>
    <row r="378" spans="1:3" s="6" customFormat="1" ht="72">
      <c r="A378" s="366"/>
      <c r="B378" s="357"/>
      <c r="C378" s="15" t="s">
        <v>452</v>
      </c>
    </row>
    <row r="379" spans="1:3" s="6" customFormat="1" ht="57.6">
      <c r="A379" s="366"/>
      <c r="B379" s="357"/>
      <c r="C379" s="15" t="s">
        <v>453</v>
      </c>
    </row>
    <row r="380" spans="1:3" s="6" customFormat="1">
      <c r="A380" s="49"/>
      <c r="B380" s="129"/>
      <c r="C380" s="15"/>
    </row>
    <row r="381" spans="1:3" s="55" customFormat="1" ht="34.5" customHeight="1">
      <c r="A381" s="53"/>
      <c r="B381" s="74"/>
      <c r="C381" s="151"/>
    </row>
    <row r="382" spans="1:3" s="6" customFormat="1">
      <c r="A382" s="49"/>
      <c r="B382" s="129"/>
      <c r="C382" s="15"/>
    </row>
    <row r="383" spans="1:3" ht="201.6">
      <c r="A383" s="341" t="str">
        <f>"US_" &amp; COUNTA($A$1:A382)</f>
        <v>US_35</v>
      </c>
      <c r="B383" s="358" t="s">
        <v>454</v>
      </c>
      <c r="C383" s="15" t="s">
        <v>455</v>
      </c>
    </row>
    <row r="384" spans="1:3" ht="144">
      <c r="A384" s="341"/>
      <c r="B384" s="358"/>
      <c r="C384" s="15" t="s">
        <v>456</v>
      </c>
    </row>
    <row r="385" spans="1:3" ht="100.9">
      <c r="A385" s="341"/>
      <c r="B385" s="358"/>
      <c r="C385" s="15" t="s">
        <v>457</v>
      </c>
    </row>
    <row r="386" spans="1:3" ht="86.45">
      <c r="A386" s="341"/>
      <c r="B386" s="358"/>
      <c r="C386" s="15" t="s">
        <v>458</v>
      </c>
    </row>
    <row r="387" spans="1:3" ht="100.9">
      <c r="A387" s="341"/>
      <c r="B387" s="358"/>
      <c r="C387" s="15" t="s">
        <v>459</v>
      </c>
    </row>
    <row r="388" spans="1:3" ht="115.15">
      <c r="A388" s="341"/>
      <c r="B388" s="358"/>
      <c r="C388" s="15" t="s">
        <v>460</v>
      </c>
    </row>
    <row r="389" spans="1:3" ht="115.15">
      <c r="A389" s="341"/>
      <c r="B389" s="358"/>
      <c r="C389" s="15" t="s">
        <v>461</v>
      </c>
    </row>
    <row r="390" spans="1:3" ht="100.9">
      <c r="A390" s="341"/>
      <c r="B390" s="358"/>
      <c r="C390" s="15" t="s">
        <v>462</v>
      </c>
    </row>
    <row r="391" spans="1:3" ht="86.45">
      <c r="A391" s="341"/>
      <c r="B391" s="358"/>
      <c r="C391" s="15" t="s">
        <v>463</v>
      </c>
    </row>
    <row r="392" spans="1:3" ht="86.45">
      <c r="A392" s="341"/>
      <c r="B392" s="358"/>
      <c r="C392" s="15" t="s">
        <v>464</v>
      </c>
    </row>
    <row r="393" spans="1:3" ht="100.9">
      <c r="A393" s="341"/>
      <c r="B393" s="358"/>
      <c r="C393" s="15" t="s">
        <v>465</v>
      </c>
    </row>
    <row r="394" spans="1:3" ht="86.45">
      <c r="A394" s="341"/>
      <c r="B394" s="358"/>
      <c r="C394" s="15" t="s">
        <v>466</v>
      </c>
    </row>
    <row r="395" spans="1:3" ht="86.45">
      <c r="A395" s="341"/>
      <c r="B395" s="358"/>
      <c r="C395" s="15" t="s">
        <v>467</v>
      </c>
    </row>
    <row r="396" spans="1:3" ht="86.45">
      <c r="A396" s="341"/>
      <c r="B396" s="358"/>
      <c r="C396" s="15" t="s">
        <v>468</v>
      </c>
    </row>
    <row r="397" spans="1:3" ht="72">
      <c r="A397" s="341"/>
      <c r="B397" s="358"/>
      <c r="C397" s="15" t="s">
        <v>469</v>
      </c>
    </row>
    <row r="398" spans="1:3" ht="86.45">
      <c r="A398" s="341"/>
      <c r="B398" s="358"/>
      <c r="C398" s="15" t="s">
        <v>470</v>
      </c>
    </row>
    <row r="399" spans="1:3" s="45" customFormat="1">
      <c r="A399" s="50"/>
      <c r="B399" s="47"/>
      <c r="C399" s="84"/>
    </row>
    <row r="400" spans="1:3" ht="86.45">
      <c r="A400" s="341" t="str">
        <f>"US_" &amp; COUNTA($A$1:A399)</f>
        <v>US_36</v>
      </c>
      <c r="B400" s="358" t="s">
        <v>471</v>
      </c>
      <c r="C400" s="15" t="s">
        <v>472</v>
      </c>
    </row>
    <row r="401" spans="1:3" ht="172.9">
      <c r="A401" s="341"/>
      <c r="B401" s="358"/>
      <c r="C401" s="15" t="s">
        <v>473</v>
      </c>
    </row>
    <row r="402" spans="1:3" ht="100.9">
      <c r="A402" s="341"/>
      <c r="B402" s="358"/>
      <c r="C402" s="15" t="s">
        <v>474</v>
      </c>
    </row>
    <row r="403" spans="1:3" ht="187.15">
      <c r="A403" s="341"/>
      <c r="B403" s="358"/>
      <c r="C403" s="15" t="s">
        <v>475</v>
      </c>
    </row>
    <row r="404" spans="1:3" ht="86.45">
      <c r="A404" s="341"/>
      <c r="B404" s="358"/>
      <c r="C404" s="15" t="s">
        <v>476</v>
      </c>
    </row>
    <row r="405" spans="1:3" ht="86.45">
      <c r="A405" s="341"/>
      <c r="B405" s="358"/>
      <c r="C405" s="15" t="s">
        <v>477</v>
      </c>
    </row>
    <row r="406" spans="1:3" ht="100.9">
      <c r="A406" s="341"/>
      <c r="B406" s="358"/>
      <c r="C406" s="15" t="s">
        <v>478</v>
      </c>
    </row>
    <row r="407" spans="1:3" ht="86.45">
      <c r="A407" s="341"/>
      <c r="B407" s="358"/>
      <c r="C407" s="15" t="s">
        <v>479</v>
      </c>
    </row>
    <row r="408" spans="1:3" ht="72">
      <c r="A408" s="341"/>
      <c r="B408" s="358"/>
      <c r="C408" s="15" t="s">
        <v>480</v>
      </c>
    </row>
    <row r="409" spans="1:3" ht="86.45">
      <c r="A409" s="341"/>
      <c r="B409" s="358"/>
      <c r="C409" s="15" t="s">
        <v>481</v>
      </c>
    </row>
    <row r="410" spans="1:3" ht="100.9">
      <c r="A410" s="341"/>
      <c r="B410" s="358"/>
      <c r="C410" s="15" t="s">
        <v>482</v>
      </c>
    </row>
    <row r="411" spans="1:3" ht="86.45">
      <c r="A411" s="341"/>
      <c r="B411" s="358"/>
      <c r="C411" s="15" t="s">
        <v>483</v>
      </c>
    </row>
    <row r="412" spans="1:3" ht="72">
      <c r="A412" s="341"/>
      <c r="B412" s="358"/>
      <c r="C412" s="15" t="s">
        <v>484</v>
      </c>
    </row>
    <row r="413" spans="1:3" ht="72">
      <c r="A413" s="341"/>
      <c r="B413" s="358"/>
      <c r="C413" s="15" t="s">
        <v>485</v>
      </c>
    </row>
    <row r="414" spans="1:3" ht="86.45">
      <c r="A414" s="341"/>
      <c r="B414" s="358"/>
      <c r="C414" s="15" t="s">
        <v>486</v>
      </c>
    </row>
    <row r="415" spans="1:3" ht="86.45">
      <c r="A415" s="341"/>
      <c r="B415" s="358"/>
      <c r="C415" s="15" t="s">
        <v>487</v>
      </c>
    </row>
    <row r="416" spans="1:3" ht="86.45">
      <c r="A416" s="341"/>
      <c r="B416" s="358"/>
      <c r="C416" s="15" t="s">
        <v>488</v>
      </c>
    </row>
    <row r="417" spans="1:3" ht="86.45">
      <c r="A417" s="341"/>
      <c r="B417" s="358"/>
      <c r="C417" s="15" t="s">
        <v>489</v>
      </c>
    </row>
    <row r="418" spans="1:3" s="45" customFormat="1">
      <c r="A418" s="50"/>
      <c r="B418" s="50"/>
      <c r="C418" s="84"/>
    </row>
    <row r="419" spans="1:3" ht="201.6">
      <c r="A419" s="341" t="str">
        <f>"US_" &amp; COUNTA($A$1:A418)</f>
        <v>US_37</v>
      </c>
      <c r="B419" s="358" t="s">
        <v>490</v>
      </c>
      <c r="C419" s="15" t="s">
        <v>491</v>
      </c>
    </row>
    <row r="420" spans="1:3" ht="158.44999999999999">
      <c r="A420" s="341"/>
      <c r="B420" s="358"/>
      <c r="C420" s="15" t="s">
        <v>492</v>
      </c>
    </row>
    <row r="421" spans="1:3" ht="144">
      <c r="A421" s="341"/>
      <c r="B421" s="358"/>
      <c r="C421" s="15" t="s">
        <v>493</v>
      </c>
    </row>
    <row r="422" spans="1:3" ht="100.9">
      <c r="A422" s="341"/>
      <c r="B422" s="358"/>
      <c r="C422" s="15" t="s">
        <v>494</v>
      </c>
    </row>
    <row r="423" spans="1:3" ht="72">
      <c r="A423" s="341"/>
      <c r="B423" s="358"/>
      <c r="C423" s="15" t="s">
        <v>495</v>
      </c>
    </row>
    <row r="424" spans="1:3" ht="72">
      <c r="A424" s="341"/>
      <c r="B424" s="358"/>
      <c r="C424" s="15" t="s">
        <v>496</v>
      </c>
    </row>
    <row r="425" spans="1:3" ht="86.45">
      <c r="A425" s="341"/>
      <c r="B425" s="358"/>
      <c r="C425" s="15" t="s">
        <v>497</v>
      </c>
    </row>
    <row r="426" spans="1:3" ht="115.15">
      <c r="A426" s="341"/>
      <c r="B426" s="358"/>
      <c r="C426" s="15" t="s">
        <v>498</v>
      </c>
    </row>
    <row r="427" spans="1:3" ht="158.44999999999999">
      <c r="A427" s="341"/>
      <c r="B427" s="358"/>
      <c r="C427" s="15" t="s">
        <v>499</v>
      </c>
    </row>
    <row r="428" spans="1:3" ht="72">
      <c r="A428" s="341"/>
      <c r="B428" s="358"/>
      <c r="C428" s="15" t="s">
        <v>500</v>
      </c>
    </row>
    <row r="429" spans="1:3" ht="72">
      <c r="A429" s="341"/>
      <c r="B429" s="358"/>
      <c r="C429" s="15" t="s">
        <v>501</v>
      </c>
    </row>
    <row r="430" spans="1:3" ht="100.9">
      <c r="A430" s="341"/>
      <c r="B430" s="358"/>
      <c r="C430" s="15" t="s">
        <v>502</v>
      </c>
    </row>
    <row r="431" spans="1:3" ht="86.45">
      <c r="A431" s="341"/>
      <c r="B431" s="358"/>
      <c r="C431" s="15" t="s">
        <v>503</v>
      </c>
    </row>
    <row r="432" spans="1:3" ht="172.9">
      <c r="A432" s="341"/>
      <c r="B432" s="358"/>
      <c r="C432" s="15" t="s">
        <v>504</v>
      </c>
    </row>
    <row r="433" spans="1:3" ht="115.15">
      <c r="A433" s="341"/>
      <c r="B433" s="358"/>
      <c r="C433" s="15" t="s">
        <v>505</v>
      </c>
    </row>
    <row r="434" spans="1:3" ht="100.9">
      <c r="A434" s="341"/>
      <c r="B434" s="358"/>
      <c r="C434" s="15" t="s">
        <v>506</v>
      </c>
    </row>
    <row r="435" spans="1:3" ht="86.45">
      <c r="A435" s="341"/>
      <c r="B435" s="358"/>
      <c r="C435" s="15" t="s">
        <v>507</v>
      </c>
    </row>
    <row r="436" spans="1:3" ht="72">
      <c r="A436" s="341"/>
      <c r="B436" s="358"/>
      <c r="C436" s="15" t="s">
        <v>508</v>
      </c>
    </row>
    <row r="437" spans="1:3" s="45" customFormat="1">
      <c r="A437" s="50"/>
      <c r="B437" s="50"/>
      <c r="C437" s="84"/>
    </row>
    <row r="438" spans="1:3" ht="172.9">
      <c r="A438" s="341" t="str">
        <f>"US_" &amp; COUNTA($A$1:A437)</f>
        <v>US_38</v>
      </c>
      <c r="B438" s="358" t="s">
        <v>509</v>
      </c>
      <c r="C438" s="15" t="s">
        <v>510</v>
      </c>
    </row>
    <row r="439" spans="1:3" ht="100.9">
      <c r="A439" s="341"/>
      <c r="B439" s="358"/>
      <c r="C439" s="15" t="s">
        <v>511</v>
      </c>
    </row>
    <row r="440" spans="1:3" ht="172.9">
      <c r="A440" s="341"/>
      <c r="B440" s="358"/>
      <c r="C440" s="15" t="s">
        <v>512</v>
      </c>
    </row>
    <row r="441" spans="1:3" ht="100.9">
      <c r="A441" s="341"/>
      <c r="B441" s="358"/>
      <c r="C441" s="15" t="s">
        <v>513</v>
      </c>
    </row>
    <row r="442" spans="1:3" ht="72">
      <c r="A442" s="341"/>
      <c r="B442" s="358"/>
      <c r="C442" s="15" t="s">
        <v>514</v>
      </c>
    </row>
    <row r="443" spans="1:3" ht="100.9">
      <c r="A443" s="341"/>
      <c r="B443" s="358"/>
      <c r="C443" s="15" t="s">
        <v>515</v>
      </c>
    </row>
    <row r="444" spans="1:3" ht="100.9">
      <c r="A444" s="341"/>
      <c r="B444" s="358"/>
      <c r="C444" s="15" t="s">
        <v>516</v>
      </c>
    </row>
    <row r="445" spans="1:3" ht="158.44999999999999">
      <c r="A445" s="341"/>
      <c r="B445" s="358"/>
      <c r="C445" s="15" t="s">
        <v>517</v>
      </c>
    </row>
    <row r="446" spans="1:3" ht="86.45">
      <c r="A446" s="341"/>
      <c r="B446" s="358"/>
      <c r="C446" s="15" t="s">
        <v>518</v>
      </c>
    </row>
    <row r="447" spans="1:3" ht="100.9">
      <c r="A447" s="341"/>
      <c r="B447" s="358"/>
      <c r="C447" s="15" t="s">
        <v>519</v>
      </c>
    </row>
    <row r="448" spans="1:3" ht="86.45">
      <c r="A448" s="341"/>
      <c r="B448" s="358"/>
      <c r="C448" s="15" t="s">
        <v>520</v>
      </c>
    </row>
    <row r="449" spans="1:3" ht="100.9">
      <c r="A449" s="341"/>
      <c r="B449" s="358"/>
      <c r="C449" s="15" t="s">
        <v>521</v>
      </c>
    </row>
    <row r="450" spans="1:3" ht="72">
      <c r="A450" s="341"/>
      <c r="B450" s="358"/>
      <c r="C450" s="15" t="s">
        <v>522</v>
      </c>
    </row>
    <row r="451" spans="1:3" ht="72">
      <c r="A451" s="341"/>
      <c r="B451" s="358"/>
      <c r="C451" s="15" t="s">
        <v>523</v>
      </c>
    </row>
    <row r="452" spans="1:3" ht="86.45">
      <c r="A452" s="341"/>
      <c r="B452" s="358"/>
      <c r="C452" s="15" t="s">
        <v>524</v>
      </c>
    </row>
    <row r="453" spans="1:3" ht="86.45">
      <c r="A453" s="341"/>
      <c r="B453" s="358"/>
      <c r="C453" s="15" t="s">
        <v>525</v>
      </c>
    </row>
    <row r="454" spans="1:3" ht="86.45">
      <c r="A454" s="341"/>
      <c r="B454" s="358"/>
      <c r="C454" s="15" t="s">
        <v>526</v>
      </c>
    </row>
    <row r="455" spans="1:3" ht="86.45">
      <c r="A455" s="341"/>
      <c r="B455" s="358"/>
      <c r="C455" s="15" t="s">
        <v>527</v>
      </c>
    </row>
    <row r="456" spans="1:3" ht="72">
      <c r="A456" s="341"/>
      <c r="B456" s="358"/>
      <c r="C456" s="15" t="s">
        <v>528</v>
      </c>
    </row>
    <row r="457" spans="1:3" ht="72">
      <c r="A457" s="341"/>
      <c r="B457" s="358"/>
      <c r="C457" s="15" t="s">
        <v>529</v>
      </c>
    </row>
    <row r="458" spans="1:3" s="45" customFormat="1">
      <c r="A458" s="50"/>
      <c r="B458" s="50"/>
      <c r="C458" s="84"/>
    </row>
    <row r="459" spans="1:3" ht="86.45">
      <c r="A459" s="341" t="str">
        <f>"US_" &amp; COUNTA($A$1:A458)</f>
        <v>US_39</v>
      </c>
      <c r="B459" s="358" t="s">
        <v>530</v>
      </c>
      <c r="C459" s="15" t="s">
        <v>531</v>
      </c>
    </row>
    <row r="460" spans="1:3" ht="187.15">
      <c r="A460" s="341"/>
      <c r="B460" s="358"/>
      <c r="C460" s="15" t="s">
        <v>532</v>
      </c>
    </row>
    <row r="461" spans="1:3" ht="86.45">
      <c r="A461" s="341"/>
      <c r="B461" s="358"/>
      <c r="C461" s="15" t="s">
        <v>533</v>
      </c>
    </row>
    <row r="462" spans="1:3" ht="100.9">
      <c r="A462" s="341"/>
      <c r="B462" s="358"/>
      <c r="C462" s="15" t="s">
        <v>534</v>
      </c>
    </row>
    <row r="463" spans="1:3" ht="100.9">
      <c r="A463" s="341"/>
      <c r="B463" s="358"/>
      <c r="C463" s="15" t="s">
        <v>535</v>
      </c>
    </row>
    <row r="464" spans="1:3" ht="144">
      <c r="A464" s="341"/>
      <c r="B464" s="358"/>
      <c r="C464" s="15" t="s">
        <v>536</v>
      </c>
    </row>
    <row r="465" spans="1:3" ht="86.45">
      <c r="A465" s="341"/>
      <c r="B465" s="358"/>
      <c r="C465" s="15" t="s">
        <v>537</v>
      </c>
    </row>
    <row r="466" spans="1:3" ht="100.9">
      <c r="A466" s="341"/>
      <c r="B466" s="358"/>
      <c r="C466" s="15" t="s">
        <v>538</v>
      </c>
    </row>
    <row r="467" spans="1:3" ht="86.45">
      <c r="A467" s="341"/>
      <c r="B467" s="358"/>
      <c r="C467" s="15" t="s">
        <v>539</v>
      </c>
    </row>
    <row r="468" spans="1:3" ht="115.15">
      <c r="A468" s="341"/>
      <c r="B468" s="358"/>
      <c r="C468" s="15" t="s">
        <v>540</v>
      </c>
    </row>
    <row r="469" spans="1:3" ht="86.45">
      <c r="A469" s="341"/>
      <c r="B469" s="358"/>
      <c r="C469" s="15" t="s">
        <v>541</v>
      </c>
    </row>
    <row r="470" spans="1:3" ht="129.6">
      <c r="A470" s="341"/>
      <c r="B470" s="358"/>
      <c r="C470" s="15" t="s">
        <v>542</v>
      </c>
    </row>
    <row r="471" spans="1:3" ht="86.45">
      <c r="A471" s="341"/>
      <c r="B471" s="358"/>
      <c r="C471" s="15" t="s">
        <v>543</v>
      </c>
    </row>
    <row r="472" spans="1:3" ht="129.6">
      <c r="A472" s="341"/>
      <c r="B472" s="358"/>
      <c r="C472" s="15" t="s">
        <v>544</v>
      </c>
    </row>
    <row r="473" spans="1:3" ht="86.45">
      <c r="A473" s="341"/>
      <c r="B473" s="358"/>
      <c r="C473" s="15" t="s">
        <v>545</v>
      </c>
    </row>
    <row r="474" spans="1:3" ht="86.45">
      <c r="A474" s="341"/>
      <c r="B474" s="358"/>
      <c r="C474" s="15" t="s">
        <v>546</v>
      </c>
    </row>
    <row r="475" spans="1:3" ht="86.45">
      <c r="A475" s="341"/>
      <c r="B475" s="358"/>
      <c r="C475" s="15" t="s">
        <v>547</v>
      </c>
    </row>
    <row r="476" spans="1:3" ht="72">
      <c r="A476" s="341"/>
      <c r="B476" s="358"/>
      <c r="C476" s="15" t="s">
        <v>548</v>
      </c>
    </row>
    <row r="477" spans="1:3" s="45" customFormat="1" ht="14.45" customHeight="1">
      <c r="A477" s="50"/>
      <c r="B477" s="50"/>
      <c r="C477" s="84"/>
    </row>
    <row r="478" spans="1:3" ht="72">
      <c r="A478" s="341" t="str">
        <f>"US_" &amp; COUNTA($A$1:A477)</f>
        <v>US_40</v>
      </c>
      <c r="B478" s="358" t="s">
        <v>549</v>
      </c>
      <c r="C478" s="15" t="s">
        <v>550</v>
      </c>
    </row>
    <row r="479" spans="1:3" ht="72">
      <c r="A479" s="341"/>
      <c r="B479" s="362"/>
      <c r="C479" s="15" t="s">
        <v>551</v>
      </c>
    </row>
    <row r="480" spans="1:3" ht="72">
      <c r="A480" s="341"/>
      <c r="B480" s="362"/>
      <c r="C480" s="15" t="s">
        <v>552</v>
      </c>
    </row>
    <row r="481" spans="1:3" ht="57.6">
      <c r="A481" s="341"/>
      <c r="B481" s="362"/>
      <c r="C481" s="15" t="s">
        <v>553</v>
      </c>
    </row>
    <row r="482" spans="1:3" ht="72">
      <c r="A482" s="341"/>
      <c r="B482" s="362"/>
      <c r="C482" s="15" t="s">
        <v>554</v>
      </c>
    </row>
    <row r="483" spans="1:3" ht="57.6">
      <c r="A483" s="341"/>
      <c r="B483" s="362"/>
      <c r="C483" s="15" t="s">
        <v>555</v>
      </c>
    </row>
    <row r="484" spans="1:3" ht="57.6">
      <c r="A484" s="341"/>
      <c r="B484" s="362"/>
      <c r="C484" s="15" t="s">
        <v>556</v>
      </c>
    </row>
    <row r="485" spans="1:3" ht="57.6">
      <c r="A485" s="341"/>
      <c r="B485" s="362"/>
      <c r="C485" s="15" t="s">
        <v>557</v>
      </c>
    </row>
    <row r="486" spans="1:3" ht="57.6">
      <c r="A486" s="341"/>
      <c r="B486" s="362"/>
      <c r="C486" s="15" t="s">
        <v>558</v>
      </c>
    </row>
    <row r="487" spans="1:3" ht="57.6">
      <c r="A487" s="341"/>
      <c r="B487" s="362"/>
      <c r="C487" s="15" t="s">
        <v>559</v>
      </c>
    </row>
    <row r="488" spans="1:3" ht="57.6">
      <c r="A488" s="341"/>
      <c r="B488" s="362"/>
      <c r="C488" s="15" t="s">
        <v>560</v>
      </c>
    </row>
    <row r="489" spans="1:3" ht="57.6">
      <c r="A489" s="341"/>
      <c r="B489" s="362"/>
      <c r="C489" s="15" t="s">
        <v>561</v>
      </c>
    </row>
    <row r="490" spans="1:3" ht="72">
      <c r="A490" s="341"/>
      <c r="B490" s="362"/>
      <c r="C490" s="15" t="s">
        <v>562</v>
      </c>
    </row>
    <row r="491" spans="1:3" ht="57.6">
      <c r="A491" s="341"/>
      <c r="B491" s="362"/>
      <c r="C491" s="15" t="s">
        <v>563</v>
      </c>
    </row>
    <row r="492" spans="1:3" s="61" customFormat="1">
      <c r="A492" s="60"/>
      <c r="B492" s="60"/>
      <c r="C492" s="150"/>
    </row>
    <row r="493" spans="1:3" ht="106.9" customHeight="1">
      <c r="A493" s="341" t="str">
        <f>"US_" &amp; COUNTA($A$1:A492)</f>
        <v>US_41</v>
      </c>
      <c r="B493" s="358" t="s">
        <v>564</v>
      </c>
      <c r="C493" s="15" t="s">
        <v>565</v>
      </c>
    </row>
    <row r="494" spans="1:3" ht="72">
      <c r="A494" s="341"/>
      <c r="B494" s="363"/>
      <c r="C494" s="15" t="s">
        <v>566</v>
      </c>
    </row>
    <row r="495" spans="1:3" ht="72">
      <c r="A495" s="341"/>
      <c r="B495" s="363"/>
      <c r="C495" s="15" t="s">
        <v>567</v>
      </c>
    </row>
    <row r="496" spans="1:3" ht="57.6">
      <c r="A496" s="341"/>
      <c r="B496" s="363"/>
      <c r="C496" s="15" t="s">
        <v>568</v>
      </c>
    </row>
    <row r="497" spans="1:3" ht="57.6">
      <c r="A497" s="341"/>
      <c r="B497" s="363"/>
      <c r="C497" s="15" t="s">
        <v>569</v>
      </c>
    </row>
    <row r="498" spans="1:3" ht="57.6">
      <c r="A498" s="341"/>
      <c r="B498" s="363"/>
      <c r="C498" s="15" t="s">
        <v>570</v>
      </c>
    </row>
    <row r="499" spans="1:3" ht="57.6">
      <c r="A499" s="341"/>
      <c r="B499" s="363"/>
      <c r="C499" s="15" t="s">
        <v>571</v>
      </c>
    </row>
    <row r="500" spans="1:3" ht="72">
      <c r="A500" s="341"/>
      <c r="B500" s="363"/>
      <c r="C500" s="15" t="s">
        <v>572</v>
      </c>
    </row>
    <row r="501" spans="1:3" ht="57.6">
      <c r="A501" s="341"/>
      <c r="B501" s="363"/>
      <c r="C501" s="15" t="s">
        <v>573</v>
      </c>
    </row>
    <row r="502" spans="1:3" ht="57.6">
      <c r="A502" s="341"/>
      <c r="B502" s="363"/>
      <c r="C502" s="15" t="s">
        <v>574</v>
      </c>
    </row>
    <row r="503" spans="1:3" ht="57.6">
      <c r="A503" s="341"/>
      <c r="B503" s="363"/>
      <c r="C503" s="15" t="s">
        <v>575</v>
      </c>
    </row>
    <row r="504" spans="1:3" ht="57.6">
      <c r="A504" s="341"/>
      <c r="B504" s="363"/>
      <c r="C504" s="15" t="s">
        <v>576</v>
      </c>
    </row>
    <row r="505" spans="1:3" ht="57.6">
      <c r="A505" s="341"/>
      <c r="B505" s="363"/>
      <c r="C505" s="15" t="s">
        <v>577</v>
      </c>
    </row>
    <row r="506" spans="1:3" ht="72">
      <c r="A506" s="341"/>
      <c r="B506" s="363"/>
      <c r="C506" s="15" t="s">
        <v>578</v>
      </c>
    </row>
    <row r="507" spans="1:3" s="45" customFormat="1">
      <c r="A507" s="44"/>
      <c r="B507" s="44"/>
      <c r="C507" s="84"/>
    </row>
    <row r="508" spans="1:3" ht="57.6">
      <c r="A508" s="341" t="str">
        <f>"US_" &amp; COUNTA($A$1:A507)</f>
        <v>US_42</v>
      </c>
      <c r="B508" s="358" t="s">
        <v>579</v>
      </c>
      <c r="C508" s="15" t="s">
        <v>580</v>
      </c>
    </row>
    <row r="509" spans="1:3" ht="57.6">
      <c r="A509" s="341"/>
      <c r="B509" s="363"/>
      <c r="C509" s="15" t="s">
        <v>581</v>
      </c>
    </row>
    <row r="510" spans="1:3" ht="72">
      <c r="A510" s="341"/>
      <c r="B510" s="363"/>
      <c r="C510" s="15" t="s">
        <v>582</v>
      </c>
    </row>
    <row r="511" spans="1:3" ht="72">
      <c r="A511" s="341"/>
      <c r="B511" s="363"/>
      <c r="C511" s="15" t="s">
        <v>583</v>
      </c>
    </row>
    <row r="512" spans="1:3" ht="57.6">
      <c r="A512" s="341"/>
      <c r="B512" s="363"/>
      <c r="C512" s="15" t="s">
        <v>584</v>
      </c>
    </row>
    <row r="513" spans="1:3" ht="57.6">
      <c r="A513" s="341"/>
      <c r="B513" s="363"/>
      <c r="C513" s="15" t="s">
        <v>585</v>
      </c>
    </row>
    <row r="514" spans="1:3" ht="57.6">
      <c r="A514" s="341"/>
      <c r="B514" s="363"/>
      <c r="C514" s="15" t="s">
        <v>586</v>
      </c>
    </row>
    <row r="515" spans="1:3" ht="57.6">
      <c r="A515" s="341"/>
      <c r="B515" s="363"/>
      <c r="C515" s="15" t="s">
        <v>587</v>
      </c>
    </row>
    <row r="516" spans="1:3" ht="57.6">
      <c r="A516" s="341"/>
      <c r="B516" s="363"/>
      <c r="C516" s="15" t="s">
        <v>588</v>
      </c>
    </row>
    <row r="517" spans="1:3" ht="57.6">
      <c r="A517" s="341"/>
      <c r="B517" s="363"/>
      <c r="C517" s="15" t="s">
        <v>589</v>
      </c>
    </row>
    <row r="518" spans="1:3" ht="57.6">
      <c r="A518" s="341"/>
      <c r="B518" s="363"/>
      <c r="C518" s="15" t="s">
        <v>590</v>
      </c>
    </row>
    <row r="519" spans="1:3" ht="57.6">
      <c r="A519" s="341"/>
      <c r="B519" s="363"/>
      <c r="C519" s="15" t="s">
        <v>591</v>
      </c>
    </row>
    <row r="520" spans="1:3" ht="57.6">
      <c r="A520" s="341"/>
      <c r="B520" s="363"/>
      <c r="C520" s="15" t="s">
        <v>592</v>
      </c>
    </row>
    <row r="521" spans="1:3" ht="57.6">
      <c r="A521" s="341"/>
      <c r="B521" s="363"/>
      <c r="C521" s="15" t="s">
        <v>593</v>
      </c>
    </row>
    <row r="522" spans="1:3" ht="72">
      <c r="A522" s="341"/>
      <c r="B522" s="363"/>
      <c r="C522" s="15" t="s">
        <v>594</v>
      </c>
    </row>
    <row r="523" spans="1:3" s="45" customFormat="1">
      <c r="A523" s="44"/>
      <c r="B523" s="44"/>
      <c r="C523" s="84"/>
    </row>
    <row r="524" spans="1:3" ht="57.6">
      <c r="A524" s="341" t="str">
        <f>"US_" &amp; COUNTA($A$1:A523)</f>
        <v>US_43</v>
      </c>
      <c r="B524" s="358" t="s">
        <v>595</v>
      </c>
      <c r="C524" s="15" t="s">
        <v>596</v>
      </c>
    </row>
    <row r="525" spans="1:3" ht="57.6">
      <c r="A525" s="341"/>
      <c r="B525" s="363"/>
      <c r="C525" s="15" t="s">
        <v>597</v>
      </c>
    </row>
    <row r="526" spans="1:3" ht="72">
      <c r="A526" s="341"/>
      <c r="B526" s="363"/>
      <c r="C526" s="15" t="s">
        <v>598</v>
      </c>
    </row>
    <row r="527" spans="1:3" ht="72">
      <c r="A527" s="341"/>
      <c r="B527" s="363"/>
      <c r="C527" s="15" t="s">
        <v>599</v>
      </c>
    </row>
    <row r="528" spans="1:3" ht="72">
      <c r="A528" s="341"/>
      <c r="B528" s="363"/>
      <c r="C528" s="15" t="s">
        <v>600</v>
      </c>
    </row>
    <row r="529" spans="1:3" ht="86.45">
      <c r="A529" s="341"/>
      <c r="B529" s="363"/>
      <c r="C529" s="15" t="s">
        <v>601</v>
      </c>
    </row>
    <row r="530" spans="1:3" ht="57.6">
      <c r="A530" s="341"/>
      <c r="B530" s="363"/>
      <c r="C530" s="15" t="s">
        <v>602</v>
      </c>
    </row>
    <row r="531" spans="1:3" ht="57.6">
      <c r="A531" s="341"/>
      <c r="B531" s="363"/>
      <c r="C531" s="15" t="s">
        <v>603</v>
      </c>
    </row>
    <row r="532" spans="1:3" ht="57.6">
      <c r="A532" s="341"/>
      <c r="B532" s="363"/>
      <c r="C532" s="15" t="s">
        <v>604</v>
      </c>
    </row>
    <row r="533" spans="1:3" ht="57.6">
      <c r="A533" s="341"/>
      <c r="B533" s="363"/>
      <c r="C533" s="15" t="s">
        <v>605</v>
      </c>
    </row>
    <row r="534" spans="1:3" ht="72">
      <c r="A534" s="341"/>
      <c r="B534" s="363"/>
      <c r="C534" s="15" t="s">
        <v>606</v>
      </c>
    </row>
    <row r="535" spans="1:3" ht="57.6">
      <c r="A535" s="341"/>
      <c r="B535" s="363"/>
      <c r="C535" s="15" t="s">
        <v>607</v>
      </c>
    </row>
    <row r="536" spans="1:3" ht="57.6">
      <c r="A536" s="341"/>
      <c r="B536" s="363"/>
      <c r="C536" s="15" t="s">
        <v>608</v>
      </c>
    </row>
    <row r="537" spans="1:3" ht="57.6">
      <c r="A537" s="341"/>
      <c r="B537" s="363"/>
      <c r="C537" s="15" t="s">
        <v>609</v>
      </c>
    </row>
    <row r="538" spans="1:3" ht="72">
      <c r="A538" s="341"/>
      <c r="B538" s="363"/>
      <c r="C538" s="15" t="s">
        <v>610</v>
      </c>
    </row>
    <row r="539" spans="1:3" ht="57.6">
      <c r="A539" s="341"/>
      <c r="B539" s="363"/>
      <c r="C539" s="15" t="s">
        <v>611</v>
      </c>
    </row>
    <row r="540" spans="1:3" ht="57.6">
      <c r="A540" s="341"/>
      <c r="B540" s="363"/>
      <c r="C540" s="15" t="s">
        <v>612</v>
      </c>
    </row>
    <row r="541" spans="1:3" ht="72">
      <c r="A541" s="341"/>
      <c r="B541" s="363"/>
      <c r="C541" s="15" t="s">
        <v>613</v>
      </c>
    </row>
    <row r="542" spans="1:3" s="115" customFormat="1">
      <c r="A542" s="116"/>
      <c r="B542" s="116"/>
      <c r="C542" s="152"/>
    </row>
    <row r="543" spans="1:3" ht="57.6">
      <c r="A543" s="341" t="str">
        <f>"US_" &amp; COUNTA($A$1:A542)</f>
        <v>US_44</v>
      </c>
      <c r="B543" s="358" t="s">
        <v>614</v>
      </c>
      <c r="C543" s="15" t="s">
        <v>615</v>
      </c>
    </row>
    <row r="544" spans="1:3" ht="72">
      <c r="A544" s="341"/>
      <c r="B544" s="361"/>
      <c r="C544" s="15" t="s">
        <v>616</v>
      </c>
    </row>
    <row r="545" spans="1:3" ht="86.45">
      <c r="A545" s="341"/>
      <c r="B545" s="361"/>
      <c r="C545" s="15" t="s">
        <v>617</v>
      </c>
    </row>
    <row r="546" spans="1:3" ht="86.45">
      <c r="A546" s="341"/>
      <c r="B546" s="361"/>
      <c r="C546" s="15" t="s">
        <v>618</v>
      </c>
    </row>
    <row r="547" spans="1:3" ht="57.6">
      <c r="A547" s="341"/>
      <c r="B547" s="361"/>
      <c r="C547" s="15" t="s">
        <v>619</v>
      </c>
    </row>
    <row r="548" spans="1:3" ht="57.6">
      <c r="A548" s="341"/>
      <c r="B548" s="361"/>
      <c r="C548" s="15" t="s">
        <v>620</v>
      </c>
    </row>
    <row r="549" spans="1:3" ht="72">
      <c r="A549" s="341"/>
      <c r="B549" s="361"/>
      <c r="C549" s="15" t="s">
        <v>621</v>
      </c>
    </row>
    <row r="550" spans="1:3" ht="57.6">
      <c r="A550" s="341"/>
      <c r="B550" s="361"/>
      <c r="C550" s="15" t="s">
        <v>622</v>
      </c>
    </row>
    <row r="551" spans="1:3" ht="57.6">
      <c r="A551" s="341"/>
      <c r="B551" s="361"/>
      <c r="C551" s="15" t="s">
        <v>623</v>
      </c>
    </row>
    <row r="552" spans="1:3" ht="57.6">
      <c r="A552" s="341"/>
      <c r="B552" s="361"/>
      <c r="C552" s="15" t="s">
        <v>624</v>
      </c>
    </row>
    <row r="553" spans="1:3" ht="57.6">
      <c r="A553" s="341"/>
      <c r="B553" s="361"/>
      <c r="C553" s="15" t="s">
        <v>625</v>
      </c>
    </row>
    <row r="554" spans="1:3" ht="57.6">
      <c r="A554" s="341"/>
      <c r="B554" s="361"/>
      <c r="C554" s="15" t="s">
        <v>626</v>
      </c>
    </row>
    <row r="555" spans="1:3" ht="57.6">
      <c r="A555" s="341"/>
      <c r="B555" s="361"/>
      <c r="C555" s="15" t="s">
        <v>627</v>
      </c>
    </row>
    <row r="556" spans="1:3" ht="72">
      <c r="A556" s="341"/>
      <c r="B556" s="361"/>
      <c r="C556" s="15" t="s">
        <v>628</v>
      </c>
    </row>
    <row r="557" spans="1:3" ht="57.6">
      <c r="A557" s="341"/>
      <c r="B557" s="361"/>
      <c r="C557" s="15" t="s">
        <v>629</v>
      </c>
    </row>
    <row r="558" spans="1:3" ht="72">
      <c r="A558" s="341"/>
      <c r="B558" s="361"/>
      <c r="C558" s="15" t="s">
        <v>630</v>
      </c>
    </row>
    <row r="559" spans="1:3" ht="57.6">
      <c r="A559" s="341"/>
      <c r="B559" s="361"/>
      <c r="C559" s="15" t="s">
        <v>631</v>
      </c>
    </row>
    <row r="560" spans="1:3" s="45" customFormat="1">
      <c r="A560" s="44"/>
      <c r="B560" s="44"/>
      <c r="C560" s="84"/>
    </row>
    <row r="561" spans="1:3" ht="57.6">
      <c r="A561" s="341" t="str">
        <f>"US_" &amp; COUNTA($A$1:A560)</f>
        <v>US_45</v>
      </c>
      <c r="B561" s="358" t="s">
        <v>632</v>
      </c>
      <c r="C561" s="15" t="s">
        <v>633</v>
      </c>
    </row>
    <row r="562" spans="1:3" ht="57.6">
      <c r="A562" s="341"/>
      <c r="B562" s="361"/>
      <c r="C562" s="15" t="s">
        <v>634</v>
      </c>
    </row>
    <row r="563" spans="1:3" ht="72">
      <c r="A563" s="341"/>
      <c r="B563" s="361"/>
      <c r="C563" s="15" t="s">
        <v>635</v>
      </c>
    </row>
    <row r="564" spans="1:3" ht="72">
      <c r="A564" s="341"/>
      <c r="B564" s="361"/>
      <c r="C564" s="15" t="s">
        <v>636</v>
      </c>
    </row>
    <row r="565" spans="1:3" ht="57.6">
      <c r="A565" s="341"/>
      <c r="B565" s="361"/>
      <c r="C565" s="15" t="s">
        <v>637</v>
      </c>
    </row>
    <row r="566" spans="1:3" ht="72">
      <c r="A566" s="341"/>
      <c r="B566" s="361"/>
      <c r="C566" s="15" t="s">
        <v>638</v>
      </c>
    </row>
    <row r="567" spans="1:3" ht="72">
      <c r="A567" s="341"/>
      <c r="B567" s="361"/>
      <c r="C567" s="15" t="s">
        <v>639</v>
      </c>
    </row>
    <row r="568" spans="1:3" ht="57.6">
      <c r="A568" s="341"/>
      <c r="B568" s="361"/>
      <c r="C568" s="15" t="s">
        <v>640</v>
      </c>
    </row>
    <row r="569" spans="1:3" ht="57.6">
      <c r="A569" s="341"/>
      <c r="B569" s="361"/>
      <c r="C569" s="15" t="s">
        <v>641</v>
      </c>
    </row>
    <row r="570" spans="1:3" ht="57.6">
      <c r="A570" s="341"/>
      <c r="B570" s="361"/>
      <c r="C570" s="15" t="s">
        <v>642</v>
      </c>
    </row>
    <row r="571" spans="1:3" ht="72">
      <c r="A571" s="341"/>
      <c r="B571" s="361"/>
      <c r="C571" s="15" t="s">
        <v>643</v>
      </c>
    </row>
    <row r="572" spans="1:3" ht="72">
      <c r="A572" s="341"/>
      <c r="B572" s="361"/>
      <c r="C572" s="15" t="s">
        <v>644</v>
      </c>
    </row>
    <row r="573" spans="1:3" ht="57.6">
      <c r="A573" s="341"/>
      <c r="B573" s="361"/>
      <c r="C573" s="15" t="s">
        <v>645</v>
      </c>
    </row>
    <row r="574" spans="1:3" ht="57.6">
      <c r="A574" s="341"/>
      <c r="B574" s="361"/>
      <c r="C574" s="15" t="s">
        <v>646</v>
      </c>
    </row>
    <row r="575" spans="1:3" ht="57.6">
      <c r="A575" s="341"/>
      <c r="B575" s="361"/>
      <c r="C575" s="15" t="s">
        <v>647</v>
      </c>
    </row>
    <row r="576" spans="1:3" ht="57.6">
      <c r="A576" s="341"/>
      <c r="B576" s="361"/>
      <c r="C576" s="15" t="s">
        <v>648</v>
      </c>
    </row>
    <row r="577" spans="1:3" ht="57.6">
      <c r="A577" s="341"/>
      <c r="B577" s="361"/>
      <c r="C577" s="15" t="s">
        <v>649</v>
      </c>
    </row>
    <row r="578" spans="1:3" ht="57.6">
      <c r="A578" s="341"/>
      <c r="B578" s="361"/>
      <c r="C578" s="15" t="s">
        <v>650</v>
      </c>
    </row>
    <row r="579" spans="1:3" ht="57.6">
      <c r="A579" s="341"/>
      <c r="B579" s="361"/>
      <c r="C579" s="15" t="s">
        <v>651</v>
      </c>
    </row>
    <row r="580" spans="1:3" ht="72">
      <c r="A580" s="341"/>
      <c r="B580" s="361"/>
      <c r="C580" s="15" t="s">
        <v>652</v>
      </c>
    </row>
    <row r="581" spans="1:3" s="45" customFormat="1">
      <c r="A581" s="44"/>
      <c r="B581" s="44"/>
      <c r="C581" s="84"/>
    </row>
    <row r="582" spans="1:3" ht="57.6">
      <c r="A582" s="341" t="str">
        <f>"US_" &amp; COUNTA($A$1:A581)</f>
        <v>US_46</v>
      </c>
      <c r="B582" s="358" t="s">
        <v>653</v>
      </c>
      <c r="C582" s="15" t="s">
        <v>654</v>
      </c>
    </row>
    <row r="583" spans="1:3" ht="43.15">
      <c r="A583" s="341"/>
      <c r="B583" s="363"/>
      <c r="C583" s="15" t="s">
        <v>655</v>
      </c>
    </row>
    <row r="584" spans="1:3" ht="57.6">
      <c r="A584" s="341"/>
      <c r="B584" s="363"/>
      <c r="C584" s="15" t="s">
        <v>656</v>
      </c>
    </row>
    <row r="585" spans="1:3" ht="57.6">
      <c r="A585" s="341"/>
      <c r="B585" s="363"/>
      <c r="C585" s="15" t="s">
        <v>657</v>
      </c>
    </row>
    <row r="586" spans="1:3" ht="57.6">
      <c r="A586" s="341"/>
      <c r="B586" s="363"/>
      <c r="C586" s="15" t="s">
        <v>658</v>
      </c>
    </row>
    <row r="587" spans="1:3" ht="57.6">
      <c r="A587" s="341"/>
      <c r="B587" s="363"/>
      <c r="C587" s="15" t="s">
        <v>659</v>
      </c>
    </row>
    <row r="588" spans="1:3" ht="57.6">
      <c r="A588" s="341"/>
      <c r="B588" s="363"/>
      <c r="C588" s="15" t="s">
        <v>660</v>
      </c>
    </row>
    <row r="589" spans="1:3" ht="57.6">
      <c r="A589" s="341"/>
      <c r="B589" s="363"/>
      <c r="C589" s="15" t="s">
        <v>661</v>
      </c>
    </row>
    <row r="590" spans="1:3" ht="57.6">
      <c r="A590" s="341"/>
      <c r="B590" s="363"/>
      <c r="C590" s="15" t="s">
        <v>662</v>
      </c>
    </row>
    <row r="591" spans="1:3" ht="57.6">
      <c r="A591" s="341"/>
      <c r="B591" s="363"/>
      <c r="C591" s="15" t="s">
        <v>663</v>
      </c>
    </row>
    <row r="592" spans="1:3" ht="57.6">
      <c r="A592" s="341"/>
      <c r="B592" s="363"/>
      <c r="C592" s="15" t="s">
        <v>664</v>
      </c>
    </row>
    <row r="593" spans="1:3" ht="57.6">
      <c r="A593" s="341"/>
      <c r="B593" s="363"/>
      <c r="C593" s="15" t="s">
        <v>665</v>
      </c>
    </row>
    <row r="594" spans="1:3" ht="57.6">
      <c r="A594" s="341"/>
      <c r="B594" s="363"/>
      <c r="C594" s="15" t="s">
        <v>666</v>
      </c>
    </row>
    <row r="595" spans="1:3" ht="57.6">
      <c r="A595" s="341"/>
      <c r="B595" s="363"/>
      <c r="C595" s="15" t="s">
        <v>667</v>
      </c>
    </row>
    <row r="596" spans="1:3" ht="57.6">
      <c r="A596" s="341"/>
      <c r="B596" s="363"/>
      <c r="C596" s="15" t="s">
        <v>668</v>
      </c>
    </row>
    <row r="597" spans="1:3" ht="57.6">
      <c r="A597" s="341"/>
      <c r="B597" s="363"/>
      <c r="C597" s="15" t="s">
        <v>669</v>
      </c>
    </row>
    <row r="598" spans="1:3" ht="57.6">
      <c r="A598" s="341"/>
      <c r="B598" s="363"/>
      <c r="C598" s="15" t="s">
        <v>670</v>
      </c>
    </row>
    <row r="599" spans="1:3" ht="57.6">
      <c r="A599" s="341"/>
      <c r="B599" s="363"/>
      <c r="C599" s="15" t="s">
        <v>671</v>
      </c>
    </row>
    <row r="600" spans="1:3" ht="57.6">
      <c r="A600" s="341"/>
      <c r="B600" s="363"/>
      <c r="C600" s="15" t="s">
        <v>672</v>
      </c>
    </row>
    <row r="601" spans="1:3" ht="57.6">
      <c r="A601" s="341"/>
      <c r="B601" s="363"/>
      <c r="C601" s="15" t="s">
        <v>673</v>
      </c>
    </row>
    <row r="602" spans="1:3" ht="57.6">
      <c r="A602" s="341"/>
      <c r="B602" s="363"/>
      <c r="C602" s="15" t="s">
        <v>674</v>
      </c>
    </row>
    <row r="603" spans="1:3" ht="57.6">
      <c r="A603" s="341"/>
      <c r="B603" s="363"/>
      <c r="C603" s="15" t="s">
        <v>675</v>
      </c>
    </row>
    <row r="604" spans="1:3" ht="57.6">
      <c r="A604" s="341"/>
      <c r="B604" s="363"/>
      <c r="C604" s="15" t="s">
        <v>676</v>
      </c>
    </row>
    <row r="605" spans="1:3" ht="72">
      <c r="A605" s="341"/>
      <c r="B605" s="363"/>
      <c r="C605" s="15" t="s">
        <v>677</v>
      </c>
    </row>
    <row r="606" spans="1:3" s="45" customFormat="1">
      <c r="A606" s="44"/>
      <c r="B606" s="44"/>
      <c r="C606" s="84"/>
    </row>
    <row r="607" spans="1:3" ht="57.6">
      <c r="A607" s="341" t="str">
        <f>"US_" &amp; COUNTA($A$1:A606)</f>
        <v>US_47</v>
      </c>
      <c r="B607" s="358" t="s">
        <v>678</v>
      </c>
      <c r="C607" s="15" t="s">
        <v>679</v>
      </c>
    </row>
    <row r="608" spans="1:3" ht="86.45">
      <c r="A608" s="341"/>
      <c r="B608" s="361"/>
      <c r="C608" s="15" t="s">
        <v>680</v>
      </c>
    </row>
    <row r="609" spans="1:3" ht="57.6">
      <c r="A609" s="341"/>
      <c r="B609" s="361"/>
      <c r="C609" s="15" t="s">
        <v>681</v>
      </c>
    </row>
    <row r="610" spans="1:3" ht="57.6">
      <c r="A610" s="341"/>
      <c r="B610" s="361"/>
      <c r="C610" s="15" t="s">
        <v>682</v>
      </c>
    </row>
    <row r="611" spans="1:3" ht="57.6">
      <c r="A611" s="341"/>
      <c r="B611" s="361"/>
      <c r="C611" s="15" t="s">
        <v>683</v>
      </c>
    </row>
    <row r="612" spans="1:3" ht="72">
      <c r="A612" s="341"/>
      <c r="B612" s="361"/>
      <c r="C612" s="15" t="s">
        <v>684</v>
      </c>
    </row>
    <row r="613" spans="1:3" ht="72">
      <c r="A613" s="341"/>
      <c r="B613" s="361"/>
      <c r="C613" s="15" t="s">
        <v>685</v>
      </c>
    </row>
    <row r="614" spans="1:3" ht="72">
      <c r="A614" s="341"/>
      <c r="B614" s="361"/>
      <c r="C614" s="15" t="s">
        <v>686</v>
      </c>
    </row>
    <row r="615" spans="1:3" ht="57.6">
      <c r="A615" s="341"/>
      <c r="B615" s="361"/>
      <c r="C615" s="15" t="s">
        <v>687</v>
      </c>
    </row>
    <row r="616" spans="1:3" ht="72">
      <c r="A616" s="341"/>
      <c r="B616" s="361"/>
      <c r="C616" s="15" t="s">
        <v>688</v>
      </c>
    </row>
    <row r="617" spans="1:3" ht="57.6">
      <c r="A617" s="341"/>
      <c r="B617" s="361"/>
      <c r="C617" s="15" t="s">
        <v>689</v>
      </c>
    </row>
    <row r="618" spans="1:3" ht="72">
      <c r="A618" s="341"/>
      <c r="B618" s="361"/>
      <c r="C618" s="15" t="s">
        <v>690</v>
      </c>
    </row>
    <row r="619" spans="1:3" ht="57.6">
      <c r="A619" s="341"/>
      <c r="B619" s="361"/>
      <c r="C619" s="15" t="s">
        <v>691</v>
      </c>
    </row>
    <row r="620" spans="1:3" ht="57.6">
      <c r="A620" s="341"/>
      <c r="B620" s="361"/>
      <c r="C620" s="15" t="s">
        <v>692</v>
      </c>
    </row>
    <row r="621" spans="1:3" ht="57.6">
      <c r="A621" s="341"/>
      <c r="B621" s="361"/>
      <c r="C621" s="15" t="s">
        <v>693</v>
      </c>
    </row>
    <row r="622" spans="1:3" ht="57.6">
      <c r="A622" s="341"/>
      <c r="B622" s="361"/>
      <c r="C622" s="15" t="s">
        <v>694</v>
      </c>
    </row>
    <row r="623" spans="1:3" ht="57.6">
      <c r="A623" s="341"/>
      <c r="B623" s="361"/>
      <c r="C623" s="15" t="s">
        <v>695</v>
      </c>
    </row>
    <row r="624" spans="1:3" ht="57.6">
      <c r="A624" s="341"/>
      <c r="B624" s="361"/>
      <c r="C624" s="15" t="s">
        <v>696</v>
      </c>
    </row>
    <row r="625" spans="1:3" ht="57.6">
      <c r="A625" s="341"/>
      <c r="B625" s="361"/>
      <c r="C625" s="15" t="s">
        <v>697</v>
      </c>
    </row>
    <row r="626" spans="1:3" ht="57.6">
      <c r="A626" s="341"/>
      <c r="B626" s="361"/>
      <c r="C626" s="15" t="s">
        <v>698</v>
      </c>
    </row>
    <row r="627" spans="1:3" ht="57.6">
      <c r="A627" s="341"/>
      <c r="B627" s="361"/>
      <c r="C627" s="15" t="s">
        <v>699</v>
      </c>
    </row>
    <row r="628" spans="1:3" ht="57.6">
      <c r="A628" s="341"/>
      <c r="B628" s="361"/>
      <c r="C628" s="15" t="s">
        <v>700</v>
      </c>
    </row>
    <row r="629" spans="1:3" ht="72">
      <c r="A629" s="341"/>
      <c r="B629" s="361"/>
      <c r="C629" s="15" t="s">
        <v>701</v>
      </c>
    </row>
    <row r="630" spans="1:3" ht="72">
      <c r="A630" s="341"/>
      <c r="B630" s="361"/>
      <c r="C630" s="15" t="s">
        <v>702</v>
      </c>
    </row>
    <row r="632" spans="1:3" s="55" customFormat="1" ht="39" customHeight="1">
      <c r="A632" s="53"/>
      <c r="B632" s="74"/>
      <c r="C632" s="151"/>
    </row>
    <row r="634" spans="1:3" ht="79.150000000000006">
      <c r="A634" s="339" t="str">
        <f>"US_" &amp; COUNTA($A$1:A633)</f>
        <v>US_48</v>
      </c>
      <c r="B634" s="376" t="s">
        <v>703</v>
      </c>
      <c r="C634" s="153" t="s">
        <v>704</v>
      </c>
    </row>
    <row r="635" spans="1:3" ht="79.150000000000006">
      <c r="A635" s="339"/>
      <c r="B635" s="376"/>
      <c r="C635" s="153" t="s">
        <v>705</v>
      </c>
    </row>
    <row r="636" spans="1:3" ht="79.150000000000006">
      <c r="A636" s="339"/>
      <c r="B636" s="376"/>
      <c r="C636" s="153" t="s">
        <v>706</v>
      </c>
    </row>
    <row r="637" spans="1:3" ht="66">
      <c r="A637" s="339"/>
      <c r="B637" s="376"/>
      <c r="C637" s="153" t="s">
        <v>707</v>
      </c>
    </row>
    <row r="638" spans="1:3" ht="52.9">
      <c r="A638" s="339"/>
      <c r="B638" s="376"/>
      <c r="C638" s="153" t="s">
        <v>708</v>
      </c>
    </row>
    <row r="639" spans="1:3" ht="52.9">
      <c r="A639" s="339"/>
      <c r="B639" s="376"/>
      <c r="C639" s="153" t="s">
        <v>709</v>
      </c>
    </row>
    <row r="640" spans="1:3" ht="52.9">
      <c r="A640" s="339"/>
      <c r="B640" s="376"/>
      <c r="C640" s="153" t="s">
        <v>710</v>
      </c>
    </row>
    <row r="641" spans="1:3" ht="52.9">
      <c r="A641" s="339"/>
      <c r="B641" s="376"/>
      <c r="C641" s="153" t="s">
        <v>711</v>
      </c>
    </row>
    <row r="642" spans="1:3" ht="66">
      <c r="A642" s="339"/>
      <c r="B642" s="376"/>
      <c r="C642" s="153" t="s">
        <v>712</v>
      </c>
    </row>
    <row r="643" spans="1:3" ht="52.9">
      <c r="A643" s="339"/>
      <c r="B643" s="376"/>
      <c r="C643" s="153" t="s">
        <v>713</v>
      </c>
    </row>
    <row r="644" spans="1:3" ht="52.9">
      <c r="A644" s="339"/>
      <c r="B644" s="376"/>
      <c r="C644" s="153" t="s">
        <v>714</v>
      </c>
    </row>
    <row r="645" spans="1:3" ht="66">
      <c r="A645" s="339"/>
      <c r="B645" s="376"/>
      <c r="C645" s="153" t="s">
        <v>715</v>
      </c>
    </row>
    <row r="646" spans="1:3" ht="52.9">
      <c r="A646" s="339"/>
      <c r="B646" s="376"/>
      <c r="C646" s="153" t="s">
        <v>716</v>
      </c>
    </row>
    <row r="647" spans="1:3" ht="52.9">
      <c r="A647" s="339"/>
      <c r="B647" s="376"/>
      <c r="C647" s="153" t="s">
        <v>717</v>
      </c>
    </row>
    <row r="648" spans="1:3" ht="52.9">
      <c r="A648" s="339"/>
      <c r="B648" s="376"/>
      <c r="C648" s="153" t="s">
        <v>718</v>
      </c>
    </row>
    <row r="649" spans="1:3" ht="52.9">
      <c r="A649" s="339"/>
      <c r="B649" s="376"/>
      <c r="C649" s="153" t="s">
        <v>719</v>
      </c>
    </row>
    <row r="650" spans="1:3" ht="66">
      <c r="A650" s="340"/>
      <c r="B650" s="376"/>
      <c r="C650" s="153" t="s">
        <v>720</v>
      </c>
    </row>
    <row r="651" spans="1:3" s="45" customFormat="1">
      <c r="A651" s="154"/>
      <c r="B651" s="154"/>
      <c r="C651" s="154"/>
    </row>
    <row r="652" spans="1:3" ht="66">
      <c r="A652" s="339" t="str">
        <f>"US_" &amp; COUNTA($A$1:A651)</f>
        <v>US_49</v>
      </c>
      <c r="B652" s="376" t="s">
        <v>721</v>
      </c>
      <c r="C652" s="153" t="s">
        <v>722</v>
      </c>
    </row>
    <row r="653" spans="1:3" ht="79.150000000000006">
      <c r="A653" s="339"/>
      <c r="B653" s="376"/>
      <c r="C653" s="153" t="s">
        <v>723</v>
      </c>
    </row>
    <row r="654" spans="1:3" ht="79.150000000000006">
      <c r="A654" s="339"/>
      <c r="B654" s="376"/>
      <c r="C654" s="153" t="s">
        <v>724</v>
      </c>
    </row>
    <row r="655" spans="1:3" ht="66">
      <c r="A655" s="339"/>
      <c r="B655" s="376"/>
      <c r="C655" s="153" t="s">
        <v>725</v>
      </c>
    </row>
    <row r="656" spans="1:3" ht="66">
      <c r="A656" s="339"/>
      <c r="B656" s="376"/>
      <c r="C656" s="153" t="s">
        <v>726</v>
      </c>
    </row>
    <row r="657" spans="1:3" ht="66">
      <c r="A657" s="339"/>
      <c r="B657" s="376"/>
      <c r="C657" s="153" t="s">
        <v>727</v>
      </c>
    </row>
    <row r="658" spans="1:3" ht="52.9">
      <c r="A658" s="339"/>
      <c r="B658" s="376"/>
      <c r="C658" s="153" t="s">
        <v>728</v>
      </c>
    </row>
    <row r="659" spans="1:3" ht="52.9">
      <c r="A659" s="339"/>
      <c r="B659" s="376"/>
      <c r="C659" s="153" t="s">
        <v>729</v>
      </c>
    </row>
    <row r="660" spans="1:3" ht="66">
      <c r="A660" s="339"/>
      <c r="B660" s="376"/>
      <c r="C660" s="153" t="s">
        <v>730</v>
      </c>
    </row>
    <row r="661" spans="1:3" ht="52.9">
      <c r="A661" s="339"/>
      <c r="B661" s="376"/>
      <c r="C661" s="153" t="s">
        <v>731</v>
      </c>
    </row>
    <row r="662" spans="1:3" ht="52.9">
      <c r="A662" s="339"/>
      <c r="B662" s="376"/>
      <c r="C662" s="153" t="s">
        <v>732</v>
      </c>
    </row>
    <row r="663" spans="1:3" ht="52.9">
      <c r="A663" s="339"/>
      <c r="B663" s="376"/>
      <c r="C663" s="153" t="s">
        <v>733</v>
      </c>
    </row>
    <row r="664" spans="1:3" ht="79.150000000000006">
      <c r="A664" s="339"/>
      <c r="B664" s="376"/>
      <c r="C664" s="153" t="s">
        <v>734</v>
      </c>
    </row>
    <row r="665" spans="1:3" ht="52.9">
      <c r="A665" s="339"/>
      <c r="B665" s="376"/>
      <c r="C665" s="153" t="s">
        <v>735</v>
      </c>
    </row>
    <row r="666" spans="1:3" ht="52.9">
      <c r="A666" s="339"/>
      <c r="B666" s="376"/>
      <c r="C666" s="153" t="s">
        <v>736</v>
      </c>
    </row>
    <row r="667" spans="1:3" ht="79.150000000000006">
      <c r="A667" s="340"/>
      <c r="B667" s="376"/>
      <c r="C667" s="153" t="s">
        <v>737</v>
      </c>
    </row>
    <row r="668" spans="1:3" s="45" customFormat="1">
      <c r="A668" s="154"/>
      <c r="B668" s="154"/>
      <c r="C668" s="154"/>
    </row>
    <row r="669" spans="1:3" ht="79.150000000000006">
      <c r="A669" s="339" t="str">
        <f>"US_" &amp; COUNTA($A$1:A668)</f>
        <v>US_50</v>
      </c>
      <c r="B669" s="376" t="s">
        <v>738</v>
      </c>
      <c r="C669" s="153" t="s">
        <v>739</v>
      </c>
    </row>
    <row r="670" spans="1:3" ht="66">
      <c r="A670" s="339"/>
      <c r="B670" s="376"/>
      <c r="C670" s="153" t="s">
        <v>740</v>
      </c>
    </row>
    <row r="671" spans="1:3" ht="66">
      <c r="A671" s="339"/>
      <c r="B671" s="376"/>
      <c r="C671" s="153" t="s">
        <v>741</v>
      </c>
    </row>
    <row r="672" spans="1:3" ht="52.9">
      <c r="A672" s="339"/>
      <c r="B672" s="376"/>
      <c r="C672" s="153" t="s">
        <v>742</v>
      </c>
    </row>
    <row r="673" spans="1:4" ht="66">
      <c r="A673" s="339"/>
      <c r="B673" s="376"/>
      <c r="C673" s="153" t="s">
        <v>743</v>
      </c>
    </row>
    <row r="674" spans="1:4" ht="66">
      <c r="A674" s="339"/>
      <c r="B674" s="376"/>
      <c r="C674" s="153" t="s">
        <v>744</v>
      </c>
    </row>
    <row r="675" spans="1:4" ht="52.9">
      <c r="A675" s="339"/>
      <c r="B675" s="376"/>
      <c r="C675" s="153" t="s">
        <v>745</v>
      </c>
    </row>
    <row r="676" spans="1:4" ht="66">
      <c r="A676" s="339"/>
      <c r="B676" s="376"/>
      <c r="C676" s="153" t="s">
        <v>746</v>
      </c>
    </row>
    <row r="677" spans="1:4" ht="92.45">
      <c r="A677" s="339"/>
      <c r="B677" s="376"/>
      <c r="C677" s="153" t="s">
        <v>747</v>
      </c>
    </row>
    <row r="678" spans="1:4" ht="52.9">
      <c r="A678" s="339"/>
      <c r="B678" s="376"/>
      <c r="C678" s="153" t="s">
        <v>748</v>
      </c>
    </row>
    <row r="679" spans="1:4" ht="66">
      <c r="A679" s="339"/>
      <c r="B679" s="376"/>
      <c r="C679" s="153" t="s">
        <v>749</v>
      </c>
    </row>
    <row r="680" spans="1:4" ht="52.9">
      <c r="A680" s="339"/>
      <c r="B680" s="376"/>
      <c r="C680" s="153" t="s">
        <v>750</v>
      </c>
    </row>
    <row r="681" spans="1:4" ht="52.9">
      <c r="A681" s="339"/>
      <c r="B681" s="376"/>
      <c r="C681" s="153" t="s">
        <v>751</v>
      </c>
    </row>
    <row r="682" spans="1:4" ht="79.150000000000006">
      <c r="A682" s="339"/>
      <c r="B682" s="376"/>
      <c r="C682" s="153" t="s">
        <v>752</v>
      </c>
    </row>
    <row r="683" spans="1:4" ht="66">
      <c r="A683" s="340"/>
      <c r="B683" s="376"/>
      <c r="C683" s="153" t="s">
        <v>753</v>
      </c>
    </row>
    <row r="684" spans="1:4" s="45" customFormat="1">
      <c r="A684" s="154"/>
      <c r="B684" s="154"/>
      <c r="C684" s="154"/>
    </row>
    <row r="685" spans="1:4" ht="66">
      <c r="A685" s="339" t="str">
        <f>"US_" &amp; COUNTA($A$1:A684)</f>
        <v>US_51</v>
      </c>
      <c r="B685" s="376" t="s">
        <v>754</v>
      </c>
      <c r="C685" s="153" t="s">
        <v>755</v>
      </c>
    </row>
    <row r="686" spans="1:4" ht="79.150000000000006">
      <c r="A686" s="339"/>
      <c r="B686" s="376"/>
      <c r="C686" s="153" t="s">
        <v>756</v>
      </c>
      <c r="D686" s="46"/>
    </row>
    <row r="687" spans="1:4" ht="52.9">
      <c r="A687" s="339"/>
      <c r="B687" s="376"/>
      <c r="C687" s="153" t="s">
        <v>757</v>
      </c>
    </row>
    <row r="688" spans="1:4" ht="79.150000000000006">
      <c r="A688" s="339"/>
      <c r="B688" s="376"/>
      <c r="C688" s="153" t="s">
        <v>758</v>
      </c>
    </row>
    <row r="689" spans="1:3" ht="52.9">
      <c r="A689" s="339"/>
      <c r="B689" s="376"/>
      <c r="C689" s="153" t="s">
        <v>759</v>
      </c>
    </row>
    <row r="690" spans="1:3" ht="52.9">
      <c r="A690" s="339"/>
      <c r="B690" s="376"/>
      <c r="C690" s="153" t="s">
        <v>760</v>
      </c>
    </row>
    <row r="691" spans="1:3" ht="66">
      <c r="A691" s="339"/>
      <c r="B691" s="376"/>
      <c r="C691" s="153" t="s">
        <v>761</v>
      </c>
    </row>
    <row r="692" spans="1:3" ht="52.9">
      <c r="A692" s="339"/>
      <c r="B692" s="376"/>
      <c r="C692" s="153" t="s">
        <v>762</v>
      </c>
    </row>
    <row r="693" spans="1:3" ht="52.9">
      <c r="A693" s="339"/>
      <c r="B693" s="376"/>
      <c r="C693" s="153" t="s">
        <v>763</v>
      </c>
    </row>
    <row r="694" spans="1:3" ht="79.150000000000006">
      <c r="A694" s="339"/>
      <c r="B694" s="376"/>
      <c r="C694" s="153" t="s">
        <v>764</v>
      </c>
    </row>
    <row r="695" spans="1:3" ht="79.150000000000006">
      <c r="A695" s="339"/>
      <c r="B695" s="376"/>
      <c r="C695" s="153" t="s">
        <v>765</v>
      </c>
    </row>
    <row r="696" spans="1:3" ht="66">
      <c r="A696" s="339"/>
      <c r="B696" s="376"/>
      <c r="C696" s="153" t="s">
        <v>766</v>
      </c>
    </row>
    <row r="697" spans="1:3" ht="66">
      <c r="A697" s="339"/>
      <c r="B697" s="376"/>
      <c r="C697" s="153" t="s">
        <v>767</v>
      </c>
    </row>
    <row r="698" spans="1:3" ht="66">
      <c r="A698" s="339"/>
      <c r="B698" s="376"/>
      <c r="C698" s="153" t="s">
        <v>768</v>
      </c>
    </row>
    <row r="699" spans="1:3" ht="79.150000000000006">
      <c r="A699" s="340"/>
      <c r="B699" s="376"/>
      <c r="C699" s="153" t="s">
        <v>769</v>
      </c>
    </row>
    <row r="700" spans="1:3" s="45" customFormat="1">
      <c r="A700" s="154"/>
      <c r="B700" s="154"/>
      <c r="C700" s="154"/>
    </row>
    <row r="701" spans="1:3" ht="108" customHeight="1">
      <c r="A701" s="377" t="str">
        <f>"US_" &amp; COUNTA($A$1:A700)</f>
        <v>US_52</v>
      </c>
      <c r="B701" s="376" t="s">
        <v>770</v>
      </c>
      <c r="C701" s="153" t="s">
        <v>771</v>
      </c>
    </row>
    <row r="702" spans="1:3" ht="108" customHeight="1">
      <c r="A702" s="339"/>
      <c r="B702" s="376"/>
      <c r="C702" s="153" t="s">
        <v>772</v>
      </c>
    </row>
    <row r="703" spans="1:3" ht="108" customHeight="1">
      <c r="A703" s="339"/>
      <c r="B703" s="376"/>
      <c r="C703" s="153" t="s">
        <v>773</v>
      </c>
    </row>
    <row r="704" spans="1:3" ht="108" customHeight="1">
      <c r="A704" s="339"/>
      <c r="B704" s="376"/>
      <c r="C704" s="153" t="s">
        <v>774</v>
      </c>
    </row>
    <row r="705" spans="1:3" ht="108" customHeight="1">
      <c r="A705" s="339"/>
      <c r="B705" s="376"/>
      <c r="C705" s="153" t="s">
        <v>775</v>
      </c>
    </row>
    <row r="706" spans="1:3" ht="108" customHeight="1">
      <c r="A706" s="339"/>
      <c r="B706" s="376"/>
      <c r="C706" s="153" t="s">
        <v>776</v>
      </c>
    </row>
    <row r="707" spans="1:3" ht="108" customHeight="1">
      <c r="A707" s="339"/>
      <c r="B707" s="376"/>
      <c r="C707" s="153" t="s">
        <v>777</v>
      </c>
    </row>
    <row r="708" spans="1:3" ht="108" customHeight="1">
      <c r="A708" s="339"/>
      <c r="B708" s="376"/>
      <c r="C708" s="153" t="s">
        <v>778</v>
      </c>
    </row>
    <row r="709" spans="1:3" ht="108" customHeight="1">
      <c r="A709" s="339"/>
      <c r="B709" s="376"/>
      <c r="C709" s="153" t="s">
        <v>779</v>
      </c>
    </row>
    <row r="710" spans="1:3" ht="108" customHeight="1">
      <c r="A710" s="339"/>
      <c r="B710" s="376"/>
      <c r="C710" s="153" t="s">
        <v>780</v>
      </c>
    </row>
    <row r="711" spans="1:3" ht="108" customHeight="1">
      <c r="A711" s="339"/>
      <c r="B711" s="376"/>
      <c r="C711" s="153" t="s">
        <v>781</v>
      </c>
    </row>
    <row r="712" spans="1:3" ht="108" customHeight="1">
      <c r="A712" s="339"/>
      <c r="B712" s="376"/>
      <c r="C712" s="153" t="s">
        <v>782</v>
      </c>
    </row>
    <row r="713" spans="1:3" ht="108" customHeight="1">
      <c r="A713" s="339"/>
      <c r="B713" s="376"/>
      <c r="C713" s="153" t="s">
        <v>783</v>
      </c>
    </row>
    <row r="714" spans="1:3" ht="108" customHeight="1">
      <c r="A714" s="339"/>
      <c r="B714" s="376"/>
      <c r="C714" s="153" t="s">
        <v>784</v>
      </c>
    </row>
    <row r="715" spans="1:3" ht="108" customHeight="1">
      <c r="A715" s="339"/>
      <c r="B715" s="376"/>
      <c r="C715" s="153" t="s">
        <v>785</v>
      </c>
    </row>
    <row r="716" spans="1:3" ht="108" customHeight="1">
      <c r="A716" s="340"/>
      <c r="B716" s="376"/>
      <c r="C716" s="153" t="s">
        <v>786</v>
      </c>
    </row>
    <row r="717" spans="1:3" s="45" customFormat="1">
      <c r="A717" s="154"/>
      <c r="B717" s="154"/>
      <c r="C717" s="154"/>
    </row>
    <row r="718" spans="1:3" ht="105.6">
      <c r="A718" s="339" t="str">
        <f>"US_" &amp; COUNTA($A$1:A717)</f>
        <v>US_53</v>
      </c>
      <c r="B718" s="376" t="s">
        <v>787</v>
      </c>
      <c r="C718" s="153" t="s">
        <v>788</v>
      </c>
    </row>
    <row r="719" spans="1:3" ht="79.150000000000006">
      <c r="A719" s="339"/>
      <c r="B719" s="376"/>
      <c r="C719" s="153" t="s">
        <v>789</v>
      </c>
    </row>
    <row r="720" spans="1:3" ht="79.150000000000006">
      <c r="A720" s="339"/>
      <c r="B720" s="376"/>
      <c r="C720" s="153" t="s">
        <v>790</v>
      </c>
    </row>
    <row r="721" spans="1:3" ht="79.150000000000006">
      <c r="A721" s="339"/>
      <c r="B721" s="376"/>
      <c r="C721" s="153" t="s">
        <v>791</v>
      </c>
    </row>
    <row r="722" spans="1:3" ht="92.45">
      <c r="A722" s="339"/>
      <c r="B722" s="376"/>
      <c r="C722" s="153" t="s">
        <v>792</v>
      </c>
    </row>
    <row r="723" spans="1:3" ht="79.150000000000006">
      <c r="A723" s="339"/>
      <c r="B723" s="376"/>
      <c r="C723" s="153" t="s">
        <v>793</v>
      </c>
    </row>
    <row r="724" spans="1:3" ht="66">
      <c r="A724" s="339"/>
      <c r="B724" s="376"/>
      <c r="C724" s="153" t="s">
        <v>794</v>
      </c>
    </row>
    <row r="725" spans="1:3" ht="66">
      <c r="A725" s="339"/>
      <c r="B725" s="376"/>
      <c r="C725" s="153" t="s">
        <v>795</v>
      </c>
    </row>
    <row r="726" spans="1:3" ht="79.150000000000006">
      <c r="A726" s="339"/>
      <c r="B726" s="376"/>
      <c r="C726" s="153" t="s">
        <v>796</v>
      </c>
    </row>
    <row r="727" spans="1:3" ht="92.45">
      <c r="A727" s="339"/>
      <c r="B727" s="376"/>
      <c r="C727" s="153" t="s">
        <v>797</v>
      </c>
    </row>
    <row r="728" spans="1:3" ht="66">
      <c r="A728" s="339"/>
      <c r="B728" s="376"/>
      <c r="C728" s="153" t="s">
        <v>798</v>
      </c>
    </row>
    <row r="729" spans="1:3" ht="66">
      <c r="A729" s="339"/>
      <c r="B729" s="376"/>
      <c r="C729" s="153" t="s">
        <v>799</v>
      </c>
    </row>
    <row r="730" spans="1:3" ht="66">
      <c r="A730" s="339"/>
      <c r="B730" s="376"/>
      <c r="C730" s="153" t="s">
        <v>800</v>
      </c>
    </row>
    <row r="731" spans="1:3" ht="66">
      <c r="A731" s="339"/>
      <c r="B731" s="376"/>
      <c r="C731" s="153" t="s">
        <v>801</v>
      </c>
    </row>
    <row r="732" spans="1:3" ht="79.150000000000006">
      <c r="A732" s="340"/>
      <c r="B732" s="376"/>
      <c r="C732" s="153" t="s">
        <v>802</v>
      </c>
    </row>
    <row r="733" spans="1:3" s="45" customFormat="1">
      <c r="A733" s="154"/>
      <c r="B733" s="154"/>
      <c r="C733" s="154"/>
    </row>
    <row r="734" spans="1:3" ht="79.150000000000006">
      <c r="A734" s="339" t="str">
        <f>"US_" &amp; COUNTA($A$1:A733)</f>
        <v>US_54</v>
      </c>
      <c r="B734" s="376" t="s">
        <v>803</v>
      </c>
      <c r="C734" s="153" t="s">
        <v>804</v>
      </c>
    </row>
    <row r="735" spans="1:3" ht="66">
      <c r="A735" s="339"/>
      <c r="B735" s="376"/>
      <c r="C735" s="153" t="s">
        <v>805</v>
      </c>
    </row>
    <row r="736" spans="1:3" ht="79.150000000000006">
      <c r="A736" s="339"/>
      <c r="B736" s="376"/>
      <c r="C736" s="153" t="s">
        <v>806</v>
      </c>
    </row>
    <row r="737" spans="1:3" ht="52.9">
      <c r="A737" s="339"/>
      <c r="B737" s="376"/>
      <c r="C737" s="153" t="s">
        <v>807</v>
      </c>
    </row>
    <row r="738" spans="1:3" ht="52.9">
      <c r="A738" s="339"/>
      <c r="B738" s="376"/>
      <c r="C738" s="153" t="s">
        <v>808</v>
      </c>
    </row>
    <row r="739" spans="1:3" ht="79.150000000000006">
      <c r="A739" s="339"/>
      <c r="B739" s="376"/>
      <c r="C739" s="153" t="s">
        <v>809</v>
      </c>
    </row>
    <row r="740" spans="1:3" ht="66">
      <c r="A740" s="339"/>
      <c r="B740" s="376"/>
      <c r="C740" s="153" t="s">
        <v>810</v>
      </c>
    </row>
    <row r="741" spans="1:3" ht="66">
      <c r="A741" s="339"/>
      <c r="B741" s="376"/>
      <c r="C741" s="153" t="s">
        <v>811</v>
      </c>
    </row>
    <row r="742" spans="1:3" ht="79.150000000000006">
      <c r="A742" s="339"/>
      <c r="B742" s="376"/>
      <c r="C742" s="153" t="s">
        <v>812</v>
      </c>
    </row>
    <row r="743" spans="1:3" ht="66">
      <c r="A743" s="339"/>
      <c r="B743" s="376"/>
      <c r="C743" s="153" t="s">
        <v>813</v>
      </c>
    </row>
    <row r="744" spans="1:3" ht="52.9">
      <c r="A744" s="339"/>
      <c r="B744" s="376"/>
      <c r="C744" s="153" t="s">
        <v>814</v>
      </c>
    </row>
    <row r="745" spans="1:3" ht="79.150000000000006">
      <c r="A745" s="339"/>
      <c r="B745" s="376"/>
      <c r="C745" s="153" t="s">
        <v>815</v>
      </c>
    </row>
    <row r="746" spans="1:3" ht="66">
      <c r="A746" s="339"/>
      <c r="B746" s="376"/>
      <c r="C746" s="153" t="s">
        <v>816</v>
      </c>
    </row>
    <row r="747" spans="1:3" ht="52.9">
      <c r="A747" s="339"/>
      <c r="B747" s="376"/>
      <c r="C747" s="153" t="s">
        <v>817</v>
      </c>
    </row>
    <row r="748" spans="1:3" ht="79.150000000000006">
      <c r="A748" s="340"/>
      <c r="B748" s="376"/>
      <c r="C748" s="153" t="s">
        <v>818</v>
      </c>
    </row>
    <row r="749" spans="1:3" s="45" customFormat="1">
      <c r="A749" s="154"/>
      <c r="B749" s="154"/>
      <c r="C749" s="154"/>
    </row>
    <row r="750" spans="1:3" ht="79.150000000000006">
      <c r="A750" s="339" t="str">
        <f>"US_" &amp; COUNTA($A$1:A749)</f>
        <v>US_55</v>
      </c>
      <c r="B750" s="376" t="s">
        <v>819</v>
      </c>
      <c r="C750" s="153" t="s">
        <v>820</v>
      </c>
    </row>
    <row r="751" spans="1:3" ht="66">
      <c r="A751" s="339"/>
      <c r="B751" s="376"/>
      <c r="C751" s="153" t="s">
        <v>821</v>
      </c>
    </row>
    <row r="752" spans="1:3" ht="79.150000000000006">
      <c r="A752" s="339"/>
      <c r="B752" s="376"/>
      <c r="C752" s="153" t="s">
        <v>822</v>
      </c>
    </row>
    <row r="753" spans="1:3" ht="66">
      <c r="A753" s="339"/>
      <c r="B753" s="376"/>
      <c r="C753" s="153" t="s">
        <v>823</v>
      </c>
    </row>
    <row r="754" spans="1:3" ht="52.9">
      <c r="A754" s="339"/>
      <c r="B754" s="376"/>
      <c r="C754" s="153" t="s">
        <v>824</v>
      </c>
    </row>
    <row r="755" spans="1:3" ht="79.150000000000006">
      <c r="A755" s="339"/>
      <c r="B755" s="376"/>
      <c r="C755" s="153" t="s">
        <v>825</v>
      </c>
    </row>
    <row r="756" spans="1:3" ht="66">
      <c r="A756" s="339"/>
      <c r="B756" s="376"/>
      <c r="C756" s="153" t="s">
        <v>826</v>
      </c>
    </row>
    <row r="757" spans="1:3" ht="66">
      <c r="A757" s="339"/>
      <c r="B757" s="376"/>
      <c r="C757" s="153" t="s">
        <v>827</v>
      </c>
    </row>
    <row r="758" spans="1:3" ht="52.9">
      <c r="A758" s="339"/>
      <c r="B758" s="376"/>
      <c r="C758" s="153" t="s">
        <v>828</v>
      </c>
    </row>
    <row r="759" spans="1:3" ht="79.150000000000006">
      <c r="A759" s="339"/>
      <c r="B759" s="376"/>
      <c r="C759" s="153" t="s">
        <v>829</v>
      </c>
    </row>
    <row r="760" spans="1:3" ht="79.150000000000006">
      <c r="A760" s="339"/>
      <c r="B760" s="376"/>
      <c r="C760" s="153" t="s">
        <v>830</v>
      </c>
    </row>
    <row r="761" spans="1:3" ht="66">
      <c r="A761" s="339"/>
      <c r="B761" s="376"/>
      <c r="C761" s="153" t="s">
        <v>831</v>
      </c>
    </row>
    <row r="762" spans="1:3" ht="66">
      <c r="A762" s="339"/>
      <c r="B762" s="376"/>
      <c r="C762" s="153" t="s">
        <v>832</v>
      </c>
    </row>
    <row r="763" spans="1:3" ht="66">
      <c r="A763" s="339"/>
      <c r="B763" s="376"/>
      <c r="C763" s="153" t="s">
        <v>833</v>
      </c>
    </row>
    <row r="764" spans="1:3" ht="52.9">
      <c r="A764" s="339"/>
      <c r="B764" s="376"/>
      <c r="C764" s="153" t="s">
        <v>834</v>
      </c>
    </row>
    <row r="765" spans="1:3" ht="79.150000000000006">
      <c r="A765" s="340"/>
      <c r="B765" s="376"/>
      <c r="C765" s="153" t="s">
        <v>835</v>
      </c>
    </row>
    <row r="766" spans="1:3" s="45" customFormat="1">
      <c r="A766" s="154"/>
      <c r="B766" s="154"/>
      <c r="C766" s="154"/>
    </row>
    <row r="767" spans="1:3" ht="92.45">
      <c r="A767" s="339" t="str">
        <f>"US_" &amp; COUNTA($A$1:A766)</f>
        <v>US_56</v>
      </c>
      <c r="B767" s="376" t="s">
        <v>836</v>
      </c>
      <c r="C767" s="153" t="s">
        <v>837</v>
      </c>
    </row>
    <row r="768" spans="1:3" ht="66">
      <c r="A768" s="339"/>
      <c r="B768" s="376"/>
      <c r="C768" s="153" t="s">
        <v>838</v>
      </c>
    </row>
    <row r="769" spans="1:3" ht="92.45">
      <c r="A769" s="339"/>
      <c r="B769" s="376"/>
      <c r="C769" s="153" t="s">
        <v>839</v>
      </c>
    </row>
    <row r="770" spans="1:3" ht="66">
      <c r="A770" s="339"/>
      <c r="B770" s="376"/>
      <c r="C770" s="153" t="s">
        <v>840</v>
      </c>
    </row>
    <row r="771" spans="1:3" ht="52.9">
      <c r="A771" s="339"/>
      <c r="B771" s="376"/>
      <c r="C771" s="153" t="s">
        <v>841</v>
      </c>
    </row>
    <row r="772" spans="1:3" ht="79.150000000000006">
      <c r="A772" s="339"/>
      <c r="B772" s="376"/>
      <c r="C772" s="153" t="s">
        <v>842</v>
      </c>
    </row>
    <row r="773" spans="1:3" ht="79.150000000000006">
      <c r="A773" s="339"/>
      <c r="B773" s="376"/>
      <c r="C773" s="153" t="s">
        <v>843</v>
      </c>
    </row>
    <row r="774" spans="1:3" ht="66">
      <c r="A774" s="339"/>
      <c r="B774" s="376"/>
      <c r="C774" s="153" t="s">
        <v>844</v>
      </c>
    </row>
    <row r="775" spans="1:3" ht="66">
      <c r="A775" s="339"/>
      <c r="B775" s="376"/>
      <c r="C775" s="153" t="s">
        <v>845</v>
      </c>
    </row>
    <row r="776" spans="1:3" ht="79.150000000000006">
      <c r="A776" s="339"/>
      <c r="B776" s="376"/>
      <c r="C776" s="153" t="s">
        <v>846</v>
      </c>
    </row>
    <row r="777" spans="1:3" ht="92.45">
      <c r="A777" s="339"/>
      <c r="B777" s="376"/>
      <c r="C777" s="153" t="s">
        <v>847</v>
      </c>
    </row>
    <row r="778" spans="1:3" ht="66">
      <c r="A778" s="339"/>
      <c r="B778" s="376"/>
      <c r="C778" s="153" t="s">
        <v>848</v>
      </c>
    </row>
    <row r="779" spans="1:3" ht="66">
      <c r="A779" s="339"/>
      <c r="B779" s="376"/>
      <c r="C779" s="153" t="s">
        <v>849</v>
      </c>
    </row>
    <row r="780" spans="1:3" ht="79.150000000000006">
      <c r="A780" s="339"/>
      <c r="B780" s="376"/>
      <c r="C780" s="153" t="s">
        <v>850</v>
      </c>
    </row>
    <row r="781" spans="1:3" ht="66">
      <c r="A781" s="339"/>
      <c r="B781" s="376"/>
      <c r="C781" s="153" t="s">
        <v>851</v>
      </c>
    </row>
    <row r="782" spans="1:3" ht="52.9">
      <c r="A782" s="339"/>
      <c r="B782" s="376"/>
      <c r="C782" s="153" t="s">
        <v>852</v>
      </c>
    </row>
    <row r="783" spans="1:3" ht="79.150000000000006">
      <c r="A783" s="339"/>
      <c r="B783" s="376"/>
      <c r="C783" s="153" t="s">
        <v>853</v>
      </c>
    </row>
    <row r="784" spans="1:3" ht="66">
      <c r="A784" s="339"/>
      <c r="B784" s="376"/>
      <c r="C784" s="153" t="s">
        <v>854</v>
      </c>
    </row>
    <row r="785" spans="1:3" ht="66">
      <c r="A785" s="339"/>
      <c r="B785" s="376"/>
      <c r="C785" s="153" t="s">
        <v>855</v>
      </c>
    </row>
    <row r="786" spans="1:3" ht="79.150000000000006">
      <c r="A786" s="339"/>
      <c r="B786" s="376"/>
      <c r="C786" s="153" t="s">
        <v>856</v>
      </c>
    </row>
    <row r="787" spans="1:3" ht="66">
      <c r="A787" s="339"/>
      <c r="B787" s="376"/>
      <c r="C787" s="153" t="s">
        <v>857</v>
      </c>
    </row>
    <row r="788" spans="1:3" ht="79.150000000000006">
      <c r="A788" s="339"/>
      <c r="B788" s="376"/>
      <c r="C788" s="153" t="s">
        <v>858</v>
      </c>
    </row>
    <row r="789" spans="1:3" ht="79.150000000000006">
      <c r="A789" s="339"/>
      <c r="B789" s="376"/>
      <c r="C789" s="153" t="s">
        <v>859</v>
      </c>
    </row>
    <row r="790" spans="1:3" ht="52.9">
      <c r="A790" s="339"/>
      <c r="B790" s="376"/>
      <c r="C790" s="153" t="s">
        <v>860</v>
      </c>
    </row>
    <row r="791" spans="1:3" ht="52.9">
      <c r="A791" s="339"/>
      <c r="B791" s="376"/>
      <c r="C791" s="153" t="s">
        <v>861</v>
      </c>
    </row>
    <row r="792" spans="1:3" ht="66">
      <c r="A792" s="339"/>
      <c r="B792" s="376"/>
      <c r="C792" s="153" t="s">
        <v>862</v>
      </c>
    </row>
    <row r="793" spans="1:3" ht="79.150000000000006">
      <c r="A793" s="339"/>
      <c r="B793" s="376"/>
      <c r="C793" s="153" t="s">
        <v>863</v>
      </c>
    </row>
    <row r="794" spans="1:3" ht="92.45">
      <c r="A794" s="339"/>
      <c r="B794" s="376"/>
      <c r="C794" s="153" t="s">
        <v>864</v>
      </c>
    </row>
    <row r="795" spans="1:3" ht="52.9">
      <c r="A795" s="339"/>
      <c r="B795" s="376"/>
      <c r="C795" s="153" t="s">
        <v>865</v>
      </c>
    </row>
    <row r="796" spans="1:3" ht="66">
      <c r="A796" s="339"/>
      <c r="B796" s="376"/>
      <c r="C796" s="153" t="s">
        <v>866</v>
      </c>
    </row>
    <row r="797" spans="1:3" ht="66">
      <c r="A797" s="339"/>
      <c r="B797" s="376"/>
      <c r="C797" s="153" t="s">
        <v>867</v>
      </c>
    </row>
    <row r="798" spans="1:3" ht="66">
      <c r="A798" s="339"/>
      <c r="B798" s="376"/>
      <c r="C798" s="153" t="s">
        <v>868</v>
      </c>
    </row>
    <row r="799" spans="1:3" ht="79.150000000000006">
      <c r="A799" s="339"/>
      <c r="B799" s="376"/>
      <c r="C799" s="153" t="s">
        <v>869</v>
      </c>
    </row>
    <row r="800" spans="1:3" ht="79.150000000000006">
      <c r="A800" s="340"/>
      <c r="B800" s="376"/>
      <c r="C800" s="153" t="s">
        <v>870</v>
      </c>
    </row>
    <row r="801" spans="1:3" s="45" customFormat="1">
      <c r="A801" s="154"/>
      <c r="B801" s="154"/>
      <c r="C801" s="154"/>
    </row>
    <row r="802" spans="1:3" ht="79.150000000000006">
      <c r="A802" s="339" t="str">
        <f>"US_" &amp; COUNTA($A$1:A801)</f>
        <v>US_57</v>
      </c>
      <c r="B802" s="376" t="s">
        <v>871</v>
      </c>
      <c r="C802" s="153" t="s">
        <v>872</v>
      </c>
    </row>
    <row r="803" spans="1:3" ht="66">
      <c r="A803" s="339"/>
      <c r="B803" s="376"/>
      <c r="C803" s="153" t="s">
        <v>873</v>
      </c>
    </row>
    <row r="804" spans="1:3" ht="92.45">
      <c r="A804" s="339"/>
      <c r="B804" s="376"/>
      <c r="C804" s="153" t="s">
        <v>874</v>
      </c>
    </row>
    <row r="805" spans="1:3" ht="66">
      <c r="A805" s="339"/>
      <c r="B805" s="376"/>
      <c r="C805" s="153" t="s">
        <v>875</v>
      </c>
    </row>
    <row r="806" spans="1:3" ht="79.150000000000006">
      <c r="A806" s="339"/>
      <c r="B806" s="376"/>
      <c r="C806" s="153" t="s">
        <v>876</v>
      </c>
    </row>
    <row r="807" spans="1:3" ht="66">
      <c r="A807" s="339"/>
      <c r="B807" s="376"/>
      <c r="C807" s="153" t="s">
        <v>877</v>
      </c>
    </row>
    <row r="808" spans="1:3" ht="66">
      <c r="A808" s="339"/>
      <c r="B808" s="376"/>
      <c r="C808" s="153" t="s">
        <v>878</v>
      </c>
    </row>
    <row r="809" spans="1:3" ht="52.9">
      <c r="A809" s="339"/>
      <c r="B809" s="376"/>
      <c r="C809" s="153" t="s">
        <v>879</v>
      </c>
    </row>
    <row r="810" spans="1:3" ht="52.9">
      <c r="A810" s="339"/>
      <c r="B810" s="376"/>
      <c r="C810" s="153" t="s">
        <v>880</v>
      </c>
    </row>
    <row r="811" spans="1:3" ht="66">
      <c r="A811" s="339"/>
      <c r="B811" s="376"/>
      <c r="C811" s="153" t="s">
        <v>881</v>
      </c>
    </row>
    <row r="812" spans="1:3" ht="79.150000000000006">
      <c r="A812" s="339"/>
      <c r="B812" s="376"/>
      <c r="C812" s="153" t="s">
        <v>882</v>
      </c>
    </row>
    <row r="813" spans="1:3" ht="92.45">
      <c r="A813" s="339"/>
      <c r="B813" s="376"/>
      <c r="C813" s="153" t="s">
        <v>883</v>
      </c>
    </row>
    <row r="814" spans="1:3" ht="52.9">
      <c r="A814" s="339"/>
      <c r="B814" s="376"/>
      <c r="C814" s="153" t="s">
        <v>884</v>
      </c>
    </row>
    <row r="815" spans="1:3" ht="66">
      <c r="A815" s="339"/>
      <c r="B815" s="376"/>
      <c r="C815" s="153" t="s">
        <v>885</v>
      </c>
    </row>
    <row r="816" spans="1:3" ht="66">
      <c r="A816" s="339"/>
      <c r="B816" s="376"/>
      <c r="C816" s="153" t="s">
        <v>886</v>
      </c>
    </row>
    <row r="817" spans="1:3" ht="52.9">
      <c r="A817" s="339"/>
      <c r="B817" s="376"/>
      <c r="C817" s="153" t="s">
        <v>887</v>
      </c>
    </row>
    <row r="818" spans="1:3" ht="79.150000000000006">
      <c r="A818" s="339"/>
      <c r="B818" s="376"/>
      <c r="C818" s="153" t="s">
        <v>888</v>
      </c>
    </row>
    <row r="819" spans="1:3" ht="79.150000000000006">
      <c r="A819" s="339"/>
      <c r="B819" s="376"/>
      <c r="C819" s="153" t="s">
        <v>889</v>
      </c>
    </row>
    <row r="820" spans="1:3">
      <c r="A820" s="335"/>
      <c r="B820" s="149"/>
      <c r="C820" s="153"/>
    </row>
    <row r="821" spans="1:3" s="55" customFormat="1" ht="31.5" customHeight="1">
      <c r="A821" s="53"/>
      <c r="B821" s="118"/>
      <c r="C821" s="155"/>
    </row>
    <row r="822" spans="1:3">
      <c r="B822" s="117"/>
      <c r="C822" s="156"/>
    </row>
    <row r="823" spans="1:3" ht="171.6">
      <c r="A823" s="354" t="str">
        <f>"US_" &amp; COUNTA($A$1:A822)</f>
        <v>US_58</v>
      </c>
      <c r="B823" s="381" t="s">
        <v>890</v>
      </c>
      <c r="C823" s="153" t="s">
        <v>891</v>
      </c>
    </row>
    <row r="824" spans="1:3" ht="132">
      <c r="A824" s="354"/>
      <c r="B824" s="381"/>
      <c r="C824" s="153" t="s">
        <v>892</v>
      </c>
    </row>
    <row r="825" spans="1:3" ht="171.6">
      <c r="A825" s="354"/>
      <c r="B825" s="381"/>
      <c r="C825" s="153" t="s">
        <v>893</v>
      </c>
    </row>
    <row r="826" spans="1:3" ht="118.9">
      <c r="A826" s="354"/>
      <c r="B826" s="381"/>
      <c r="C826" s="153" t="s">
        <v>894</v>
      </c>
    </row>
    <row r="827" spans="1:3" ht="132">
      <c r="A827" s="354"/>
      <c r="B827" s="381"/>
      <c r="C827" s="153" t="s">
        <v>895</v>
      </c>
    </row>
    <row r="828" spans="1:3" ht="158.44999999999999">
      <c r="A828" s="354"/>
      <c r="B828" s="381"/>
      <c r="C828" s="153" t="s">
        <v>896</v>
      </c>
    </row>
    <row r="829" spans="1:3" ht="79.150000000000006">
      <c r="A829" s="354"/>
      <c r="B829" s="381"/>
      <c r="C829" s="153" t="s">
        <v>897</v>
      </c>
    </row>
    <row r="830" spans="1:3" ht="66">
      <c r="A830" s="354"/>
      <c r="B830" s="381"/>
      <c r="C830" s="153" t="s">
        <v>898</v>
      </c>
    </row>
    <row r="831" spans="1:3" ht="79.150000000000006">
      <c r="A831" s="354"/>
      <c r="B831" s="381"/>
      <c r="C831" s="153" t="s">
        <v>899</v>
      </c>
    </row>
    <row r="832" spans="1:3" ht="66">
      <c r="A832" s="354"/>
      <c r="B832" s="381"/>
      <c r="C832" s="153" t="s">
        <v>900</v>
      </c>
    </row>
    <row r="833" spans="1:3" ht="79.150000000000006">
      <c r="A833" s="354"/>
      <c r="B833" s="381"/>
      <c r="C833" s="153" t="s">
        <v>901</v>
      </c>
    </row>
    <row r="834" spans="1:3" ht="52.9">
      <c r="A834" s="354"/>
      <c r="B834" s="381"/>
      <c r="C834" s="153" t="s">
        <v>902</v>
      </c>
    </row>
    <row r="835" spans="1:3" ht="79.150000000000006">
      <c r="A835" s="354"/>
      <c r="B835" s="381"/>
      <c r="C835" s="153" t="s">
        <v>903</v>
      </c>
    </row>
    <row r="836" spans="1:3" ht="52.9">
      <c r="A836" s="354"/>
      <c r="B836" s="381"/>
      <c r="C836" s="153" t="s">
        <v>904</v>
      </c>
    </row>
    <row r="837" spans="1:3" ht="52.9">
      <c r="A837" s="354"/>
      <c r="B837" s="381"/>
      <c r="C837" s="153" t="s">
        <v>905</v>
      </c>
    </row>
    <row r="838" spans="1:3" ht="52.9">
      <c r="A838" s="354"/>
      <c r="B838" s="381"/>
      <c r="C838" s="153" t="s">
        <v>906</v>
      </c>
    </row>
    <row r="839" spans="1:3" ht="52.9">
      <c r="A839" s="354"/>
      <c r="B839" s="381"/>
      <c r="C839" s="153" t="s">
        <v>907</v>
      </c>
    </row>
    <row r="840" spans="1:3" ht="66">
      <c r="A840" s="354"/>
      <c r="B840" s="381"/>
      <c r="C840" s="153" t="s">
        <v>908</v>
      </c>
    </row>
    <row r="841" spans="1:3" ht="52.9">
      <c r="A841" s="355"/>
      <c r="B841" s="381"/>
      <c r="C841" s="153" t="s">
        <v>909</v>
      </c>
    </row>
    <row r="842" spans="1:3" s="45" customFormat="1">
      <c r="A842" s="127"/>
      <c r="B842" s="127"/>
      <c r="C842" s="154"/>
    </row>
    <row r="843" spans="1:3" ht="79.150000000000006">
      <c r="A843" s="353" t="str">
        <f>"US_" &amp; COUNTA($A$1:A842)</f>
        <v>US_59</v>
      </c>
      <c r="B843" s="381" t="s">
        <v>910</v>
      </c>
      <c r="C843" s="157" t="s">
        <v>911</v>
      </c>
    </row>
    <row r="844" spans="1:3" ht="79.150000000000006">
      <c r="A844" s="354"/>
      <c r="B844" s="381"/>
      <c r="C844" s="157" t="s">
        <v>912</v>
      </c>
    </row>
    <row r="845" spans="1:3" ht="66">
      <c r="A845" s="354"/>
      <c r="B845" s="381"/>
      <c r="C845" s="157" t="s">
        <v>913</v>
      </c>
    </row>
    <row r="846" spans="1:3" ht="52.9">
      <c r="A846" s="354"/>
      <c r="B846" s="381"/>
      <c r="C846" s="157" t="s">
        <v>914</v>
      </c>
    </row>
    <row r="847" spans="1:3" ht="52.9">
      <c r="A847" s="354"/>
      <c r="B847" s="381"/>
      <c r="C847" s="157" t="s">
        <v>915</v>
      </c>
    </row>
    <row r="848" spans="1:3" ht="52.9">
      <c r="A848" s="354"/>
      <c r="B848" s="381"/>
      <c r="C848" s="157" t="s">
        <v>916</v>
      </c>
    </row>
    <row r="849" spans="1:3" ht="66">
      <c r="A849" s="354"/>
      <c r="B849" s="381"/>
      <c r="C849" s="157" t="s">
        <v>917</v>
      </c>
    </row>
    <row r="850" spans="1:3" ht="39.6">
      <c r="A850" s="354"/>
      <c r="B850" s="381"/>
      <c r="C850" s="157" t="s">
        <v>918</v>
      </c>
    </row>
    <row r="851" spans="1:3" ht="66">
      <c r="A851" s="354"/>
      <c r="B851" s="381"/>
      <c r="C851" s="157" t="s">
        <v>919</v>
      </c>
    </row>
    <row r="852" spans="1:3" ht="52.9">
      <c r="A852" s="354"/>
      <c r="B852" s="381"/>
      <c r="C852" s="157" t="s">
        <v>920</v>
      </c>
    </row>
    <row r="853" spans="1:3" ht="52.9">
      <c r="A853" s="354"/>
      <c r="B853" s="381"/>
      <c r="C853" s="157" t="s">
        <v>921</v>
      </c>
    </row>
    <row r="854" spans="1:3" ht="52.9">
      <c r="A854" s="354"/>
      <c r="B854" s="381"/>
      <c r="C854" s="157" t="s">
        <v>922</v>
      </c>
    </row>
    <row r="855" spans="1:3" ht="39.6">
      <c r="A855" s="354"/>
      <c r="B855" s="381"/>
      <c r="C855" s="157" t="s">
        <v>923</v>
      </c>
    </row>
    <row r="856" spans="1:3" ht="39.6">
      <c r="A856" s="354"/>
      <c r="B856" s="381"/>
      <c r="C856" s="157" t="s">
        <v>924</v>
      </c>
    </row>
    <row r="857" spans="1:3" ht="39.6">
      <c r="A857" s="354"/>
      <c r="B857" s="381"/>
      <c r="C857" s="157" t="s">
        <v>925</v>
      </c>
    </row>
    <row r="858" spans="1:3" ht="39.6">
      <c r="A858" s="354"/>
      <c r="B858" s="381"/>
      <c r="C858" s="157" t="s">
        <v>926</v>
      </c>
    </row>
    <row r="859" spans="1:3" ht="39.6">
      <c r="A859" s="354"/>
      <c r="B859" s="381"/>
      <c r="C859" s="157" t="s">
        <v>927</v>
      </c>
    </row>
    <row r="860" spans="1:3" ht="39.6">
      <c r="A860" s="354"/>
      <c r="B860" s="381"/>
      <c r="C860" s="157" t="s">
        <v>928</v>
      </c>
    </row>
    <row r="861" spans="1:3" ht="52.9">
      <c r="A861" s="354"/>
      <c r="B861" s="381"/>
      <c r="C861" s="157" t="s">
        <v>929</v>
      </c>
    </row>
    <row r="862" spans="1:3" ht="52.9">
      <c r="A862" s="354"/>
      <c r="B862" s="381"/>
      <c r="C862" s="157" t="s">
        <v>930</v>
      </c>
    </row>
    <row r="863" spans="1:3" ht="29.25" customHeight="1">
      <c r="B863" s="117"/>
      <c r="C863" s="157"/>
    </row>
    <row r="864" spans="1:3" s="55" customFormat="1" ht="31.5" customHeight="1">
      <c r="A864" s="53"/>
      <c r="B864" s="118"/>
      <c r="C864" s="158"/>
    </row>
    <row r="865" spans="1:4">
      <c r="B865" s="117"/>
      <c r="C865" s="157"/>
    </row>
    <row r="866" spans="1:4" ht="105.6">
      <c r="A866" s="352" t="str">
        <f>"US_" &amp; COUNTA($A$1:A865)</f>
        <v>US_60</v>
      </c>
      <c r="B866" s="382" t="s">
        <v>931</v>
      </c>
      <c r="C866" s="157" t="s">
        <v>932</v>
      </c>
    </row>
    <row r="867" spans="1:4" ht="66">
      <c r="A867" s="352"/>
      <c r="B867" s="382"/>
      <c r="C867" s="157" t="s">
        <v>933</v>
      </c>
    </row>
    <row r="868" spans="1:4" ht="66">
      <c r="A868" s="352"/>
      <c r="B868" s="382"/>
      <c r="C868" s="157" t="s">
        <v>934</v>
      </c>
      <c r="D868" s="128"/>
    </row>
    <row r="869" spans="1:4" ht="66">
      <c r="A869" s="352"/>
      <c r="B869" s="382"/>
      <c r="C869" s="157" t="s">
        <v>935</v>
      </c>
    </row>
    <row r="870" spans="1:4" ht="52.9">
      <c r="A870" s="352"/>
      <c r="B870" s="382"/>
      <c r="C870" s="157" t="s">
        <v>936</v>
      </c>
    </row>
    <row r="871" spans="1:4" ht="52.9">
      <c r="A871" s="352"/>
      <c r="B871" s="382"/>
      <c r="C871" s="157" t="s">
        <v>937</v>
      </c>
    </row>
    <row r="872" spans="1:4" ht="52.9">
      <c r="A872" s="352"/>
      <c r="B872" s="382"/>
      <c r="C872" s="157" t="s">
        <v>938</v>
      </c>
    </row>
    <row r="873" spans="1:4" ht="52.9">
      <c r="A873" s="352"/>
      <c r="B873" s="382"/>
      <c r="C873" s="157" t="s">
        <v>939</v>
      </c>
    </row>
    <row r="874" spans="1:4" ht="52.9">
      <c r="A874" s="352"/>
      <c r="B874" s="382"/>
      <c r="C874" s="157" t="s">
        <v>940</v>
      </c>
    </row>
    <row r="875" spans="1:4" ht="66">
      <c r="A875" s="352"/>
      <c r="B875" s="382"/>
      <c r="C875" s="157" t="s">
        <v>941</v>
      </c>
    </row>
    <row r="876" spans="1:4" ht="39.6">
      <c r="A876" s="352"/>
      <c r="B876" s="382"/>
      <c r="C876" s="157" t="s">
        <v>942</v>
      </c>
    </row>
    <row r="877" spans="1:4" ht="52.9">
      <c r="A877" s="352"/>
      <c r="B877" s="382"/>
      <c r="C877" s="157" t="s">
        <v>943</v>
      </c>
    </row>
    <row r="878" spans="1:4" ht="39.6">
      <c r="A878" s="352"/>
      <c r="B878" s="382"/>
      <c r="C878" s="157" t="s">
        <v>944</v>
      </c>
    </row>
    <row r="879" spans="1:4" ht="52.9">
      <c r="A879" s="352"/>
      <c r="B879" s="382"/>
      <c r="C879" s="157" t="s">
        <v>945</v>
      </c>
    </row>
    <row r="880" spans="1:4" ht="39.6">
      <c r="A880" s="352"/>
      <c r="B880" s="382"/>
      <c r="C880" s="157" t="s">
        <v>946</v>
      </c>
    </row>
    <row r="881" spans="1:3" ht="39.6">
      <c r="A881" s="352"/>
      <c r="B881" s="382"/>
      <c r="C881" s="157" t="s">
        <v>947</v>
      </c>
    </row>
    <row r="882" spans="1:3" ht="52.9">
      <c r="A882" s="352"/>
      <c r="B882" s="382"/>
      <c r="C882" s="157" t="s">
        <v>948</v>
      </c>
    </row>
    <row r="883" spans="1:3" ht="39.6">
      <c r="A883" s="352"/>
      <c r="B883" s="382"/>
      <c r="C883" s="157" t="s">
        <v>949</v>
      </c>
    </row>
    <row r="884" spans="1:3">
      <c r="B884" s="117"/>
      <c r="C884" s="157"/>
    </row>
    <row r="885" spans="1:3" s="55" customFormat="1">
      <c r="A885" s="53"/>
      <c r="B885" s="118"/>
      <c r="C885" s="158"/>
    </row>
    <row r="886" spans="1:3">
      <c r="B886" s="117"/>
      <c r="C886" s="157"/>
    </row>
    <row r="887" spans="1:3" ht="66">
      <c r="A887" s="337" t="str">
        <f>"US_" &amp; COUNTA($A$1:A886)</f>
        <v>US_61</v>
      </c>
      <c r="B887" s="383" t="s">
        <v>950</v>
      </c>
      <c r="C887" s="157" t="s">
        <v>951</v>
      </c>
    </row>
    <row r="888" spans="1:3" ht="52.9">
      <c r="A888" s="337"/>
      <c r="B888" s="383"/>
      <c r="C888" s="157" t="s">
        <v>952</v>
      </c>
    </row>
    <row r="889" spans="1:3" ht="39.6">
      <c r="A889" s="337"/>
      <c r="B889" s="383"/>
      <c r="C889" s="153" t="s">
        <v>953</v>
      </c>
    </row>
    <row r="890" spans="1:3" ht="52.9">
      <c r="A890" s="337"/>
      <c r="B890" s="383"/>
      <c r="C890" s="153" t="s">
        <v>954</v>
      </c>
    </row>
    <row r="891" spans="1:3" ht="66">
      <c r="A891" s="337"/>
      <c r="B891" s="383"/>
      <c r="C891" s="153" t="s">
        <v>955</v>
      </c>
    </row>
    <row r="892" spans="1:3" ht="39.6">
      <c r="A892" s="337"/>
      <c r="B892" s="383"/>
      <c r="C892" s="153" t="s">
        <v>956</v>
      </c>
    </row>
    <row r="893" spans="1:3" ht="39.6">
      <c r="A893" s="337"/>
      <c r="B893" s="383"/>
      <c r="C893" s="153" t="s">
        <v>957</v>
      </c>
    </row>
    <row r="894" spans="1:3" ht="39.6">
      <c r="A894" s="337"/>
      <c r="B894" s="383"/>
      <c r="C894" s="153" t="s">
        <v>958</v>
      </c>
    </row>
    <row r="895" spans="1:3" ht="52.9">
      <c r="A895" s="337"/>
      <c r="B895" s="383"/>
      <c r="C895" s="153" t="s">
        <v>959</v>
      </c>
    </row>
    <row r="896" spans="1:3" ht="52.9">
      <c r="A896" s="337"/>
      <c r="B896" s="383"/>
      <c r="C896" s="153" t="s">
        <v>960</v>
      </c>
    </row>
    <row r="897" spans="1:3" ht="39.6">
      <c r="A897" s="337"/>
      <c r="B897" s="383"/>
      <c r="C897" s="153" t="s">
        <v>961</v>
      </c>
    </row>
    <row r="898" spans="1:3" ht="39.6">
      <c r="A898" s="337"/>
      <c r="B898" s="383"/>
      <c r="C898" s="153" t="s">
        <v>962</v>
      </c>
    </row>
    <row r="899" spans="1:3" ht="52.9">
      <c r="A899" s="337"/>
      <c r="B899" s="383"/>
      <c r="C899" s="153" t="s">
        <v>963</v>
      </c>
    </row>
    <row r="900" spans="1:3" ht="52.9">
      <c r="A900" s="338"/>
      <c r="B900" s="383"/>
      <c r="C900" s="153" t="s">
        <v>964</v>
      </c>
    </row>
    <row r="901" spans="1:3" s="45" customFormat="1">
      <c r="A901" s="154"/>
      <c r="B901" s="154"/>
      <c r="C901" s="154"/>
    </row>
    <row r="902" spans="1:3" ht="52.9">
      <c r="A902" s="337" t="str">
        <f>"US_" &amp; COUNTA($A$1:A901)</f>
        <v>US_62</v>
      </c>
      <c r="B902" s="383" t="s">
        <v>965</v>
      </c>
      <c r="C902" s="157" t="s">
        <v>966</v>
      </c>
    </row>
    <row r="903" spans="1:3" ht="52.9">
      <c r="A903" s="337"/>
      <c r="B903" s="383"/>
      <c r="C903" s="157" t="s">
        <v>967</v>
      </c>
    </row>
    <row r="904" spans="1:3" ht="52.9">
      <c r="A904" s="337"/>
      <c r="B904" s="383"/>
      <c r="C904" s="157" t="s">
        <v>968</v>
      </c>
    </row>
    <row r="905" spans="1:3" ht="66">
      <c r="A905" s="337"/>
      <c r="B905" s="383"/>
      <c r="C905" s="157" t="s">
        <v>969</v>
      </c>
    </row>
    <row r="906" spans="1:3" ht="39.6">
      <c r="A906" s="337"/>
      <c r="B906" s="383"/>
      <c r="C906" s="157" t="s">
        <v>970</v>
      </c>
    </row>
    <row r="907" spans="1:3" ht="39.6">
      <c r="A907" s="337"/>
      <c r="B907" s="383"/>
      <c r="C907" s="157" t="s">
        <v>971</v>
      </c>
    </row>
    <row r="908" spans="1:3" ht="39.6">
      <c r="A908" s="337"/>
      <c r="B908" s="383"/>
      <c r="C908" s="157" t="s">
        <v>972</v>
      </c>
    </row>
    <row r="909" spans="1:3" ht="39.6">
      <c r="A909" s="337"/>
      <c r="B909" s="383"/>
      <c r="C909" s="157" t="s">
        <v>973</v>
      </c>
    </row>
    <row r="910" spans="1:3" ht="39.6">
      <c r="A910" s="337"/>
      <c r="B910" s="383"/>
      <c r="C910" s="157" t="s">
        <v>974</v>
      </c>
    </row>
    <row r="911" spans="1:3" ht="52.9">
      <c r="A911" s="337"/>
      <c r="B911" s="383"/>
      <c r="C911" s="157" t="s">
        <v>975</v>
      </c>
    </row>
    <row r="912" spans="1:3" ht="39.6">
      <c r="A912" s="337"/>
      <c r="B912" s="383"/>
      <c r="C912" s="157" t="s">
        <v>976</v>
      </c>
    </row>
    <row r="913" spans="1:4" ht="52.9">
      <c r="A913" s="337"/>
      <c r="B913" s="383"/>
      <c r="C913" s="157" t="s">
        <v>977</v>
      </c>
    </row>
    <row r="914" spans="1:4" ht="52.9">
      <c r="A914" s="337"/>
      <c r="B914" s="383"/>
      <c r="C914" s="157" t="s">
        <v>978</v>
      </c>
    </row>
    <row r="915" spans="1:4" ht="52.9">
      <c r="A915" s="338"/>
      <c r="B915" s="383"/>
      <c r="C915" s="157" t="s">
        <v>979</v>
      </c>
    </row>
    <row r="916" spans="1:4" s="45" customFormat="1">
      <c r="A916" s="159"/>
      <c r="B916" s="159"/>
      <c r="C916" s="159"/>
    </row>
    <row r="917" spans="1:4" ht="66">
      <c r="A917" s="351" t="str">
        <f>"US_" &amp; COUNTA($A$1:A916)</f>
        <v>US_63</v>
      </c>
      <c r="B917" s="383" t="s">
        <v>980</v>
      </c>
      <c r="C917" s="157" t="s">
        <v>981</v>
      </c>
      <c r="D917" s="5" t="s">
        <v>982</v>
      </c>
    </row>
    <row r="918" spans="1:4" ht="66">
      <c r="A918" s="337"/>
      <c r="B918" s="383"/>
      <c r="C918" s="157" t="s">
        <v>983</v>
      </c>
    </row>
    <row r="919" spans="1:4" ht="66">
      <c r="A919" s="337"/>
      <c r="B919" s="383"/>
      <c r="C919" s="157" t="s">
        <v>984</v>
      </c>
    </row>
    <row r="920" spans="1:4" ht="66">
      <c r="A920" s="337"/>
      <c r="B920" s="383"/>
      <c r="C920" s="157" t="s">
        <v>985</v>
      </c>
    </row>
    <row r="921" spans="1:4" ht="39.6">
      <c r="A921" s="337"/>
      <c r="B921" s="383"/>
      <c r="C921" s="157" t="s">
        <v>986</v>
      </c>
    </row>
    <row r="922" spans="1:4" ht="52.9">
      <c r="A922" s="337"/>
      <c r="B922" s="383"/>
      <c r="C922" s="157" t="s">
        <v>987</v>
      </c>
    </row>
    <row r="923" spans="1:4" ht="39.6">
      <c r="A923" s="337"/>
      <c r="B923" s="383"/>
      <c r="C923" s="157" t="s">
        <v>988</v>
      </c>
    </row>
    <row r="924" spans="1:4" ht="52.9">
      <c r="A924" s="337"/>
      <c r="B924" s="383"/>
      <c r="C924" s="157" t="s">
        <v>989</v>
      </c>
    </row>
    <row r="925" spans="1:4" ht="66">
      <c r="A925" s="337"/>
      <c r="B925" s="383"/>
      <c r="C925" s="157" t="s">
        <v>990</v>
      </c>
    </row>
    <row r="926" spans="1:4" ht="39.6">
      <c r="A926" s="337"/>
      <c r="B926" s="383"/>
      <c r="C926" s="157" t="s">
        <v>991</v>
      </c>
    </row>
    <row r="927" spans="1:4" ht="39.6">
      <c r="A927" s="337"/>
      <c r="B927" s="383"/>
      <c r="C927" s="157" t="s">
        <v>992</v>
      </c>
    </row>
    <row r="928" spans="1:4" ht="52.9">
      <c r="A928" s="337"/>
      <c r="B928" s="383"/>
      <c r="C928" s="157" t="s">
        <v>993</v>
      </c>
    </row>
    <row r="929" spans="1:4" ht="52.9">
      <c r="A929" s="337"/>
      <c r="B929" s="383"/>
      <c r="C929" s="157" t="s">
        <v>994</v>
      </c>
    </row>
    <row r="930" spans="1:4" ht="52.9">
      <c r="A930" s="338"/>
      <c r="B930" s="383"/>
      <c r="C930" s="157" t="s">
        <v>995</v>
      </c>
    </row>
    <row r="931" spans="1:4" s="45" customFormat="1">
      <c r="A931" s="159"/>
      <c r="B931" s="159"/>
      <c r="C931" s="159"/>
    </row>
    <row r="932" spans="1:4" ht="66">
      <c r="A932" s="337" t="str">
        <f>"US_" &amp; COUNTA($A$1:A931)</f>
        <v>US_64</v>
      </c>
      <c r="B932" s="383" t="s">
        <v>996</v>
      </c>
      <c r="C932" s="157" t="s">
        <v>997</v>
      </c>
      <c r="D932" s="5" t="s">
        <v>982</v>
      </c>
    </row>
    <row r="933" spans="1:4" ht="52.9">
      <c r="A933" s="337"/>
      <c r="B933" s="383"/>
      <c r="C933" s="157" t="s">
        <v>998</v>
      </c>
      <c r="D933" s="5"/>
    </row>
    <row r="934" spans="1:4" ht="66">
      <c r="A934" s="337"/>
      <c r="B934" s="383"/>
      <c r="C934" s="157" t="s">
        <v>999</v>
      </c>
    </row>
    <row r="935" spans="1:4" ht="52.9">
      <c r="A935" s="337"/>
      <c r="B935" s="383"/>
      <c r="C935" s="157" t="s">
        <v>1000</v>
      </c>
    </row>
    <row r="936" spans="1:4" ht="52.9">
      <c r="A936" s="337"/>
      <c r="B936" s="383"/>
      <c r="C936" s="157" t="s">
        <v>1001</v>
      </c>
    </row>
    <row r="937" spans="1:4" ht="39.6">
      <c r="A937" s="337"/>
      <c r="B937" s="383"/>
      <c r="C937" s="157" t="s">
        <v>1002</v>
      </c>
    </row>
    <row r="938" spans="1:4" ht="39.6">
      <c r="A938" s="337"/>
      <c r="B938" s="383"/>
      <c r="C938" s="157" t="s">
        <v>1003</v>
      </c>
    </row>
    <row r="939" spans="1:4" ht="52.9">
      <c r="A939" s="337"/>
      <c r="B939" s="383"/>
      <c r="C939" s="157" t="s">
        <v>1004</v>
      </c>
    </row>
    <row r="940" spans="1:4" ht="39.6">
      <c r="A940" s="337"/>
      <c r="B940" s="383"/>
      <c r="C940" s="157" t="s">
        <v>1005</v>
      </c>
    </row>
    <row r="941" spans="1:4" ht="39.6">
      <c r="A941" s="337"/>
      <c r="B941" s="383"/>
      <c r="C941" s="157" t="s">
        <v>1006</v>
      </c>
    </row>
    <row r="942" spans="1:4" ht="52.9">
      <c r="A942" s="337"/>
      <c r="B942" s="383"/>
      <c r="C942" s="157" t="s">
        <v>1007</v>
      </c>
    </row>
    <row r="943" spans="1:4" ht="52.9">
      <c r="A943" s="338"/>
      <c r="B943" s="383"/>
      <c r="C943" s="157" t="s">
        <v>1008</v>
      </c>
    </row>
    <row r="944" spans="1:4" s="45" customFormat="1">
      <c r="A944" s="159"/>
      <c r="B944" s="161"/>
      <c r="C944" s="159"/>
    </row>
    <row r="945" spans="1:4" ht="52.9">
      <c r="A945" s="337" t="str">
        <f>"US_" &amp; COUNTA($A$1:A944)</f>
        <v>US_65</v>
      </c>
      <c r="B945" s="383" t="s">
        <v>996</v>
      </c>
      <c r="C945" s="157" t="s">
        <v>1009</v>
      </c>
      <c r="D945" s="5" t="s">
        <v>982</v>
      </c>
    </row>
    <row r="946" spans="1:4" ht="52.9">
      <c r="A946" s="337"/>
      <c r="B946" s="383"/>
      <c r="C946" s="157" t="s">
        <v>1010</v>
      </c>
      <c r="D946" s="46"/>
    </row>
    <row r="947" spans="1:4" ht="52.9">
      <c r="A947" s="337"/>
      <c r="B947" s="383"/>
      <c r="C947" s="157" t="s">
        <v>1011</v>
      </c>
    </row>
    <row r="948" spans="1:4" ht="39.6">
      <c r="A948" s="337"/>
      <c r="B948" s="383"/>
      <c r="C948" s="157" t="s">
        <v>1012</v>
      </c>
    </row>
    <row r="949" spans="1:4" ht="52.9">
      <c r="A949" s="337"/>
      <c r="B949" s="383"/>
      <c r="C949" s="157" t="s">
        <v>1013</v>
      </c>
    </row>
    <row r="950" spans="1:4" ht="39.6">
      <c r="A950" s="337"/>
      <c r="B950" s="383"/>
      <c r="C950" s="157" t="s">
        <v>1014</v>
      </c>
    </row>
    <row r="951" spans="1:4" ht="39.6">
      <c r="A951" s="337"/>
      <c r="B951" s="383"/>
      <c r="C951" s="157" t="s">
        <v>1015</v>
      </c>
    </row>
    <row r="952" spans="1:4" ht="52.9">
      <c r="A952" s="337"/>
      <c r="B952" s="383"/>
      <c r="C952" s="157" t="s">
        <v>1016</v>
      </c>
    </row>
    <row r="953" spans="1:4" ht="39.6">
      <c r="A953" s="337"/>
      <c r="B953" s="383"/>
      <c r="C953" s="157" t="s">
        <v>1017</v>
      </c>
    </row>
    <row r="954" spans="1:4" ht="39.6">
      <c r="A954" s="337"/>
      <c r="B954" s="383"/>
      <c r="C954" s="157" t="s">
        <v>1018</v>
      </c>
    </row>
    <row r="955" spans="1:4" ht="52.9">
      <c r="A955" s="337"/>
      <c r="B955" s="383"/>
      <c r="C955" s="157" t="s">
        <v>1019</v>
      </c>
    </row>
    <row r="956" spans="1:4" ht="52.9">
      <c r="A956" s="338"/>
      <c r="B956" s="383"/>
      <c r="C956" s="157" t="s">
        <v>1020</v>
      </c>
    </row>
    <row r="957" spans="1:4" s="45" customFormat="1">
      <c r="A957" s="159"/>
      <c r="B957" s="161"/>
      <c r="C957" s="159"/>
    </row>
    <row r="958" spans="1:4" ht="66">
      <c r="A958" s="337" t="str">
        <f>"US_" &amp; COUNTA($A$1:A957)</f>
        <v>US_66</v>
      </c>
      <c r="B958" s="383" t="s">
        <v>1021</v>
      </c>
      <c r="C958" s="157" t="s">
        <v>1022</v>
      </c>
      <c r="D958" s="5" t="s">
        <v>982</v>
      </c>
    </row>
    <row r="959" spans="1:4" ht="66">
      <c r="A959" s="337"/>
      <c r="B959" s="383"/>
      <c r="C959" s="157" t="s">
        <v>1023</v>
      </c>
    </row>
    <row r="960" spans="1:4" ht="66">
      <c r="A960" s="337"/>
      <c r="B960" s="383"/>
      <c r="C960" s="157" t="s">
        <v>1024</v>
      </c>
    </row>
    <row r="961" spans="1:4" ht="52.9">
      <c r="A961" s="337"/>
      <c r="B961" s="383"/>
      <c r="C961" s="157" t="s">
        <v>1025</v>
      </c>
    </row>
    <row r="962" spans="1:4" ht="39.6">
      <c r="A962" s="337"/>
      <c r="B962" s="383"/>
      <c r="C962" s="157" t="s">
        <v>1026</v>
      </c>
    </row>
    <row r="963" spans="1:4" ht="39.6">
      <c r="A963" s="337"/>
      <c r="B963" s="383"/>
      <c r="C963" s="157" t="s">
        <v>1027</v>
      </c>
    </row>
    <row r="964" spans="1:4" ht="52.9">
      <c r="A964" s="337"/>
      <c r="B964" s="383"/>
      <c r="C964" s="157" t="s">
        <v>1028</v>
      </c>
    </row>
    <row r="965" spans="1:4" ht="39.6">
      <c r="A965" s="337"/>
      <c r="B965" s="383"/>
      <c r="C965" s="157" t="s">
        <v>1029</v>
      </c>
    </row>
    <row r="966" spans="1:4" ht="39.6">
      <c r="A966" s="337"/>
      <c r="B966" s="383"/>
      <c r="C966" s="157" t="s">
        <v>1030</v>
      </c>
    </row>
    <row r="967" spans="1:4" ht="66">
      <c r="A967" s="338"/>
      <c r="B967" s="383"/>
      <c r="C967" s="157" t="s">
        <v>1031</v>
      </c>
    </row>
    <row r="968" spans="1:4" s="45" customFormat="1">
      <c r="A968" s="159"/>
      <c r="B968" s="161"/>
      <c r="C968" s="159"/>
    </row>
    <row r="969" spans="1:4" ht="52.9">
      <c r="A969" s="351" t="str">
        <f>"US_" &amp; COUNTA($A$1:A968)</f>
        <v>US_67</v>
      </c>
      <c r="B969" s="383" t="s">
        <v>1032</v>
      </c>
      <c r="C969" s="157" t="s">
        <v>1033</v>
      </c>
      <c r="D969" s="5" t="s">
        <v>982</v>
      </c>
    </row>
    <row r="970" spans="1:4" ht="52.9">
      <c r="A970" s="337"/>
      <c r="B970" s="383"/>
      <c r="C970" s="157" t="s">
        <v>1034</v>
      </c>
    </row>
    <row r="971" spans="1:4" ht="52.9">
      <c r="A971" s="337"/>
      <c r="B971" s="383"/>
      <c r="C971" s="157" t="s">
        <v>1035</v>
      </c>
    </row>
    <row r="972" spans="1:4" ht="52.9">
      <c r="A972" s="337"/>
      <c r="B972" s="383"/>
      <c r="C972" s="157" t="s">
        <v>1036</v>
      </c>
    </row>
    <row r="973" spans="1:4" ht="52.9">
      <c r="A973" s="337"/>
      <c r="B973" s="383"/>
      <c r="C973" s="157" t="s">
        <v>1037</v>
      </c>
    </row>
    <row r="974" spans="1:4" ht="39.6">
      <c r="A974" s="337"/>
      <c r="B974" s="383"/>
      <c r="C974" s="157" t="s">
        <v>1038</v>
      </c>
    </row>
    <row r="975" spans="1:4" ht="52.9">
      <c r="A975" s="337"/>
      <c r="B975" s="383"/>
      <c r="C975" s="157" t="s">
        <v>1039</v>
      </c>
    </row>
    <row r="976" spans="1:4" ht="39.6">
      <c r="A976" s="337"/>
      <c r="B976" s="383"/>
      <c r="C976" s="157" t="s">
        <v>1040</v>
      </c>
    </row>
    <row r="977" spans="1:4" ht="39.6">
      <c r="A977" s="337"/>
      <c r="B977" s="383"/>
      <c r="C977" s="157" t="s">
        <v>1041</v>
      </c>
    </row>
    <row r="978" spans="1:4" ht="66">
      <c r="A978" s="338"/>
      <c r="B978" s="383"/>
      <c r="C978" s="157" t="s">
        <v>1042</v>
      </c>
    </row>
    <row r="979" spans="1:4" s="45" customFormat="1">
      <c r="A979" s="159"/>
      <c r="B979" s="159"/>
      <c r="C979" s="159"/>
    </row>
    <row r="980" spans="1:4" ht="79.150000000000006">
      <c r="A980" s="337" t="str">
        <f>"US_" &amp; COUNTA($A$1:A979)</f>
        <v>US_68</v>
      </c>
      <c r="B980" s="383" t="s">
        <v>1043</v>
      </c>
      <c r="C980" s="157" t="s">
        <v>1044</v>
      </c>
      <c r="D980" s="5" t="s">
        <v>982</v>
      </c>
    </row>
    <row r="981" spans="1:4" ht="66">
      <c r="A981" s="337"/>
      <c r="B981" s="383"/>
      <c r="C981" s="157" t="s">
        <v>1045</v>
      </c>
    </row>
    <row r="982" spans="1:4" ht="66">
      <c r="A982" s="337"/>
      <c r="B982" s="383"/>
      <c r="C982" s="157" t="s">
        <v>1046</v>
      </c>
    </row>
    <row r="983" spans="1:4" ht="39.6">
      <c r="A983" s="337"/>
      <c r="B983" s="383"/>
      <c r="C983" s="157" t="s">
        <v>1047</v>
      </c>
    </row>
    <row r="984" spans="1:4" ht="52.9">
      <c r="A984" s="337"/>
      <c r="B984" s="383"/>
      <c r="C984" s="157" t="s">
        <v>1048</v>
      </c>
    </row>
    <row r="985" spans="1:4" ht="39.6">
      <c r="A985" s="337"/>
      <c r="B985" s="383"/>
      <c r="C985" s="157" t="s">
        <v>1049</v>
      </c>
    </row>
    <row r="986" spans="1:4" ht="52.9">
      <c r="A986" s="337"/>
      <c r="B986" s="383"/>
      <c r="C986" s="157" t="s">
        <v>1050</v>
      </c>
    </row>
    <row r="987" spans="1:4" ht="39.6">
      <c r="A987" s="337"/>
      <c r="B987" s="383"/>
      <c r="C987" s="157" t="s">
        <v>1051</v>
      </c>
    </row>
    <row r="988" spans="1:4" ht="39.6">
      <c r="A988" s="337"/>
      <c r="B988" s="383"/>
      <c r="C988" s="157" t="s">
        <v>1041</v>
      </c>
    </row>
    <row r="989" spans="1:4" ht="66">
      <c r="A989" s="337"/>
      <c r="B989" s="383"/>
      <c r="C989" s="157" t="s">
        <v>1052</v>
      </c>
    </row>
    <row r="990" spans="1:4">
      <c r="B990" s="117"/>
      <c r="C990" s="157"/>
    </row>
    <row r="991" spans="1:4" s="55" customFormat="1" ht="43.5" customHeight="1">
      <c r="A991" s="53"/>
      <c r="B991" s="118"/>
      <c r="C991" s="158"/>
    </row>
    <row r="992" spans="1:4">
      <c r="B992" s="117"/>
      <c r="C992" s="157"/>
    </row>
    <row r="993" spans="1:4" ht="259.14999999999998">
      <c r="A993" s="350" t="str">
        <f>"US_" &amp; COUNTA($A$1:A992)</f>
        <v>US_69</v>
      </c>
      <c r="B993" s="384" t="s">
        <v>1053</v>
      </c>
      <c r="C993" s="157" t="s">
        <v>1054</v>
      </c>
      <c r="D993" s="5" t="s">
        <v>1055</v>
      </c>
    </row>
    <row r="994" spans="1:4" ht="66">
      <c r="A994" s="350"/>
      <c r="B994" s="384"/>
      <c r="C994" s="157" t="s">
        <v>1056</v>
      </c>
    </row>
    <row r="995" spans="1:4" ht="39.6">
      <c r="A995" s="350"/>
      <c r="B995" s="384"/>
      <c r="C995" s="157" t="s">
        <v>1057</v>
      </c>
    </row>
    <row r="996" spans="1:4" ht="39.6">
      <c r="A996" s="350"/>
      <c r="B996" s="384"/>
      <c r="C996" s="157" t="s">
        <v>1058</v>
      </c>
    </row>
    <row r="997" spans="1:4" ht="39.6">
      <c r="A997" s="350"/>
      <c r="B997" s="384"/>
      <c r="C997" s="157" t="s">
        <v>1059</v>
      </c>
    </row>
    <row r="998" spans="1:4" ht="39.6">
      <c r="A998" s="350"/>
      <c r="B998" s="384"/>
      <c r="C998" s="157" t="s">
        <v>1060</v>
      </c>
    </row>
    <row r="999" spans="1:4" ht="52.9">
      <c r="A999" s="350"/>
      <c r="B999" s="384"/>
      <c r="C999" s="157" t="s">
        <v>1061</v>
      </c>
    </row>
    <row r="1000" spans="1:4" ht="26.45">
      <c r="A1000" s="350"/>
      <c r="B1000" s="384"/>
      <c r="C1000" s="157" t="s">
        <v>1062</v>
      </c>
    </row>
    <row r="1001" spans="1:4" ht="39.6">
      <c r="A1001" s="350"/>
      <c r="B1001" s="384"/>
      <c r="C1001" s="157" t="s">
        <v>1063</v>
      </c>
    </row>
    <row r="1002" spans="1:4" ht="39.6">
      <c r="A1002" s="350"/>
      <c r="B1002" s="384"/>
      <c r="C1002" s="157" t="s">
        <v>1064</v>
      </c>
    </row>
    <row r="1003" spans="1:4" ht="39.6">
      <c r="A1003" s="350"/>
      <c r="B1003" s="384"/>
      <c r="C1003" s="157" t="s">
        <v>1065</v>
      </c>
    </row>
    <row r="1004" spans="1:4" ht="39.6">
      <c r="A1004" s="350"/>
      <c r="B1004" s="384"/>
      <c r="C1004" s="157" t="s">
        <v>1066</v>
      </c>
    </row>
    <row r="1005" spans="1:4" ht="26.45">
      <c r="A1005" s="350"/>
      <c r="B1005" s="384"/>
      <c r="C1005" s="157" t="s">
        <v>1067</v>
      </c>
    </row>
    <row r="1006" spans="1:4" ht="39.6">
      <c r="A1006" s="350"/>
      <c r="B1006" s="384"/>
      <c r="C1006" s="157" t="s">
        <v>1068</v>
      </c>
    </row>
    <row r="1007" spans="1:4" ht="39.6">
      <c r="A1007" s="350"/>
      <c r="B1007" s="384"/>
      <c r="C1007" s="157" t="s">
        <v>1069</v>
      </c>
    </row>
    <row r="1008" spans="1:4" ht="39.6">
      <c r="A1008" s="350"/>
      <c r="B1008" s="384"/>
      <c r="C1008" s="157" t="s">
        <v>1070</v>
      </c>
    </row>
    <row r="1009" spans="1:4" ht="39.6">
      <c r="A1009" s="350"/>
      <c r="B1009" s="384"/>
      <c r="C1009" s="157" t="s">
        <v>1071</v>
      </c>
    </row>
    <row r="1010" spans="1:4" ht="39.6">
      <c r="A1010" s="350"/>
      <c r="B1010" s="384"/>
      <c r="C1010" s="157" t="s">
        <v>1072</v>
      </c>
    </row>
    <row r="1011" spans="1:4">
      <c r="B1011" s="117"/>
      <c r="C1011" s="157"/>
    </row>
    <row r="1012" spans="1:4" s="55" customFormat="1">
      <c r="A1012" s="53"/>
      <c r="B1012" s="118"/>
      <c r="C1012" s="158"/>
    </row>
    <row r="1013" spans="1:4">
      <c r="B1013" s="117"/>
      <c r="C1013" s="157"/>
    </row>
    <row r="1014" spans="1:4" ht="52.9">
      <c r="A1014" s="349" t="str">
        <f>"US_" &amp; COUNTA($A$1:A1013)</f>
        <v>US_70</v>
      </c>
      <c r="B1014" s="385" t="s">
        <v>1073</v>
      </c>
      <c r="C1014" s="157" t="s">
        <v>1074</v>
      </c>
      <c r="D1014" s="5"/>
    </row>
    <row r="1015" spans="1:4" ht="52.9">
      <c r="A1015" s="349"/>
      <c r="B1015" s="385"/>
      <c r="C1015" s="157" t="s">
        <v>1075</v>
      </c>
    </row>
    <row r="1016" spans="1:4" ht="39.6">
      <c r="A1016" s="349"/>
      <c r="B1016" s="385"/>
      <c r="C1016" s="157" t="s">
        <v>1076</v>
      </c>
    </row>
    <row r="1017" spans="1:4" ht="39.6">
      <c r="A1017" s="349"/>
      <c r="B1017" s="385"/>
      <c r="C1017" s="157" t="s">
        <v>1077</v>
      </c>
    </row>
    <row r="1018" spans="1:4" ht="39.6">
      <c r="A1018" s="349"/>
      <c r="B1018" s="385"/>
      <c r="C1018" s="157" t="s">
        <v>1078</v>
      </c>
    </row>
    <row r="1019" spans="1:4" ht="39.6">
      <c r="A1019" s="349"/>
      <c r="B1019" s="385"/>
      <c r="C1019" s="157" t="s">
        <v>1079</v>
      </c>
    </row>
    <row r="1020" spans="1:4" ht="48.6" customHeight="1">
      <c r="A1020" s="349"/>
      <c r="B1020" s="385"/>
      <c r="C1020" s="157" t="s">
        <v>1080</v>
      </c>
    </row>
    <row r="1021" spans="1:4" ht="66.599999999999994" customHeight="1">
      <c r="A1021" s="349"/>
      <c r="B1021" s="385"/>
      <c r="C1021" s="157" t="s">
        <v>1081</v>
      </c>
    </row>
    <row r="1022" spans="1:4" ht="60" customHeight="1">
      <c r="A1022" s="349"/>
      <c r="B1022" s="385"/>
      <c r="C1022" s="157" t="s">
        <v>1082</v>
      </c>
    </row>
    <row r="1023" spans="1:4">
      <c r="B1023" s="117"/>
      <c r="C1023" s="157"/>
    </row>
    <row r="1024" spans="1:4" s="55" customFormat="1" ht="38.25" customHeight="1">
      <c r="A1024" s="53"/>
      <c r="B1024" s="118"/>
      <c r="C1024" s="158"/>
    </row>
    <row r="1025" spans="1:4">
      <c r="B1025" s="117"/>
      <c r="C1025" s="157"/>
    </row>
    <row r="1026" spans="1:4" ht="52.9">
      <c r="A1026" s="347" t="str">
        <f>"US_" &amp; COUNTA($A$1:A1025)</f>
        <v>US_71</v>
      </c>
      <c r="B1026" s="379" t="s">
        <v>1083</v>
      </c>
      <c r="C1026" s="157" t="s">
        <v>1084</v>
      </c>
      <c r="D1026" s="5" t="s">
        <v>982</v>
      </c>
    </row>
    <row r="1027" spans="1:4" ht="52.9">
      <c r="A1027" s="347"/>
      <c r="B1027" s="379"/>
      <c r="C1027" s="157" t="s">
        <v>1085</v>
      </c>
    </row>
    <row r="1028" spans="1:4" ht="52.9">
      <c r="A1028" s="347"/>
      <c r="B1028" s="379"/>
      <c r="C1028" s="157" t="s">
        <v>1086</v>
      </c>
    </row>
    <row r="1029" spans="1:4" ht="39.6">
      <c r="A1029" s="347"/>
      <c r="B1029" s="379"/>
      <c r="C1029" s="157" t="s">
        <v>1087</v>
      </c>
    </row>
    <row r="1030" spans="1:4" ht="39.6">
      <c r="A1030" s="347"/>
      <c r="B1030" s="379"/>
      <c r="C1030" s="157" t="s">
        <v>1088</v>
      </c>
    </row>
    <row r="1031" spans="1:4" ht="39.6">
      <c r="A1031" s="347"/>
      <c r="B1031" s="379"/>
      <c r="C1031" s="157" t="s">
        <v>1089</v>
      </c>
    </row>
    <row r="1032" spans="1:4" ht="39.6">
      <c r="A1032" s="347"/>
      <c r="B1032" s="379"/>
      <c r="C1032" s="157" t="s">
        <v>1090</v>
      </c>
    </row>
    <row r="1033" spans="1:4" ht="39.6">
      <c r="A1033" s="347"/>
      <c r="B1033" s="379"/>
      <c r="C1033" s="157" t="s">
        <v>1091</v>
      </c>
    </row>
    <row r="1034" spans="1:4" ht="39.6">
      <c r="A1034" s="347"/>
      <c r="B1034" s="379"/>
      <c r="C1034" s="157" t="s">
        <v>1092</v>
      </c>
    </row>
    <row r="1035" spans="1:4" ht="39.6">
      <c r="A1035" s="347"/>
      <c r="B1035" s="379"/>
      <c r="C1035" s="157" t="s">
        <v>1093</v>
      </c>
    </row>
    <row r="1036" spans="1:4" ht="39.6">
      <c r="A1036" s="347"/>
      <c r="B1036" s="379"/>
      <c r="C1036" s="157" t="s">
        <v>1094</v>
      </c>
    </row>
    <row r="1037" spans="1:4" ht="39.6">
      <c r="A1037" s="347"/>
      <c r="B1037" s="379"/>
      <c r="C1037" s="157" t="s">
        <v>1095</v>
      </c>
    </row>
    <row r="1038" spans="1:4" ht="39.6">
      <c r="A1038" s="348"/>
      <c r="B1038" s="379"/>
      <c r="C1038" s="157" t="s">
        <v>1096</v>
      </c>
    </row>
    <row r="1039" spans="1:4" s="45" customFormat="1">
      <c r="A1039" s="159"/>
      <c r="B1039" s="159"/>
      <c r="C1039" s="159"/>
    </row>
    <row r="1040" spans="1:4" ht="52.9">
      <c r="A1040" s="347" t="str">
        <f>"US_" &amp; COUNTA($A$1:A1039)</f>
        <v>US_72</v>
      </c>
      <c r="B1040" s="379" t="s">
        <v>1097</v>
      </c>
      <c r="C1040" s="157" t="s">
        <v>1098</v>
      </c>
      <c r="D1040" s="5" t="s">
        <v>982</v>
      </c>
    </row>
    <row r="1041" spans="1:4" ht="52.9">
      <c r="A1041" s="347"/>
      <c r="B1041" s="379"/>
      <c r="C1041" s="157" t="s">
        <v>1099</v>
      </c>
    </row>
    <row r="1042" spans="1:4" ht="52.9">
      <c r="A1042" s="347"/>
      <c r="B1042" s="379"/>
      <c r="C1042" s="157" t="s">
        <v>1100</v>
      </c>
    </row>
    <row r="1043" spans="1:4" ht="39.6">
      <c r="A1043" s="347"/>
      <c r="B1043" s="379"/>
      <c r="C1043" s="157" t="s">
        <v>1101</v>
      </c>
    </row>
    <row r="1044" spans="1:4" ht="39.6">
      <c r="A1044" s="347"/>
      <c r="B1044" s="379"/>
      <c r="C1044" s="157" t="s">
        <v>1102</v>
      </c>
    </row>
    <row r="1045" spans="1:4" ht="39.6">
      <c r="A1045" s="347"/>
      <c r="B1045" s="379"/>
      <c r="C1045" s="157" t="s">
        <v>1103</v>
      </c>
    </row>
    <row r="1046" spans="1:4" ht="39.6">
      <c r="A1046" s="347"/>
      <c r="B1046" s="379"/>
      <c r="C1046" s="157" t="s">
        <v>1104</v>
      </c>
    </row>
    <row r="1047" spans="1:4" ht="39.6">
      <c r="A1047" s="347"/>
      <c r="B1047" s="379"/>
      <c r="C1047" s="157" t="s">
        <v>1105</v>
      </c>
    </row>
    <row r="1048" spans="1:4" ht="26.45">
      <c r="A1048" s="347"/>
      <c r="B1048" s="379"/>
      <c r="C1048" s="157" t="s">
        <v>1106</v>
      </c>
    </row>
    <row r="1049" spans="1:4" ht="39.6">
      <c r="A1049" s="347"/>
      <c r="B1049" s="379"/>
      <c r="C1049" s="157" t="s">
        <v>1107</v>
      </c>
    </row>
    <row r="1050" spans="1:4" ht="39.6">
      <c r="A1050" s="347"/>
      <c r="B1050" s="379"/>
      <c r="C1050" s="153" t="s">
        <v>1108</v>
      </c>
    </row>
    <row r="1051" spans="1:4" ht="39.6">
      <c r="A1051" s="347"/>
      <c r="B1051" s="379"/>
      <c r="C1051" s="153" t="s">
        <v>1109</v>
      </c>
    </row>
    <row r="1052" spans="1:4" ht="39.6">
      <c r="A1052" s="347"/>
      <c r="B1052" s="379"/>
      <c r="C1052" s="153" t="s">
        <v>1110</v>
      </c>
    </row>
    <row r="1053" spans="1:4" ht="39.6">
      <c r="A1053" s="347"/>
      <c r="B1053" s="379"/>
      <c r="C1053" s="153" t="s">
        <v>1111</v>
      </c>
    </row>
    <row r="1054" spans="1:4" ht="39.6">
      <c r="A1054" s="348"/>
      <c r="B1054" s="379"/>
      <c r="C1054" s="153" t="s">
        <v>1112</v>
      </c>
    </row>
    <row r="1055" spans="1:4" s="45" customFormat="1">
      <c r="A1055" s="154"/>
      <c r="B1055" s="154"/>
      <c r="C1055" s="154"/>
    </row>
    <row r="1056" spans="1:4" ht="52.9">
      <c r="A1056" s="346" t="str">
        <f>"US_" &amp; COUNTA($A$1:A1055)</f>
        <v>US_73</v>
      </c>
      <c r="B1056" s="379" t="s">
        <v>1113</v>
      </c>
      <c r="C1056" s="153" t="s">
        <v>1114</v>
      </c>
      <c r="D1056" s="5"/>
    </row>
    <row r="1057" spans="1:4" ht="52.9">
      <c r="A1057" s="347"/>
      <c r="B1057" s="379"/>
      <c r="C1057" s="153" t="s">
        <v>1115</v>
      </c>
    </row>
    <row r="1058" spans="1:4" ht="52.9">
      <c r="A1058" s="347"/>
      <c r="B1058" s="379"/>
      <c r="C1058" s="153" t="s">
        <v>1116</v>
      </c>
    </row>
    <row r="1059" spans="1:4" ht="52.9">
      <c r="A1059" s="347"/>
      <c r="B1059" s="379"/>
      <c r="C1059" s="153" t="s">
        <v>1117</v>
      </c>
    </row>
    <row r="1060" spans="1:4" ht="39.6">
      <c r="A1060" s="347"/>
      <c r="B1060" s="379"/>
      <c r="C1060" s="153" t="s">
        <v>1118</v>
      </c>
    </row>
    <row r="1061" spans="1:4" ht="39.6">
      <c r="A1061" s="347"/>
      <c r="B1061" s="379"/>
      <c r="C1061" s="153" t="s">
        <v>1119</v>
      </c>
    </row>
    <row r="1062" spans="1:4" ht="39.6">
      <c r="A1062" s="347"/>
      <c r="B1062" s="379"/>
      <c r="C1062" s="153" t="s">
        <v>1120</v>
      </c>
    </row>
    <row r="1063" spans="1:4" ht="39.6">
      <c r="A1063" s="347"/>
      <c r="B1063" s="379"/>
      <c r="C1063" s="153" t="s">
        <v>1121</v>
      </c>
    </row>
    <row r="1064" spans="1:4" ht="39.6">
      <c r="A1064" s="347"/>
      <c r="B1064" s="379"/>
      <c r="C1064" s="153" t="s">
        <v>1122</v>
      </c>
    </row>
    <row r="1065" spans="1:4" ht="39.6">
      <c r="A1065" s="347"/>
      <c r="B1065" s="379"/>
      <c r="C1065" s="153" t="s">
        <v>1123</v>
      </c>
    </row>
    <row r="1066" spans="1:4" ht="39.6">
      <c r="A1066" s="347"/>
      <c r="B1066" s="379"/>
      <c r="C1066" s="153" t="s">
        <v>1124</v>
      </c>
    </row>
    <row r="1067" spans="1:4" ht="39.6">
      <c r="A1067" s="347"/>
      <c r="B1067" s="379"/>
      <c r="C1067" s="153" t="s">
        <v>1125</v>
      </c>
    </row>
    <row r="1068" spans="1:4" ht="39.6">
      <c r="A1068" s="347"/>
      <c r="B1068" s="379"/>
      <c r="C1068" s="153" t="s">
        <v>1126</v>
      </c>
    </row>
    <row r="1069" spans="1:4" ht="39.6">
      <c r="A1069" s="347"/>
      <c r="B1069" s="379"/>
      <c r="C1069" s="153" t="s">
        <v>1127</v>
      </c>
    </row>
    <row r="1070" spans="1:4" ht="39.6">
      <c r="A1070" s="348"/>
      <c r="B1070" s="379"/>
      <c r="C1070" s="153" t="s">
        <v>1128</v>
      </c>
    </row>
    <row r="1071" spans="1:4" s="45" customFormat="1">
      <c r="A1071" s="154"/>
      <c r="B1071" s="154"/>
      <c r="C1071" s="154"/>
    </row>
    <row r="1072" spans="1:4" ht="52.9">
      <c r="A1072" s="346" t="str">
        <f>"US_" &amp; COUNTA($A$1:A1071)</f>
        <v>US_74</v>
      </c>
      <c r="B1072" s="379" t="s">
        <v>1129</v>
      </c>
      <c r="C1072" s="153" t="s">
        <v>1130</v>
      </c>
      <c r="D1072" s="5"/>
    </row>
    <row r="1073" spans="1:4" ht="52.9">
      <c r="A1073" s="347"/>
      <c r="B1073" s="379"/>
      <c r="C1073" s="153" t="s">
        <v>1131</v>
      </c>
    </row>
    <row r="1074" spans="1:4" ht="52.9">
      <c r="A1074" s="347"/>
      <c r="B1074" s="379"/>
      <c r="C1074" s="153" t="s">
        <v>1132</v>
      </c>
    </row>
    <row r="1075" spans="1:4" ht="39.6">
      <c r="A1075" s="347"/>
      <c r="B1075" s="379"/>
      <c r="C1075" s="153" t="s">
        <v>1133</v>
      </c>
    </row>
    <row r="1076" spans="1:4" ht="39.6">
      <c r="A1076" s="347"/>
      <c r="B1076" s="379"/>
      <c r="C1076" s="153" t="s">
        <v>1134</v>
      </c>
    </row>
    <row r="1077" spans="1:4" ht="39.6">
      <c r="A1077" s="347"/>
      <c r="B1077" s="379"/>
      <c r="C1077" s="153" t="s">
        <v>1135</v>
      </c>
    </row>
    <row r="1078" spans="1:4" ht="26.45">
      <c r="A1078" s="347"/>
      <c r="B1078" s="379"/>
      <c r="C1078" s="153" t="s">
        <v>1136</v>
      </c>
    </row>
    <row r="1079" spans="1:4" ht="39.6">
      <c r="A1079" s="347"/>
      <c r="B1079" s="379"/>
      <c r="C1079" s="153" t="s">
        <v>1137</v>
      </c>
    </row>
    <row r="1080" spans="1:4" ht="39.6">
      <c r="A1080" s="347"/>
      <c r="B1080" s="379"/>
      <c r="C1080" s="153" t="s">
        <v>1138</v>
      </c>
    </row>
    <row r="1081" spans="1:4" ht="39.6">
      <c r="A1081" s="347"/>
      <c r="B1081" s="379"/>
      <c r="C1081" s="153" t="s">
        <v>1139</v>
      </c>
    </row>
    <row r="1082" spans="1:4" ht="39.6">
      <c r="A1082" s="347"/>
      <c r="B1082" s="379"/>
      <c r="C1082" s="153" t="s">
        <v>1140</v>
      </c>
    </row>
    <row r="1083" spans="1:4" ht="39.6">
      <c r="A1083" s="347"/>
      <c r="B1083" s="379"/>
      <c r="C1083" s="153" t="s">
        <v>1141</v>
      </c>
    </row>
    <row r="1084" spans="1:4" ht="39.6">
      <c r="A1084" s="347"/>
      <c r="B1084" s="379"/>
      <c r="C1084" s="153" t="s">
        <v>1142</v>
      </c>
    </row>
    <row r="1085" spans="1:4">
      <c r="B1085" s="117"/>
      <c r="C1085" s="153"/>
    </row>
    <row r="1086" spans="1:4" s="55" customFormat="1" ht="36" customHeight="1">
      <c r="A1086" s="53"/>
      <c r="B1086" s="118"/>
      <c r="C1086" s="155"/>
    </row>
    <row r="1087" spans="1:4">
      <c r="B1087" s="117"/>
      <c r="C1087" s="153"/>
    </row>
    <row r="1088" spans="1:4" ht="52.9">
      <c r="A1088" s="344" t="str">
        <f>"US_" &amp; COUNTA($A$1:A1087)</f>
        <v>US_75</v>
      </c>
      <c r="B1088" s="380" t="s">
        <v>1143</v>
      </c>
      <c r="C1088" s="153" t="s">
        <v>1144</v>
      </c>
      <c r="D1088" s="5"/>
    </row>
    <row r="1089" spans="1:4" ht="66">
      <c r="A1089" s="344"/>
      <c r="B1089" s="380"/>
      <c r="C1089" s="153" t="s">
        <v>1145</v>
      </c>
    </row>
    <row r="1090" spans="1:4" ht="52.9">
      <c r="A1090" s="344"/>
      <c r="B1090" s="380"/>
      <c r="C1090" s="153" t="s">
        <v>1146</v>
      </c>
    </row>
    <row r="1091" spans="1:4" ht="39.6">
      <c r="A1091" s="344"/>
      <c r="B1091" s="380"/>
      <c r="C1091" s="153" t="s">
        <v>1147</v>
      </c>
    </row>
    <row r="1092" spans="1:4" ht="39.6">
      <c r="A1092" s="344"/>
      <c r="B1092" s="380"/>
      <c r="C1092" s="153" t="s">
        <v>1148</v>
      </c>
    </row>
    <row r="1093" spans="1:4" ht="39.6">
      <c r="A1093" s="344"/>
      <c r="B1093" s="380"/>
      <c r="C1093" s="153" t="s">
        <v>1149</v>
      </c>
    </row>
    <row r="1094" spans="1:4" ht="26.45">
      <c r="A1094" s="344"/>
      <c r="B1094" s="380"/>
      <c r="C1094" s="153" t="s">
        <v>1150</v>
      </c>
    </row>
    <row r="1095" spans="1:4" ht="39.6">
      <c r="A1095" s="344"/>
      <c r="B1095" s="380"/>
      <c r="C1095" s="153" t="s">
        <v>1151</v>
      </c>
    </row>
    <row r="1096" spans="1:4" ht="39.6">
      <c r="A1096" s="344"/>
      <c r="B1096" s="380"/>
      <c r="C1096" s="153" t="s">
        <v>1152</v>
      </c>
    </row>
    <row r="1097" spans="1:4" ht="39.6">
      <c r="A1097" s="344"/>
      <c r="B1097" s="380"/>
      <c r="C1097" s="153" t="s">
        <v>1153</v>
      </c>
    </row>
    <row r="1098" spans="1:4" ht="39.6">
      <c r="A1098" s="344"/>
      <c r="B1098" s="380"/>
      <c r="C1098" s="153" t="s">
        <v>1154</v>
      </c>
    </row>
    <row r="1099" spans="1:4" ht="39.6">
      <c r="A1099" s="344"/>
      <c r="B1099" s="380"/>
      <c r="C1099" s="153" t="s">
        <v>1155</v>
      </c>
    </row>
    <row r="1100" spans="1:4" ht="39.6">
      <c r="A1100" s="345"/>
      <c r="B1100" s="380"/>
      <c r="C1100" s="153" t="s">
        <v>1156</v>
      </c>
    </row>
    <row r="1101" spans="1:4" s="45" customFormat="1">
      <c r="A1101" s="154"/>
      <c r="B1101" s="154"/>
      <c r="C1101" s="154"/>
    </row>
    <row r="1102" spans="1:4" ht="52.9">
      <c r="A1102" s="343" t="str">
        <f>"US_" &amp; COUNTA($A$1:A1101)</f>
        <v>US_76</v>
      </c>
      <c r="B1102" s="380" t="s">
        <v>1157</v>
      </c>
      <c r="C1102" s="153" t="s">
        <v>1158</v>
      </c>
      <c r="D1102" s="5"/>
    </row>
    <row r="1103" spans="1:4" ht="52.9">
      <c r="A1103" s="344"/>
      <c r="B1103" s="380"/>
      <c r="C1103" s="153" t="s">
        <v>1159</v>
      </c>
    </row>
    <row r="1104" spans="1:4" ht="52.9">
      <c r="A1104" s="344"/>
      <c r="B1104" s="380"/>
      <c r="C1104" s="153" t="s">
        <v>1160</v>
      </c>
    </row>
    <row r="1105" spans="1:4" ht="39.6">
      <c r="A1105" s="344"/>
      <c r="B1105" s="380"/>
      <c r="C1105" s="153" t="s">
        <v>1161</v>
      </c>
    </row>
    <row r="1106" spans="1:4" ht="39.6">
      <c r="A1106" s="344"/>
      <c r="B1106" s="380"/>
      <c r="C1106" s="153" t="s">
        <v>1162</v>
      </c>
    </row>
    <row r="1107" spans="1:4" ht="39.6">
      <c r="A1107" s="344"/>
      <c r="B1107" s="380"/>
      <c r="C1107" s="153" t="s">
        <v>1163</v>
      </c>
    </row>
    <row r="1108" spans="1:4" ht="39.6">
      <c r="A1108" s="344"/>
      <c r="B1108" s="380"/>
      <c r="C1108" s="153" t="s">
        <v>1164</v>
      </c>
    </row>
    <row r="1109" spans="1:4" ht="39.6">
      <c r="A1109" s="344"/>
      <c r="B1109" s="380"/>
      <c r="C1109" s="153" t="s">
        <v>1165</v>
      </c>
    </row>
    <row r="1110" spans="1:4" ht="39.6">
      <c r="A1110" s="344"/>
      <c r="B1110" s="380"/>
      <c r="C1110" s="153" t="s">
        <v>1166</v>
      </c>
    </row>
    <row r="1111" spans="1:4" ht="39.6">
      <c r="A1111" s="344"/>
      <c r="B1111" s="380"/>
      <c r="C1111" s="153" t="s">
        <v>1167</v>
      </c>
    </row>
    <row r="1112" spans="1:4" ht="39.6">
      <c r="A1112" s="344"/>
      <c r="B1112" s="380"/>
      <c r="C1112" s="153" t="s">
        <v>1168</v>
      </c>
    </row>
    <row r="1113" spans="1:4" ht="52.9">
      <c r="A1113" s="345"/>
      <c r="B1113" s="380"/>
      <c r="C1113" s="153" t="s">
        <v>1169</v>
      </c>
    </row>
    <row r="1114" spans="1:4" s="45" customFormat="1">
      <c r="A1114" s="154"/>
      <c r="B1114" s="154"/>
      <c r="C1114" s="154"/>
    </row>
    <row r="1115" spans="1:4" ht="52.9">
      <c r="A1115" s="343" t="str">
        <f>"US_" &amp; COUNTA($A$1:A1114)</f>
        <v>US_77</v>
      </c>
      <c r="B1115" s="380" t="s">
        <v>1170</v>
      </c>
      <c r="C1115" s="153" t="s">
        <v>1171</v>
      </c>
      <c r="D1115" s="5"/>
    </row>
    <row r="1116" spans="1:4" ht="39.6">
      <c r="A1116" s="344"/>
      <c r="B1116" s="380"/>
      <c r="C1116" s="153" t="s">
        <v>1172</v>
      </c>
    </row>
    <row r="1117" spans="1:4" ht="39.6">
      <c r="A1117" s="344"/>
      <c r="B1117" s="380"/>
      <c r="C1117" s="153" t="s">
        <v>1173</v>
      </c>
    </row>
    <row r="1118" spans="1:4" ht="52.9">
      <c r="A1118" s="344"/>
      <c r="B1118" s="380"/>
      <c r="C1118" s="153" t="s">
        <v>1174</v>
      </c>
    </row>
    <row r="1119" spans="1:4" ht="52.9">
      <c r="A1119" s="344"/>
      <c r="B1119" s="380"/>
      <c r="C1119" s="153" t="s">
        <v>1175</v>
      </c>
    </row>
    <row r="1120" spans="1:4" ht="39.6">
      <c r="A1120" s="344"/>
      <c r="B1120" s="380"/>
      <c r="C1120" s="153" t="s">
        <v>1176</v>
      </c>
    </row>
    <row r="1121" spans="1:4" ht="39.6">
      <c r="A1121" s="344"/>
      <c r="B1121" s="380"/>
      <c r="C1121" s="153" t="s">
        <v>1177</v>
      </c>
    </row>
    <row r="1122" spans="1:4" ht="39.6">
      <c r="A1122" s="344"/>
      <c r="B1122" s="380"/>
      <c r="C1122" s="153" t="s">
        <v>1178</v>
      </c>
    </row>
    <row r="1123" spans="1:4" ht="52.9">
      <c r="A1123" s="344"/>
      <c r="B1123" s="380"/>
      <c r="C1123" s="153" t="s">
        <v>1179</v>
      </c>
    </row>
    <row r="1124" spans="1:4" ht="52.9">
      <c r="A1124" s="344"/>
      <c r="B1124" s="380"/>
      <c r="C1124" s="153" t="s">
        <v>1180</v>
      </c>
    </row>
    <row r="1125" spans="1:4" ht="39.6">
      <c r="A1125" s="344"/>
      <c r="B1125" s="380"/>
      <c r="C1125" s="153" t="s">
        <v>1181</v>
      </c>
    </row>
    <row r="1126" spans="1:4" ht="39.6">
      <c r="A1126" s="344"/>
      <c r="B1126" s="380"/>
      <c r="C1126" s="153" t="s">
        <v>1182</v>
      </c>
    </row>
    <row r="1127" spans="1:4" ht="39.6">
      <c r="A1127" s="345"/>
      <c r="B1127" s="380"/>
      <c r="C1127" s="153" t="s">
        <v>1183</v>
      </c>
    </row>
    <row r="1128" spans="1:4" s="45" customFormat="1">
      <c r="A1128" s="154"/>
      <c r="B1128" s="154"/>
      <c r="C1128" s="154"/>
    </row>
    <row r="1129" spans="1:4" ht="52.9">
      <c r="A1129" s="343" t="str">
        <f>"US_" &amp; COUNTA($A$1:A1128)</f>
        <v>US_78</v>
      </c>
      <c r="B1129" s="380" t="s">
        <v>1184</v>
      </c>
      <c r="C1129" s="153" t="s">
        <v>1185</v>
      </c>
      <c r="D1129" s="5"/>
    </row>
    <row r="1130" spans="1:4" ht="39.6">
      <c r="A1130" s="344"/>
      <c r="B1130" s="380"/>
      <c r="C1130" s="153" t="s">
        <v>1186</v>
      </c>
    </row>
    <row r="1131" spans="1:4" ht="39.6">
      <c r="A1131" s="344"/>
      <c r="B1131" s="380"/>
      <c r="C1131" s="153" t="s">
        <v>1187</v>
      </c>
    </row>
    <row r="1132" spans="1:4" ht="39.6">
      <c r="A1132" s="344"/>
      <c r="B1132" s="380"/>
      <c r="C1132" s="153" t="s">
        <v>1188</v>
      </c>
    </row>
    <row r="1133" spans="1:4" ht="39.6">
      <c r="A1133" s="344"/>
      <c r="B1133" s="380"/>
      <c r="C1133" s="153" t="s">
        <v>1189</v>
      </c>
    </row>
    <row r="1134" spans="1:4" ht="26.45">
      <c r="A1134" s="344"/>
      <c r="B1134" s="380"/>
      <c r="C1134" s="153" t="s">
        <v>1190</v>
      </c>
    </row>
    <row r="1135" spans="1:4" ht="39.6">
      <c r="A1135" s="344"/>
      <c r="B1135" s="380"/>
      <c r="C1135" s="153" t="s">
        <v>1191</v>
      </c>
    </row>
    <row r="1136" spans="1:4" ht="39.6">
      <c r="A1136" s="344"/>
      <c r="B1136" s="380"/>
      <c r="C1136" s="153" t="s">
        <v>1192</v>
      </c>
    </row>
    <row r="1137" spans="1:4" ht="39.6">
      <c r="A1137" s="344"/>
      <c r="B1137" s="380"/>
      <c r="C1137" s="153" t="s">
        <v>1193</v>
      </c>
    </row>
    <row r="1138" spans="1:4" ht="39.6">
      <c r="A1138" s="344"/>
      <c r="B1138" s="380"/>
      <c r="C1138" s="153" t="s">
        <v>1194</v>
      </c>
    </row>
    <row r="1139" spans="1:4" ht="39.6">
      <c r="A1139" s="344"/>
      <c r="B1139" s="380"/>
      <c r="C1139" s="153" t="s">
        <v>1195</v>
      </c>
    </row>
    <row r="1140" spans="1:4" ht="39.6">
      <c r="A1140" s="344"/>
      <c r="B1140" s="380"/>
      <c r="C1140" s="153" t="s">
        <v>1196</v>
      </c>
    </row>
    <row r="1141" spans="1:4" ht="39.6">
      <c r="A1141" s="345"/>
      <c r="B1141" s="380"/>
      <c r="C1141" s="153" t="s">
        <v>1197</v>
      </c>
    </row>
    <row r="1142" spans="1:4" s="45" customFormat="1">
      <c r="A1142" s="154"/>
      <c r="B1142" s="154"/>
      <c r="C1142" s="154"/>
    </row>
    <row r="1143" spans="1:4" ht="66">
      <c r="A1143" s="343" t="str">
        <f>"US_" &amp; COUNTA($A$1:A1142)</f>
        <v>US_79</v>
      </c>
      <c r="B1143" s="380" t="s">
        <v>1198</v>
      </c>
      <c r="C1143" s="153" t="s">
        <v>1199</v>
      </c>
      <c r="D1143" s="5"/>
    </row>
    <row r="1144" spans="1:4" ht="52.9">
      <c r="A1144" s="344"/>
      <c r="B1144" s="380"/>
      <c r="C1144" s="153" t="s">
        <v>1200</v>
      </c>
    </row>
    <row r="1145" spans="1:4" ht="52.9">
      <c r="A1145" s="344"/>
      <c r="B1145" s="380"/>
      <c r="C1145" s="153" t="s">
        <v>1201</v>
      </c>
    </row>
    <row r="1146" spans="1:4" ht="39.6">
      <c r="A1146" s="344"/>
      <c r="B1146" s="380"/>
      <c r="C1146" s="153" t="s">
        <v>1202</v>
      </c>
    </row>
    <row r="1147" spans="1:4" ht="52.9">
      <c r="A1147" s="344"/>
      <c r="B1147" s="380"/>
      <c r="C1147" s="153" t="s">
        <v>1203</v>
      </c>
    </row>
    <row r="1148" spans="1:4" ht="39.6">
      <c r="A1148" s="344"/>
      <c r="B1148" s="380"/>
      <c r="C1148" s="153" t="s">
        <v>1204</v>
      </c>
    </row>
    <row r="1149" spans="1:4" ht="52.9">
      <c r="A1149" s="344"/>
      <c r="B1149" s="380"/>
      <c r="C1149" s="153" t="s">
        <v>1205</v>
      </c>
    </row>
    <row r="1150" spans="1:4" ht="39.6">
      <c r="A1150" s="344"/>
      <c r="B1150" s="380"/>
      <c r="C1150" s="153" t="s">
        <v>1206</v>
      </c>
    </row>
    <row r="1151" spans="1:4" ht="39.6">
      <c r="A1151" s="344"/>
      <c r="B1151" s="380"/>
      <c r="C1151" s="153" t="s">
        <v>1207</v>
      </c>
    </row>
    <row r="1152" spans="1:4" ht="39.6">
      <c r="A1152" s="344"/>
      <c r="B1152" s="380"/>
      <c r="C1152" s="153" t="s">
        <v>1208</v>
      </c>
    </row>
    <row r="1153" spans="1:4" ht="39.6">
      <c r="A1153" s="344"/>
      <c r="B1153" s="380"/>
      <c r="C1153" s="153" t="s">
        <v>1209</v>
      </c>
    </row>
    <row r="1154" spans="1:4" ht="39.6">
      <c r="A1154" s="344"/>
      <c r="B1154" s="380"/>
      <c r="C1154" s="153" t="s">
        <v>1210</v>
      </c>
    </row>
    <row r="1155" spans="1:4" ht="39.6">
      <c r="A1155" s="344"/>
      <c r="B1155" s="380"/>
      <c r="C1155" s="153" t="s">
        <v>1211</v>
      </c>
    </row>
    <row r="1156" spans="1:4">
      <c r="B1156" s="117"/>
      <c r="C1156" s="153"/>
    </row>
    <row r="1157" spans="1:4" s="55" customFormat="1" ht="36.75" customHeight="1">
      <c r="A1157" s="53"/>
      <c r="B1157" s="118"/>
      <c r="C1157" s="155"/>
    </row>
    <row r="1158" spans="1:4">
      <c r="B1158" s="117"/>
      <c r="C1158" s="153"/>
      <c r="D1158" s="5"/>
    </row>
    <row r="1159" spans="1:4" ht="145.15">
      <c r="A1159" s="342" t="str">
        <f>"US_" &amp; COUNTA($A$1:A1158)</f>
        <v>US_80</v>
      </c>
      <c r="B1159" s="378" t="s">
        <v>1212</v>
      </c>
      <c r="C1159" s="153" t="s">
        <v>1213</v>
      </c>
    </row>
    <row r="1160" spans="1:4" ht="92.45">
      <c r="A1160" s="342"/>
      <c r="B1160" s="378"/>
      <c r="C1160" s="153" t="s">
        <v>1214</v>
      </c>
    </row>
    <row r="1161" spans="1:4" ht="105.6">
      <c r="A1161" s="342"/>
      <c r="B1161" s="378"/>
      <c r="C1161" s="153" t="s">
        <v>1215</v>
      </c>
    </row>
    <row r="1162" spans="1:4" ht="118.9">
      <c r="A1162" s="342"/>
      <c r="B1162" s="378"/>
      <c r="C1162" s="153" t="s">
        <v>1216</v>
      </c>
    </row>
    <row r="1163" spans="1:4" ht="118.9">
      <c r="A1163" s="342"/>
      <c r="B1163" s="378"/>
      <c r="C1163" s="153" t="s">
        <v>1217</v>
      </c>
    </row>
    <row r="1164" spans="1:4" ht="132">
      <c r="A1164" s="342"/>
      <c r="B1164" s="378"/>
      <c r="C1164" s="153" t="s">
        <v>1218</v>
      </c>
    </row>
    <row r="1165" spans="1:4" ht="66">
      <c r="A1165" s="342"/>
      <c r="B1165" s="378"/>
      <c r="C1165" s="153" t="s">
        <v>1219</v>
      </c>
    </row>
    <row r="1166" spans="1:4" ht="145.15">
      <c r="A1166" s="342"/>
      <c r="B1166" s="378"/>
      <c r="C1166" s="153" t="s">
        <v>1220</v>
      </c>
    </row>
    <row r="1167" spans="1:4" ht="118.9">
      <c r="A1167" s="342"/>
      <c r="B1167" s="378"/>
      <c r="C1167" s="153" t="s">
        <v>1221</v>
      </c>
    </row>
    <row r="1168" spans="1:4" ht="92.45">
      <c r="A1168" s="342"/>
      <c r="B1168" s="378"/>
      <c r="C1168" s="153" t="s">
        <v>1222</v>
      </c>
    </row>
    <row r="1169" spans="1:3" ht="132">
      <c r="A1169" s="342"/>
      <c r="B1169" s="378"/>
      <c r="C1169" s="153" t="s">
        <v>1223</v>
      </c>
    </row>
    <row r="1170" spans="1:3" ht="92.45">
      <c r="A1170" s="342"/>
      <c r="B1170" s="378"/>
      <c r="C1170" s="153" t="s">
        <v>1224</v>
      </c>
    </row>
    <row r="1171" spans="1:3" ht="132">
      <c r="A1171" s="342"/>
      <c r="B1171" s="378"/>
      <c r="C1171" s="153" t="s">
        <v>1225</v>
      </c>
    </row>
    <row r="1172" spans="1:3">
      <c r="B1172" s="117" t="s">
        <v>1226</v>
      </c>
      <c r="C1172" s="153"/>
    </row>
    <row r="1173" spans="1:3">
      <c r="B1173" s="117" t="s">
        <v>1227</v>
      </c>
      <c r="C1173" s="153"/>
    </row>
    <row r="1174" spans="1:3">
      <c r="B1174" s="117" t="s">
        <v>1228</v>
      </c>
      <c r="C1174" s="153"/>
    </row>
    <row r="1175" spans="1:3">
      <c r="B1175" s="117" t="s">
        <v>1229</v>
      </c>
      <c r="C1175" s="153"/>
    </row>
    <row r="1176" spans="1:3" ht="43.15">
      <c r="B1176" s="117" t="s">
        <v>1230</v>
      </c>
      <c r="C1176" s="153"/>
    </row>
    <row r="1177" spans="1:3" ht="43.15">
      <c r="B1177" s="117" t="s">
        <v>1231</v>
      </c>
      <c r="C1177" s="153"/>
    </row>
    <row r="1178" spans="1:3" ht="43.15">
      <c r="B1178" s="117" t="s">
        <v>1232</v>
      </c>
      <c r="C1178" s="153"/>
    </row>
    <row r="1179" spans="1:3" ht="43.15">
      <c r="B1179" s="117" t="s">
        <v>1233</v>
      </c>
      <c r="C1179" s="153"/>
    </row>
    <row r="1180" spans="1:3" ht="43.15">
      <c r="B1180" s="117" t="s">
        <v>1234</v>
      </c>
      <c r="C1180" s="153"/>
    </row>
    <row r="1181" spans="1:3" ht="43.15">
      <c r="B1181" s="117" t="s">
        <v>1235</v>
      </c>
      <c r="C1181" s="153"/>
    </row>
    <row r="1182" spans="1:3" ht="43.15">
      <c r="B1182" s="117" t="s">
        <v>1236</v>
      </c>
      <c r="C1182" s="153"/>
    </row>
    <row r="1183" spans="1:3" ht="28.9">
      <c r="B1183" s="117" t="s">
        <v>1237</v>
      </c>
      <c r="C1183" s="153"/>
    </row>
    <row r="1184" spans="1:3">
      <c r="B1184" s="117" t="s">
        <v>1238</v>
      </c>
      <c r="C1184" s="153"/>
    </row>
    <row r="1185" spans="2:3">
      <c r="B1185" s="117" t="s">
        <v>1239</v>
      </c>
      <c r="C1185" s="153"/>
    </row>
    <row r="1186" spans="2:3">
      <c r="B1186" s="117" t="s">
        <v>1240</v>
      </c>
      <c r="C1186" s="153"/>
    </row>
    <row r="1187" spans="2:3">
      <c r="B1187" s="117" t="s">
        <v>1241</v>
      </c>
      <c r="C1187" s="153"/>
    </row>
    <row r="1188" spans="2:3">
      <c r="B1188" s="117" t="s">
        <v>1242</v>
      </c>
      <c r="C1188" s="153"/>
    </row>
    <row r="1189" spans="2:3">
      <c r="B1189" s="117" t="s">
        <v>1243</v>
      </c>
      <c r="C1189" s="153"/>
    </row>
    <row r="1190" spans="2:3" ht="43.15">
      <c r="B1190" s="117" t="s">
        <v>1244</v>
      </c>
      <c r="C1190" s="153"/>
    </row>
    <row r="1191" spans="2:3" ht="43.15">
      <c r="B1191" s="117" t="s">
        <v>1245</v>
      </c>
      <c r="C1191" s="153"/>
    </row>
    <row r="1192" spans="2:3" ht="43.15">
      <c r="B1192" s="117" t="s">
        <v>1246</v>
      </c>
      <c r="C1192" s="153"/>
    </row>
    <row r="1193" spans="2:3">
      <c r="B1193" s="117" t="s">
        <v>1247</v>
      </c>
      <c r="C1193" s="153"/>
    </row>
    <row r="1194" spans="2:3">
      <c r="B1194" s="117" t="s">
        <v>1238</v>
      </c>
      <c r="C1194" s="153"/>
    </row>
    <row r="1195" spans="2:3">
      <c r="B1195" s="117" t="s">
        <v>1248</v>
      </c>
      <c r="C1195" s="153"/>
    </row>
    <row r="1196" spans="2:3">
      <c r="B1196" s="117" t="s">
        <v>1249</v>
      </c>
      <c r="C1196" s="153"/>
    </row>
    <row r="1197" spans="2:3">
      <c r="B1197" s="117" t="s">
        <v>1250</v>
      </c>
      <c r="C1197" s="153"/>
    </row>
    <row r="1198" spans="2:3">
      <c r="B1198" s="117" t="s">
        <v>1251</v>
      </c>
      <c r="C1198" s="153"/>
    </row>
    <row r="1199" spans="2:3">
      <c r="B1199" s="117" t="s">
        <v>1252</v>
      </c>
      <c r="C1199" s="153"/>
    </row>
    <row r="1200" spans="2:3" ht="43.15">
      <c r="B1200" s="117" t="s">
        <v>1253</v>
      </c>
      <c r="C1200" s="153"/>
    </row>
    <row r="1201" spans="2:3" ht="43.15">
      <c r="B1201" s="117" t="s">
        <v>1254</v>
      </c>
      <c r="C1201" s="153"/>
    </row>
    <row r="1202" spans="2:3" ht="43.15">
      <c r="B1202" s="117" t="s">
        <v>1255</v>
      </c>
      <c r="C1202" s="153"/>
    </row>
    <row r="1203" spans="2:3" ht="43.15">
      <c r="B1203" s="117" t="s">
        <v>1256</v>
      </c>
      <c r="C1203" s="153"/>
    </row>
    <row r="1204" spans="2:3" ht="43.15">
      <c r="B1204" s="117" t="s">
        <v>1257</v>
      </c>
      <c r="C1204" s="153"/>
    </row>
    <row r="1205" spans="2:3" ht="43.15">
      <c r="B1205" s="117" t="s">
        <v>1258</v>
      </c>
      <c r="C1205" s="153"/>
    </row>
    <row r="1206" spans="2:3" ht="43.15">
      <c r="B1206" s="117" t="s">
        <v>1259</v>
      </c>
      <c r="C1206" s="153"/>
    </row>
    <row r="1207" spans="2:3">
      <c r="B1207" s="117" t="s">
        <v>1260</v>
      </c>
      <c r="C1207" s="153"/>
    </row>
    <row r="1208" spans="2:3">
      <c r="B1208" s="117" t="s">
        <v>1238</v>
      </c>
      <c r="C1208" s="153"/>
    </row>
    <row r="1209" spans="2:3">
      <c r="B1209" s="117" t="s">
        <v>1239</v>
      </c>
      <c r="C1209" s="153"/>
    </row>
    <row r="1210" spans="2:3">
      <c r="B1210" s="117" t="s">
        <v>1261</v>
      </c>
      <c r="C1210" s="153"/>
    </row>
    <row r="1211" spans="2:3">
      <c r="B1211" s="117" t="s">
        <v>1262</v>
      </c>
      <c r="C1211" s="153"/>
    </row>
    <row r="1212" spans="2:3" ht="43.15">
      <c r="B1212" s="117" t="s">
        <v>1263</v>
      </c>
      <c r="C1212" s="153"/>
    </row>
    <row r="1213" spans="2:3" ht="28.9">
      <c r="B1213" s="117" t="s">
        <v>1264</v>
      </c>
      <c r="C1213" s="153"/>
    </row>
    <row r="1214" spans="2:3" ht="43.15">
      <c r="B1214" s="117" t="s">
        <v>1265</v>
      </c>
      <c r="C1214" s="153"/>
    </row>
    <row r="1215" spans="2:3" ht="43.15">
      <c r="B1215" s="117" t="s">
        <v>1266</v>
      </c>
      <c r="C1215" s="153"/>
    </row>
    <row r="1216" spans="2:3" ht="43.15">
      <c r="B1216" s="117" t="s">
        <v>1267</v>
      </c>
      <c r="C1216" s="153"/>
    </row>
    <row r="1217" spans="2:3" ht="43.15">
      <c r="B1217" s="117" t="s">
        <v>1268</v>
      </c>
      <c r="C1217" s="153"/>
    </row>
    <row r="1218" spans="2:3" ht="43.15">
      <c r="B1218" s="117" t="s">
        <v>1269</v>
      </c>
      <c r="C1218" s="153"/>
    </row>
    <row r="1219" spans="2:3" ht="28.9">
      <c r="B1219" s="117" t="s">
        <v>1270</v>
      </c>
      <c r="C1219" s="153"/>
    </row>
    <row r="1220" spans="2:3">
      <c r="B1220" s="117" t="s">
        <v>1238</v>
      </c>
      <c r="C1220" s="153"/>
    </row>
    <row r="1221" spans="2:3">
      <c r="B1221" s="117" t="s">
        <v>1271</v>
      </c>
      <c r="C1221" s="153"/>
    </row>
    <row r="1222" spans="2:3">
      <c r="B1222" s="117" t="s">
        <v>1272</v>
      </c>
      <c r="C1222" s="153"/>
    </row>
    <row r="1223" spans="2:3">
      <c r="B1223" s="117" t="s">
        <v>1273</v>
      </c>
      <c r="C1223" s="153"/>
    </row>
    <row r="1224" spans="2:3">
      <c r="B1224" s="117" t="s">
        <v>1274</v>
      </c>
      <c r="C1224" s="153"/>
    </row>
    <row r="1225" spans="2:3" ht="28.9">
      <c r="B1225" s="117" t="s">
        <v>1275</v>
      </c>
      <c r="C1225" s="153"/>
    </row>
    <row r="1226" spans="2:3" ht="43.15">
      <c r="B1226" s="117" t="s">
        <v>1276</v>
      </c>
      <c r="C1226" s="153"/>
    </row>
    <row r="1227" spans="2:3" ht="28.9">
      <c r="B1227" s="117" t="s">
        <v>1277</v>
      </c>
      <c r="C1227" s="153"/>
    </row>
    <row r="1228" spans="2:3" ht="43.15">
      <c r="B1228" s="117" t="s">
        <v>1278</v>
      </c>
      <c r="C1228" s="153"/>
    </row>
    <row r="1229" spans="2:3" ht="43.15">
      <c r="B1229" s="117" t="s">
        <v>1279</v>
      </c>
      <c r="C1229" s="153"/>
    </row>
    <row r="1230" spans="2:3" ht="43.15">
      <c r="B1230" s="117" t="s">
        <v>1280</v>
      </c>
      <c r="C1230" s="153"/>
    </row>
    <row r="1231" spans="2:3" ht="43.15">
      <c r="B1231" s="117" t="s">
        <v>1281</v>
      </c>
      <c r="C1231" s="153"/>
    </row>
    <row r="1232" spans="2:3" ht="43.15">
      <c r="B1232" s="117" t="s">
        <v>1282</v>
      </c>
      <c r="C1232" s="153"/>
    </row>
    <row r="1233" spans="2:3" ht="43.15">
      <c r="B1233" s="117" t="s">
        <v>1283</v>
      </c>
      <c r="C1233" s="153"/>
    </row>
    <row r="1234" spans="2:3" ht="43.15">
      <c r="B1234" s="117" t="s">
        <v>1284</v>
      </c>
      <c r="C1234" s="153"/>
    </row>
    <row r="1235" spans="2:3" ht="43.15">
      <c r="B1235" s="117" t="s">
        <v>1285</v>
      </c>
      <c r="C1235" s="153"/>
    </row>
    <row r="1236" spans="2:3" ht="43.15">
      <c r="B1236" s="117" t="s">
        <v>1286</v>
      </c>
      <c r="C1236" s="153"/>
    </row>
    <row r="1237" spans="2:3" ht="43.15">
      <c r="B1237" s="117" t="s">
        <v>1287</v>
      </c>
      <c r="C1237" s="153"/>
    </row>
    <row r="1238" spans="2:3" ht="43.15">
      <c r="B1238" s="117" t="s">
        <v>1288</v>
      </c>
      <c r="C1238" s="153"/>
    </row>
    <row r="1239" spans="2:3" ht="28.9">
      <c r="B1239" s="117" t="s">
        <v>1289</v>
      </c>
      <c r="C1239" s="153"/>
    </row>
    <row r="1240" spans="2:3">
      <c r="B1240" s="117" t="s">
        <v>1238</v>
      </c>
      <c r="C1240" s="153"/>
    </row>
    <row r="1241" spans="2:3">
      <c r="B1241" s="117" t="s">
        <v>1290</v>
      </c>
      <c r="C1241" s="153"/>
    </row>
    <row r="1242" spans="2:3">
      <c r="B1242" s="117" t="s">
        <v>1239</v>
      </c>
      <c r="C1242" s="153"/>
    </row>
    <row r="1243" spans="2:3">
      <c r="B1243" s="117" t="s">
        <v>1291</v>
      </c>
      <c r="C1243" s="153"/>
    </row>
    <row r="1244" spans="2:3">
      <c r="B1244" s="117" t="s">
        <v>1292</v>
      </c>
      <c r="C1244" s="153"/>
    </row>
    <row r="1245" spans="2:3">
      <c r="B1245" s="117" t="s">
        <v>1241</v>
      </c>
      <c r="C1245" s="153"/>
    </row>
    <row r="1246" spans="2:3">
      <c r="B1246" s="117" t="s">
        <v>1242</v>
      </c>
      <c r="C1246" s="153"/>
    </row>
    <row r="1247" spans="2:3">
      <c r="B1247" s="117" t="s">
        <v>1243</v>
      </c>
      <c r="C1247" s="153"/>
    </row>
    <row r="1248" spans="2:3" ht="43.15">
      <c r="B1248" s="117" t="s">
        <v>1293</v>
      </c>
      <c r="C1248" s="153"/>
    </row>
    <row r="1249" spans="2:3" ht="43.15">
      <c r="B1249" s="117" t="s">
        <v>1294</v>
      </c>
      <c r="C1249" s="153"/>
    </row>
    <row r="1250" spans="2:3" ht="43.15">
      <c r="B1250" s="117" t="s">
        <v>1295</v>
      </c>
      <c r="C1250" s="153"/>
    </row>
    <row r="1251" spans="2:3">
      <c r="B1251" s="117" t="s">
        <v>1296</v>
      </c>
      <c r="C1251" s="153"/>
    </row>
    <row r="1252" spans="2:3">
      <c r="B1252" s="117" t="s">
        <v>1238</v>
      </c>
      <c r="C1252" s="153"/>
    </row>
    <row r="1253" spans="2:3">
      <c r="B1253" s="117" t="s">
        <v>1297</v>
      </c>
      <c r="C1253" s="153"/>
    </row>
    <row r="1254" spans="2:3">
      <c r="B1254" s="117" t="s">
        <v>1298</v>
      </c>
      <c r="C1254" s="153"/>
    </row>
    <row r="1255" spans="2:3">
      <c r="B1255" s="117" t="s">
        <v>1299</v>
      </c>
      <c r="C1255" s="153"/>
    </row>
    <row r="1256" spans="2:3">
      <c r="B1256" s="117" t="s">
        <v>1250</v>
      </c>
      <c r="C1256" s="153"/>
    </row>
    <row r="1257" spans="2:3">
      <c r="B1257" s="117" t="s">
        <v>1251</v>
      </c>
      <c r="C1257" s="153"/>
    </row>
    <row r="1258" spans="2:3">
      <c r="B1258" s="117" t="s">
        <v>1300</v>
      </c>
      <c r="C1258" s="153"/>
    </row>
    <row r="1259" spans="2:3" ht="43.15">
      <c r="B1259" s="117" t="s">
        <v>1301</v>
      </c>
      <c r="C1259" s="153"/>
    </row>
    <row r="1260" spans="2:3" ht="43.15">
      <c r="B1260" s="117" t="s">
        <v>1302</v>
      </c>
      <c r="C1260" s="153"/>
    </row>
    <row r="1261" spans="2:3" ht="43.15">
      <c r="B1261" s="117" t="s">
        <v>1303</v>
      </c>
      <c r="C1261" s="153"/>
    </row>
    <row r="1262" spans="2:3" ht="43.15">
      <c r="B1262" s="117" t="s">
        <v>1304</v>
      </c>
      <c r="C1262" s="153"/>
    </row>
    <row r="1263" spans="2:3" ht="43.15">
      <c r="B1263" s="117" t="s">
        <v>1305</v>
      </c>
      <c r="C1263" s="153"/>
    </row>
    <row r="1264" spans="2:3" ht="43.15">
      <c r="B1264" s="117" t="s">
        <v>1306</v>
      </c>
      <c r="C1264" s="153"/>
    </row>
    <row r="1265" spans="2:3" ht="43.15">
      <c r="B1265" s="117" t="s">
        <v>1307</v>
      </c>
      <c r="C1265" s="153"/>
    </row>
    <row r="1266" spans="2:3" ht="28.9">
      <c r="B1266" s="117" t="s">
        <v>1308</v>
      </c>
      <c r="C1266" s="153"/>
    </row>
    <row r="1267" spans="2:3">
      <c r="B1267" s="117" t="s">
        <v>1238</v>
      </c>
      <c r="C1267" s="153"/>
    </row>
    <row r="1268" spans="2:3">
      <c r="B1268" s="117" t="s">
        <v>1309</v>
      </c>
      <c r="C1268" s="153"/>
    </row>
    <row r="1269" spans="2:3">
      <c r="B1269" s="117" t="s">
        <v>1310</v>
      </c>
      <c r="C1269" s="153"/>
    </row>
    <row r="1270" spans="2:3">
      <c r="B1270" s="117" t="s">
        <v>1311</v>
      </c>
      <c r="C1270" s="153"/>
    </row>
    <row r="1271" spans="2:3" ht="43.15">
      <c r="B1271" s="117" t="s">
        <v>1312</v>
      </c>
      <c r="C1271" s="153"/>
    </row>
    <row r="1272" spans="2:3">
      <c r="B1272" s="117" t="s">
        <v>1313</v>
      </c>
      <c r="C1272" s="153"/>
    </row>
    <row r="1273" spans="2:3">
      <c r="B1273" s="117" t="s">
        <v>1238</v>
      </c>
      <c r="C1273" s="153"/>
    </row>
    <row r="1274" spans="2:3">
      <c r="B1274" s="117" t="s">
        <v>1290</v>
      </c>
      <c r="C1274" s="153"/>
    </row>
    <row r="1275" spans="2:3">
      <c r="B1275" s="117" t="s">
        <v>1239</v>
      </c>
      <c r="C1275" s="153"/>
    </row>
    <row r="1276" spans="2:3">
      <c r="B1276" s="117" t="s">
        <v>1314</v>
      </c>
      <c r="C1276" s="153"/>
    </row>
    <row r="1277" spans="2:3">
      <c r="B1277" s="117" t="s">
        <v>1315</v>
      </c>
      <c r="C1277" s="153"/>
    </row>
    <row r="1278" spans="2:3" ht="43.15">
      <c r="B1278" s="117" t="s">
        <v>1316</v>
      </c>
      <c r="C1278" s="153"/>
    </row>
    <row r="1279" spans="2:3" ht="28.9">
      <c r="B1279" s="117" t="s">
        <v>1317</v>
      </c>
      <c r="C1279" s="153"/>
    </row>
    <row r="1280" spans="2:3" ht="43.15">
      <c r="B1280" s="117" t="s">
        <v>1318</v>
      </c>
      <c r="C1280" s="153"/>
    </row>
    <row r="1281" spans="2:3" ht="43.15">
      <c r="B1281" s="117" t="s">
        <v>1319</v>
      </c>
      <c r="C1281" s="153"/>
    </row>
    <row r="1282" spans="2:3" ht="43.15">
      <c r="B1282" s="117" t="s">
        <v>1320</v>
      </c>
      <c r="C1282" s="153"/>
    </row>
    <row r="1283" spans="2:3" ht="43.15">
      <c r="B1283" s="117" t="s">
        <v>1321</v>
      </c>
      <c r="C1283" s="153"/>
    </row>
    <row r="1284" spans="2:3" ht="43.15">
      <c r="B1284" s="117" t="s">
        <v>1322</v>
      </c>
      <c r="C1284" s="153"/>
    </row>
    <row r="1285" spans="2:3" ht="28.9">
      <c r="B1285" s="117" t="s">
        <v>1323</v>
      </c>
      <c r="C1285" s="153"/>
    </row>
    <row r="1286" spans="2:3">
      <c r="B1286" s="117" t="s">
        <v>1238</v>
      </c>
      <c r="C1286" s="153"/>
    </row>
    <row r="1287" spans="2:3">
      <c r="B1287" s="117" t="s">
        <v>1324</v>
      </c>
      <c r="C1287" s="153"/>
    </row>
    <row r="1288" spans="2:3">
      <c r="B1288" s="117" t="s">
        <v>1325</v>
      </c>
      <c r="C1288" s="153"/>
    </row>
    <row r="1289" spans="2:3">
      <c r="B1289" s="117" t="s">
        <v>1326</v>
      </c>
      <c r="C1289" s="153"/>
    </row>
    <row r="1290" spans="2:3">
      <c r="B1290" s="117" t="s">
        <v>1327</v>
      </c>
      <c r="C1290" s="153"/>
    </row>
    <row r="1291" spans="2:3">
      <c r="B1291" s="117" t="s">
        <v>1328</v>
      </c>
      <c r="C1291" s="153"/>
    </row>
    <row r="1292" spans="2:3" ht="28.9">
      <c r="B1292" s="117" t="s">
        <v>1275</v>
      </c>
      <c r="C1292" s="153"/>
    </row>
    <row r="1293" spans="2:3" ht="43.15">
      <c r="B1293" s="117" t="s">
        <v>1329</v>
      </c>
      <c r="C1293" s="153"/>
    </row>
    <row r="1294" spans="2:3" ht="28.9">
      <c r="B1294" s="117" t="s">
        <v>1330</v>
      </c>
      <c r="C1294" s="153"/>
    </row>
    <row r="1295" spans="2:3" ht="43.15">
      <c r="B1295" s="117" t="s">
        <v>1331</v>
      </c>
      <c r="C1295" s="153"/>
    </row>
    <row r="1296" spans="2:3" ht="43.15">
      <c r="B1296" s="117" t="s">
        <v>1332</v>
      </c>
      <c r="C1296" s="153"/>
    </row>
    <row r="1297" spans="2:3" ht="43.15">
      <c r="B1297" s="117" t="s">
        <v>1333</v>
      </c>
      <c r="C1297" s="153"/>
    </row>
    <row r="1298" spans="2:3" ht="43.15">
      <c r="B1298" s="117" t="s">
        <v>1334</v>
      </c>
      <c r="C1298" s="153"/>
    </row>
    <row r="1299" spans="2:3" ht="43.15">
      <c r="B1299" s="117" t="s">
        <v>1335</v>
      </c>
      <c r="C1299" s="153"/>
    </row>
    <row r="1300" spans="2:3" ht="43.15">
      <c r="B1300" s="117" t="s">
        <v>1336</v>
      </c>
      <c r="C1300" s="153"/>
    </row>
    <row r="1301" spans="2:3" ht="43.15">
      <c r="B1301" s="117" t="s">
        <v>1337</v>
      </c>
      <c r="C1301" s="153"/>
    </row>
    <row r="1302" spans="2:3" ht="43.15">
      <c r="B1302" s="117" t="s">
        <v>1338</v>
      </c>
      <c r="C1302" s="153"/>
    </row>
    <row r="1303" spans="2:3" ht="43.15">
      <c r="B1303" s="117" t="s">
        <v>1339</v>
      </c>
      <c r="C1303" s="153"/>
    </row>
    <row r="1304" spans="2:3" ht="43.15">
      <c r="B1304" s="117" t="s">
        <v>1340</v>
      </c>
      <c r="C1304" s="153"/>
    </row>
    <row r="1305" spans="2:3">
      <c r="C1305" s="153"/>
    </row>
    <row r="1306" spans="2:3">
      <c r="C1306" s="153"/>
    </row>
    <row r="1307" spans="2:3">
      <c r="C1307" s="153"/>
    </row>
    <row r="1308" spans="2:3">
      <c r="C1308" s="153"/>
    </row>
    <row r="1309" spans="2:3">
      <c r="C1309" s="153"/>
    </row>
    <row r="1310" spans="2:3">
      <c r="C1310" s="153"/>
    </row>
    <row r="1311" spans="2:3">
      <c r="C1311" s="153"/>
    </row>
    <row r="1312" spans="2:3">
      <c r="C1312" s="153"/>
    </row>
    <row r="1313" spans="3:3">
      <c r="C1313" s="153"/>
    </row>
    <row r="1314" spans="3:3">
      <c r="C1314" s="153"/>
    </row>
    <row r="1315" spans="3:3">
      <c r="C1315" s="153"/>
    </row>
    <row r="1316" spans="3:3">
      <c r="C1316" s="153"/>
    </row>
    <row r="1317" spans="3:3">
      <c r="C1317" s="153"/>
    </row>
    <row r="1318" spans="3:3">
      <c r="C1318" s="153"/>
    </row>
    <row r="1319" spans="3:3">
      <c r="C1319" s="153"/>
    </row>
    <row r="1320" spans="3:3">
      <c r="C1320" s="153"/>
    </row>
    <row r="1321" spans="3:3">
      <c r="C1321" s="153"/>
    </row>
    <row r="1322" spans="3:3">
      <c r="C1322" s="153"/>
    </row>
    <row r="1323" spans="3:3">
      <c r="C1323" s="153"/>
    </row>
    <row r="1324" spans="3:3">
      <c r="C1324" s="153"/>
    </row>
    <row r="1325" spans="3:3">
      <c r="C1325" s="153"/>
    </row>
    <row r="1326" spans="3:3">
      <c r="C1326" s="153"/>
    </row>
    <row r="1327" spans="3:3">
      <c r="C1327" s="153"/>
    </row>
    <row r="1328" spans="3:3">
      <c r="C1328" s="153"/>
    </row>
    <row r="1329" spans="3:3">
      <c r="C1329" s="153"/>
    </row>
    <row r="1330" spans="3:3">
      <c r="C1330" s="153"/>
    </row>
    <row r="1331" spans="3:3">
      <c r="C1331" s="153"/>
    </row>
    <row r="1332" spans="3:3">
      <c r="C1332" s="153"/>
    </row>
    <row r="1333" spans="3:3">
      <c r="C1333" s="153"/>
    </row>
    <row r="1334" spans="3:3">
      <c r="C1334" s="153"/>
    </row>
    <row r="1335" spans="3:3">
      <c r="C1335" s="153"/>
    </row>
    <row r="1336" spans="3:3">
      <c r="C1336" s="153"/>
    </row>
    <row r="1337" spans="3:3">
      <c r="C1337" s="153"/>
    </row>
    <row r="1338" spans="3:3">
      <c r="C1338" s="153"/>
    </row>
    <row r="1339" spans="3:3">
      <c r="C1339" s="153"/>
    </row>
    <row r="1340" spans="3:3">
      <c r="C1340" s="153"/>
    </row>
    <row r="1341" spans="3:3">
      <c r="C1341" s="153"/>
    </row>
    <row r="1342" spans="3:3">
      <c r="C1342" s="153"/>
    </row>
    <row r="1343" spans="3:3">
      <c r="C1343" s="153"/>
    </row>
    <row r="1344" spans="3:3">
      <c r="C1344" s="153"/>
    </row>
    <row r="1345" spans="3:3">
      <c r="C1345" s="153"/>
    </row>
    <row r="1346" spans="3:3">
      <c r="C1346" s="153"/>
    </row>
    <row r="1347" spans="3:3">
      <c r="C1347" s="153"/>
    </row>
    <row r="1348" spans="3:3">
      <c r="C1348" s="153"/>
    </row>
    <row r="1349" spans="3:3">
      <c r="C1349" s="153"/>
    </row>
    <row r="1350" spans="3:3">
      <c r="C1350" s="153"/>
    </row>
    <row r="1351" spans="3:3">
      <c r="C1351" s="153"/>
    </row>
    <row r="1352" spans="3:3">
      <c r="C1352" s="153"/>
    </row>
    <row r="1353" spans="3:3">
      <c r="C1353" s="153"/>
    </row>
    <row r="1354" spans="3:3">
      <c r="C1354" s="153"/>
    </row>
    <row r="1355" spans="3:3">
      <c r="C1355" s="153"/>
    </row>
    <row r="1356" spans="3:3">
      <c r="C1356" s="153"/>
    </row>
    <row r="1357" spans="3:3">
      <c r="C1357" s="153"/>
    </row>
    <row r="1358" spans="3:3">
      <c r="C1358" s="153"/>
    </row>
    <row r="1359" spans="3:3">
      <c r="C1359" s="153"/>
    </row>
    <row r="1360" spans="3:3">
      <c r="C1360" s="153"/>
    </row>
    <row r="1361" spans="3:3">
      <c r="C1361" s="153"/>
    </row>
    <row r="1362" spans="3:3">
      <c r="C1362" s="153"/>
    </row>
    <row r="1363" spans="3:3">
      <c r="C1363" s="153"/>
    </row>
    <row r="1364" spans="3:3">
      <c r="C1364" s="153"/>
    </row>
    <row r="1365" spans="3:3">
      <c r="C1365" s="153"/>
    </row>
    <row r="1366" spans="3:3">
      <c r="C1366" s="153"/>
    </row>
    <row r="1367" spans="3:3">
      <c r="C1367" s="153"/>
    </row>
    <row r="1368" spans="3:3">
      <c r="C1368" s="153"/>
    </row>
    <row r="1369" spans="3:3">
      <c r="C1369" s="153"/>
    </row>
    <row r="1370" spans="3:3">
      <c r="C1370" s="153"/>
    </row>
    <row r="1371" spans="3:3">
      <c r="C1371" s="153"/>
    </row>
    <row r="1372" spans="3:3">
      <c r="C1372" s="153"/>
    </row>
    <row r="1373" spans="3:3">
      <c r="C1373" s="153"/>
    </row>
    <row r="1374" spans="3:3">
      <c r="C1374" s="153"/>
    </row>
    <row r="1375" spans="3:3">
      <c r="C1375" s="153"/>
    </row>
    <row r="1376" spans="3:3">
      <c r="C1376" s="153"/>
    </row>
    <row r="1377" spans="3:3">
      <c r="C1377" s="153"/>
    </row>
    <row r="1378" spans="3:3">
      <c r="C1378" s="153"/>
    </row>
    <row r="1379" spans="3:3">
      <c r="C1379" s="153"/>
    </row>
    <row r="1380" spans="3:3">
      <c r="C1380" s="153"/>
    </row>
    <row r="1381" spans="3:3">
      <c r="C1381" s="153"/>
    </row>
    <row r="1382" spans="3:3">
      <c r="C1382" s="153"/>
    </row>
    <row r="1383" spans="3:3">
      <c r="C1383" s="153"/>
    </row>
    <row r="1384" spans="3:3">
      <c r="C1384" s="153"/>
    </row>
    <row r="1385" spans="3:3">
      <c r="C1385" s="153"/>
    </row>
    <row r="1386" spans="3:3">
      <c r="C1386" s="153"/>
    </row>
    <row r="1387" spans="3:3">
      <c r="C1387" s="153"/>
    </row>
    <row r="1388" spans="3:3">
      <c r="C1388" s="153"/>
    </row>
    <row r="1389" spans="3:3">
      <c r="C1389" s="153"/>
    </row>
    <row r="1390" spans="3:3">
      <c r="C1390" s="153"/>
    </row>
    <row r="1391" spans="3:3">
      <c r="C1391" s="153"/>
    </row>
    <row r="1392" spans="3:3">
      <c r="C1392" s="153"/>
    </row>
    <row r="1393" spans="3:3">
      <c r="C1393" s="153"/>
    </row>
    <row r="1394" spans="3:3">
      <c r="C1394" s="153"/>
    </row>
    <row r="1395" spans="3:3">
      <c r="C1395" s="153"/>
    </row>
    <row r="1396" spans="3:3">
      <c r="C1396" s="153"/>
    </row>
    <row r="1397" spans="3:3">
      <c r="C1397" s="153"/>
    </row>
    <row r="1398" spans="3:3">
      <c r="C1398" s="153"/>
    </row>
    <row r="1399" spans="3:3">
      <c r="C1399" s="153"/>
    </row>
    <row r="1400" spans="3:3">
      <c r="C1400" s="153"/>
    </row>
    <row r="1401" spans="3:3">
      <c r="C1401" s="153"/>
    </row>
    <row r="1402" spans="3:3">
      <c r="C1402" s="153"/>
    </row>
    <row r="1403" spans="3:3">
      <c r="C1403" s="153"/>
    </row>
    <row r="1404" spans="3:3">
      <c r="C1404" s="153"/>
    </row>
    <row r="1405" spans="3:3">
      <c r="C1405" s="153"/>
    </row>
    <row r="1406" spans="3:3">
      <c r="C1406" s="153"/>
    </row>
    <row r="1407" spans="3:3">
      <c r="C1407" s="153"/>
    </row>
    <row r="1408" spans="3:3">
      <c r="C1408" s="153"/>
    </row>
    <row r="1409" spans="3:3">
      <c r="C1409" s="153"/>
    </row>
    <row r="1410" spans="3:3">
      <c r="C1410" s="153"/>
    </row>
    <row r="1411" spans="3:3">
      <c r="C1411" s="153"/>
    </row>
    <row r="1412" spans="3:3">
      <c r="C1412" s="153"/>
    </row>
    <row r="1413" spans="3:3">
      <c r="C1413" s="153"/>
    </row>
    <row r="1414" spans="3:3">
      <c r="C1414" s="153"/>
    </row>
    <row r="1415" spans="3:3">
      <c r="C1415" s="153"/>
    </row>
    <row r="1416" spans="3:3">
      <c r="C1416" s="153"/>
    </row>
    <row r="1417" spans="3:3">
      <c r="C1417" s="153"/>
    </row>
    <row r="1418" spans="3:3">
      <c r="C1418" s="153"/>
    </row>
    <row r="1419" spans="3:3">
      <c r="C1419" s="153"/>
    </row>
    <row r="1420" spans="3:3">
      <c r="C1420" s="153"/>
    </row>
    <row r="1421" spans="3:3">
      <c r="C1421" s="153"/>
    </row>
    <row r="1422" spans="3:3">
      <c r="C1422" s="153"/>
    </row>
    <row r="1423" spans="3:3">
      <c r="C1423" s="153"/>
    </row>
    <row r="1424" spans="3:3">
      <c r="C1424" s="153"/>
    </row>
    <row r="1425" spans="3:3">
      <c r="C1425" s="153"/>
    </row>
    <row r="1426" spans="3:3">
      <c r="C1426" s="153"/>
    </row>
    <row r="1427" spans="3:3">
      <c r="C1427" s="153"/>
    </row>
    <row r="1428" spans="3:3">
      <c r="C1428" s="153"/>
    </row>
    <row r="1429" spans="3:3">
      <c r="C1429" s="153"/>
    </row>
    <row r="1430" spans="3:3">
      <c r="C1430" s="153"/>
    </row>
    <row r="1431" spans="3:3">
      <c r="C1431" s="153"/>
    </row>
    <row r="1432" spans="3:3">
      <c r="C1432" s="153"/>
    </row>
    <row r="1433" spans="3:3">
      <c r="C1433" s="153"/>
    </row>
    <row r="1434" spans="3:3">
      <c r="C1434" s="153"/>
    </row>
    <row r="1435" spans="3:3">
      <c r="C1435" s="153"/>
    </row>
    <row r="1436" spans="3:3">
      <c r="C1436" s="153"/>
    </row>
    <row r="1437" spans="3:3">
      <c r="C1437" s="153"/>
    </row>
    <row r="1438" spans="3:3">
      <c r="C1438" s="153"/>
    </row>
    <row r="1439" spans="3:3">
      <c r="C1439" s="153"/>
    </row>
    <row r="1440" spans="3:3">
      <c r="C1440" s="153"/>
    </row>
    <row r="1441" spans="3:3">
      <c r="C1441" s="153"/>
    </row>
    <row r="1442" spans="3:3">
      <c r="C1442" s="153"/>
    </row>
    <row r="1443" spans="3:3">
      <c r="C1443" s="153"/>
    </row>
    <row r="1444" spans="3:3">
      <c r="C1444" s="153"/>
    </row>
    <row r="1445" spans="3:3">
      <c r="C1445" s="153"/>
    </row>
    <row r="1446" spans="3:3">
      <c r="C1446" s="153"/>
    </row>
    <row r="1447" spans="3:3">
      <c r="C1447" s="153"/>
    </row>
    <row r="1448" spans="3:3">
      <c r="C1448" s="153"/>
    </row>
    <row r="1449" spans="3:3">
      <c r="C1449" s="153"/>
    </row>
    <row r="1450" spans="3:3">
      <c r="C1450" s="153"/>
    </row>
    <row r="1451" spans="3:3">
      <c r="C1451" s="153"/>
    </row>
    <row r="1452" spans="3:3">
      <c r="C1452" s="153"/>
    </row>
    <row r="1453" spans="3:3">
      <c r="C1453" s="153"/>
    </row>
    <row r="1454" spans="3:3">
      <c r="C1454" s="153"/>
    </row>
    <row r="1455" spans="3:3">
      <c r="C1455" s="153"/>
    </row>
    <row r="1456" spans="3:3">
      <c r="C1456" s="153"/>
    </row>
    <row r="1457" spans="3:3">
      <c r="C1457" s="153"/>
    </row>
    <row r="1458" spans="3:3">
      <c r="C1458" s="153"/>
    </row>
    <row r="1459" spans="3:3">
      <c r="C1459" s="153"/>
    </row>
    <row r="1460" spans="3:3">
      <c r="C1460" s="153"/>
    </row>
    <row r="1461" spans="3:3">
      <c r="C1461" s="153"/>
    </row>
    <row r="1462" spans="3:3">
      <c r="C1462" s="153"/>
    </row>
    <row r="1463" spans="3:3">
      <c r="C1463" s="153"/>
    </row>
    <row r="1464" spans="3:3">
      <c r="C1464" s="153"/>
    </row>
    <row r="1465" spans="3:3">
      <c r="C1465" s="153"/>
    </row>
    <row r="1466" spans="3:3">
      <c r="C1466" s="153"/>
    </row>
    <row r="1467" spans="3:3">
      <c r="C1467" s="153"/>
    </row>
    <row r="1468" spans="3:3">
      <c r="C1468" s="153"/>
    </row>
    <row r="1469" spans="3:3">
      <c r="C1469" s="153"/>
    </row>
    <row r="1470" spans="3:3">
      <c r="C1470" s="153"/>
    </row>
    <row r="1471" spans="3:3">
      <c r="C1471" s="153"/>
    </row>
    <row r="1472" spans="3:3">
      <c r="C1472" s="153"/>
    </row>
    <row r="1473" spans="3:3">
      <c r="C1473" s="153"/>
    </row>
    <row r="1474" spans="3:3">
      <c r="C1474" s="153"/>
    </row>
    <row r="1475" spans="3:3">
      <c r="C1475" s="153"/>
    </row>
    <row r="1476" spans="3:3">
      <c r="C1476" s="153"/>
    </row>
    <row r="1477" spans="3:3">
      <c r="C1477" s="153"/>
    </row>
    <row r="1478" spans="3:3">
      <c r="C1478" s="153"/>
    </row>
    <row r="1479" spans="3:3">
      <c r="C1479" s="153"/>
    </row>
    <row r="1480" spans="3:3">
      <c r="C1480" s="153"/>
    </row>
    <row r="1481" spans="3:3">
      <c r="C1481" s="153"/>
    </row>
    <row r="1482" spans="3:3">
      <c r="C1482" s="153"/>
    </row>
    <row r="1483" spans="3:3">
      <c r="C1483" s="153"/>
    </row>
    <row r="1484" spans="3:3">
      <c r="C1484" s="153"/>
    </row>
    <row r="1485" spans="3:3">
      <c r="C1485" s="153"/>
    </row>
    <row r="1486" spans="3:3">
      <c r="C1486" s="153"/>
    </row>
    <row r="1487" spans="3:3">
      <c r="C1487" s="153"/>
    </row>
    <row r="1488" spans="3:3">
      <c r="C1488" s="153"/>
    </row>
    <row r="1489" spans="3:3">
      <c r="C1489" s="153"/>
    </row>
    <row r="1490" spans="3:3">
      <c r="C1490" s="153"/>
    </row>
    <row r="1491" spans="3:3">
      <c r="C1491" s="153"/>
    </row>
    <row r="1492" spans="3:3">
      <c r="C1492" s="153"/>
    </row>
    <row r="1493" spans="3:3">
      <c r="C1493" s="153"/>
    </row>
    <row r="1494" spans="3:3">
      <c r="C1494" s="153"/>
    </row>
    <row r="1495" spans="3:3">
      <c r="C1495" s="153"/>
    </row>
    <row r="1496" spans="3:3">
      <c r="C1496" s="153"/>
    </row>
    <row r="1497" spans="3:3">
      <c r="C1497" s="153"/>
    </row>
    <row r="1498" spans="3:3">
      <c r="C1498" s="153"/>
    </row>
    <row r="1499" spans="3:3">
      <c r="C1499" s="153"/>
    </row>
    <row r="1500" spans="3:3">
      <c r="C1500" s="153"/>
    </row>
    <row r="1501" spans="3:3">
      <c r="C1501" s="153"/>
    </row>
    <row r="1502" spans="3:3">
      <c r="C1502" s="153"/>
    </row>
    <row r="1503" spans="3:3">
      <c r="C1503" s="153"/>
    </row>
    <row r="1504" spans="3:3">
      <c r="C1504" s="153"/>
    </row>
    <row r="1505" spans="3:3">
      <c r="C1505" s="153"/>
    </row>
    <row r="1506" spans="3:3">
      <c r="C1506" s="153"/>
    </row>
    <row r="1507" spans="3:3">
      <c r="C1507" s="153"/>
    </row>
    <row r="1508" spans="3:3">
      <c r="C1508" s="153"/>
    </row>
    <row r="1509" spans="3:3">
      <c r="C1509" s="153"/>
    </row>
    <row r="1510" spans="3:3">
      <c r="C1510" s="153"/>
    </row>
    <row r="1511" spans="3:3">
      <c r="C1511" s="153"/>
    </row>
    <row r="1512" spans="3:3">
      <c r="C1512" s="153"/>
    </row>
    <row r="1513" spans="3:3">
      <c r="C1513" s="153"/>
    </row>
    <row r="1514" spans="3:3">
      <c r="C1514" s="153"/>
    </row>
    <row r="1515" spans="3:3">
      <c r="C1515" s="153"/>
    </row>
    <row r="1516" spans="3:3">
      <c r="C1516" s="153"/>
    </row>
    <row r="1517" spans="3:3">
      <c r="C1517" s="153"/>
    </row>
    <row r="1518" spans="3:3">
      <c r="C1518" s="153"/>
    </row>
    <row r="1519" spans="3:3">
      <c r="C1519" s="153"/>
    </row>
    <row r="1520" spans="3:3">
      <c r="C1520" s="153"/>
    </row>
    <row r="1521" spans="3:3">
      <c r="C1521" s="153"/>
    </row>
    <row r="1522" spans="3:3">
      <c r="C1522" s="153"/>
    </row>
    <row r="1523" spans="3:3">
      <c r="C1523" s="153"/>
    </row>
    <row r="1524" spans="3:3">
      <c r="C1524" s="153"/>
    </row>
    <row r="1525" spans="3:3">
      <c r="C1525" s="153"/>
    </row>
    <row r="1526" spans="3:3">
      <c r="C1526" s="153"/>
    </row>
    <row r="1527" spans="3:3">
      <c r="C1527" s="153"/>
    </row>
    <row r="1528" spans="3:3">
      <c r="C1528" s="153"/>
    </row>
    <row r="1529" spans="3:3">
      <c r="C1529" s="153"/>
    </row>
    <row r="1530" spans="3:3">
      <c r="C1530" s="153"/>
    </row>
    <row r="1531" spans="3:3">
      <c r="C1531" s="153"/>
    </row>
    <row r="1532" spans="3:3">
      <c r="C1532" s="153"/>
    </row>
    <row r="1533" spans="3:3">
      <c r="C1533" s="153"/>
    </row>
    <row r="1534" spans="3:3">
      <c r="C1534" s="153"/>
    </row>
    <row r="1535" spans="3:3">
      <c r="C1535" s="153"/>
    </row>
    <row r="1536" spans="3:3">
      <c r="C1536" s="153"/>
    </row>
    <row r="1537" spans="3:3">
      <c r="C1537" s="153"/>
    </row>
    <row r="1538" spans="3:3">
      <c r="C1538" s="153"/>
    </row>
    <row r="1539" spans="3:3">
      <c r="C1539" s="153"/>
    </row>
    <row r="1540" spans="3:3">
      <c r="C1540" s="153"/>
    </row>
    <row r="1541" spans="3:3">
      <c r="C1541" s="153"/>
    </row>
    <row r="1542" spans="3:3">
      <c r="C1542" s="153"/>
    </row>
    <row r="1543" spans="3:3">
      <c r="C1543" s="153"/>
    </row>
    <row r="1544" spans="3:3">
      <c r="C1544" s="153"/>
    </row>
    <row r="1545" spans="3:3">
      <c r="C1545" s="153"/>
    </row>
    <row r="1546" spans="3:3">
      <c r="C1546" s="153"/>
    </row>
    <row r="1547" spans="3:3">
      <c r="C1547" s="153"/>
    </row>
    <row r="1548" spans="3:3">
      <c r="C1548" s="153"/>
    </row>
    <row r="1549" spans="3:3">
      <c r="C1549" s="153"/>
    </row>
    <row r="1550" spans="3:3">
      <c r="C1550" s="153"/>
    </row>
    <row r="1551" spans="3:3">
      <c r="C1551" s="153"/>
    </row>
    <row r="1552" spans="3:3">
      <c r="C1552" s="153"/>
    </row>
    <row r="1553" spans="3:3">
      <c r="C1553" s="153"/>
    </row>
    <row r="1554" spans="3:3">
      <c r="C1554" s="153"/>
    </row>
    <row r="1555" spans="3:3">
      <c r="C1555" s="153"/>
    </row>
    <row r="1556" spans="3:3">
      <c r="C1556" s="153"/>
    </row>
    <row r="1557" spans="3:3">
      <c r="C1557" s="153"/>
    </row>
    <row r="1558" spans="3:3">
      <c r="C1558" s="153"/>
    </row>
    <row r="1559" spans="3:3">
      <c r="C1559" s="153"/>
    </row>
    <row r="1560" spans="3:3">
      <c r="C1560" s="153"/>
    </row>
    <row r="1561" spans="3:3">
      <c r="C1561" s="153"/>
    </row>
    <row r="1562" spans="3:3">
      <c r="C1562" s="153"/>
    </row>
    <row r="1563" spans="3:3">
      <c r="C1563" s="153"/>
    </row>
    <row r="1564" spans="3:3">
      <c r="C1564" s="153"/>
    </row>
    <row r="1565" spans="3:3">
      <c r="C1565" s="153"/>
    </row>
    <row r="1566" spans="3:3">
      <c r="C1566" s="153"/>
    </row>
    <row r="1567" spans="3:3">
      <c r="C1567" s="153"/>
    </row>
    <row r="1568" spans="3:3">
      <c r="C1568" s="153"/>
    </row>
    <row r="1569" spans="3:3">
      <c r="C1569" s="153"/>
    </row>
    <row r="1570" spans="3:3">
      <c r="C1570" s="153"/>
    </row>
    <row r="1571" spans="3:3">
      <c r="C1571" s="153"/>
    </row>
    <row r="1572" spans="3:3">
      <c r="C1572" s="153"/>
    </row>
    <row r="1573" spans="3:3">
      <c r="C1573" s="153"/>
    </row>
    <row r="1574" spans="3:3">
      <c r="C1574" s="153"/>
    </row>
    <row r="1575" spans="3:3">
      <c r="C1575" s="153"/>
    </row>
    <row r="1576" spans="3:3">
      <c r="C1576" s="153"/>
    </row>
    <row r="1577" spans="3:3">
      <c r="C1577" s="153"/>
    </row>
    <row r="1578" spans="3:3">
      <c r="C1578" s="153"/>
    </row>
    <row r="1579" spans="3:3">
      <c r="C1579" s="153"/>
    </row>
    <row r="1580" spans="3:3">
      <c r="C1580" s="153"/>
    </row>
    <row r="1581" spans="3:3">
      <c r="C1581" s="153"/>
    </row>
    <row r="1582" spans="3:3">
      <c r="C1582" s="153"/>
    </row>
    <row r="1583" spans="3:3">
      <c r="C1583" s="153"/>
    </row>
    <row r="1584" spans="3:3">
      <c r="C1584" s="153"/>
    </row>
    <row r="1585" spans="3:3">
      <c r="C1585" s="153"/>
    </row>
    <row r="1586" spans="3:3">
      <c r="C1586" s="153"/>
    </row>
    <row r="1587" spans="3:3">
      <c r="C1587" s="153"/>
    </row>
    <row r="1588" spans="3:3">
      <c r="C1588" s="153"/>
    </row>
    <row r="1589" spans="3:3">
      <c r="C1589" s="153"/>
    </row>
    <row r="1590" spans="3:3">
      <c r="C1590" s="153"/>
    </row>
    <row r="1591" spans="3:3">
      <c r="C1591" s="153"/>
    </row>
    <row r="1592" spans="3:3">
      <c r="C1592" s="153"/>
    </row>
    <row r="1593" spans="3:3">
      <c r="C1593" s="153"/>
    </row>
    <row r="1594" spans="3:3">
      <c r="C1594" s="153"/>
    </row>
    <row r="1595" spans="3:3">
      <c r="C1595" s="153"/>
    </row>
    <row r="1596" spans="3:3">
      <c r="C1596" s="153"/>
    </row>
    <row r="1597" spans="3:3">
      <c r="C1597" s="153"/>
    </row>
    <row r="1598" spans="3:3">
      <c r="C1598" s="153"/>
    </row>
    <row r="1599" spans="3:3">
      <c r="C1599" s="153"/>
    </row>
    <row r="1600" spans="3:3">
      <c r="C1600" s="153"/>
    </row>
    <row r="1601" spans="3:3">
      <c r="C1601" s="153"/>
    </row>
    <row r="1602" spans="3:3">
      <c r="C1602" s="153"/>
    </row>
    <row r="1603" spans="3:3">
      <c r="C1603" s="153"/>
    </row>
    <row r="1604" spans="3:3">
      <c r="C1604" s="153"/>
    </row>
    <row r="1605" spans="3:3">
      <c r="C1605" s="153"/>
    </row>
    <row r="1606" spans="3:3">
      <c r="C1606" s="153"/>
    </row>
    <row r="1607" spans="3:3">
      <c r="C1607" s="153"/>
    </row>
    <row r="1608" spans="3:3">
      <c r="C1608" s="153"/>
    </row>
    <row r="1609" spans="3:3">
      <c r="C1609" s="153"/>
    </row>
    <row r="1610" spans="3:3">
      <c r="C1610" s="153"/>
    </row>
    <row r="1611" spans="3:3">
      <c r="C1611" s="153"/>
    </row>
    <row r="1612" spans="3:3">
      <c r="C1612" s="153"/>
    </row>
    <row r="1613" spans="3:3">
      <c r="C1613" s="153"/>
    </row>
    <row r="1614" spans="3:3">
      <c r="C1614" s="153"/>
    </row>
    <row r="1615" spans="3:3">
      <c r="C1615" s="153"/>
    </row>
    <row r="1616" spans="3:3">
      <c r="C1616" s="153"/>
    </row>
    <row r="1617" spans="3:3">
      <c r="C1617" s="153"/>
    </row>
    <row r="1618" spans="3:3">
      <c r="C1618" s="153"/>
    </row>
    <row r="1619" spans="3:3">
      <c r="C1619" s="153"/>
    </row>
    <row r="1620" spans="3:3">
      <c r="C1620" s="153"/>
    </row>
    <row r="1621" spans="3:3">
      <c r="C1621" s="153"/>
    </row>
    <row r="1622" spans="3:3">
      <c r="C1622" s="153"/>
    </row>
    <row r="1623" spans="3:3">
      <c r="C1623" s="153"/>
    </row>
    <row r="1624" spans="3:3">
      <c r="C1624" s="153"/>
    </row>
    <row r="1625" spans="3:3">
      <c r="C1625" s="153"/>
    </row>
    <row r="1626" spans="3:3">
      <c r="C1626" s="153"/>
    </row>
    <row r="1627" spans="3:3">
      <c r="C1627" s="153"/>
    </row>
    <row r="1628" spans="3:3">
      <c r="C1628" s="153"/>
    </row>
    <row r="1629" spans="3:3">
      <c r="C1629" s="153"/>
    </row>
    <row r="1630" spans="3:3">
      <c r="C1630" s="153"/>
    </row>
    <row r="1631" spans="3:3">
      <c r="C1631" s="153"/>
    </row>
    <row r="1632" spans="3:3">
      <c r="C1632" s="153"/>
    </row>
    <row r="1633" spans="3:3">
      <c r="C1633" s="153"/>
    </row>
    <row r="1634" spans="3:3">
      <c r="C1634" s="153"/>
    </row>
    <row r="1635" spans="3:3">
      <c r="C1635" s="153"/>
    </row>
    <row r="1636" spans="3:3">
      <c r="C1636" s="153"/>
    </row>
    <row r="1637" spans="3:3">
      <c r="C1637" s="153"/>
    </row>
    <row r="1638" spans="3:3">
      <c r="C1638" s="153"/>
    </row>
    <row r="1639" spans="3:3">
      <c r="C1639" s="160"/>
    </row>
    <row r="1640" spans="3:3" ht="46.5"/>
  </sheetData>
  <mergeCells count="160">
    <mergeCell ref="B208:B216"/>
    <mergeCell ref="B969:B978"/>
    <mergeCell ref="B980:B989"/>
    <mergeCell ref="B993:B1010"/>
    <mergeCell ref="B1014:B1022"/>
    <mergeCell ref="B1026:B1038"/>
    <mergeCell ref="B1040:B1054"/>
    <mergeCell ref="B1129:B1141"/>
    <mergeCell ref="B1143:B1155"/>
    <mergeCell ref="B802:B819"/>
    <mergeCell ref="B240:B247"/>
    <mergeCell ref="B1159:B1171"/>
    <mergeCell ref="B1056:B1070"/>
    <mergeCell ref="B1072:B1084"/>
    <mergeCell ref="B1088:B1100"/>
    <mergeCell ref="B1102:B1113"/>
    <mergeCell ref="B1115:B1127"/>
    <mergeCell ref="B823:B841"/>
    <mergeCell ref="B843:B862"/>
    <mergeCell ref="B866:B883"/>
    <mergeCell ref="B887:B900"/>
    <mergeCell ref="B902:B915"/>
    <mergeCell ref="B917:B930"/>
    <mergeCell ref="B932:B943"/>
    <mergeCell ref="B945:B956"/>
    <mergeCell ref="B958:B967"/>
    <mergeCell ref="A240:A247"/>
    <mergeCell ref="B701:B716"/>
    <mergeCell ref="B718:B732"/>
    <mergeCell ref="B734:B748"/>
    <mergeCell ref="B750:B765"/>
    <mergeCell ref="B767:B800"/>
    <mergeCell ref="B607:B630"/>
    <mergeCell ref="B634:B650"/>
    <mergeCell ref="B652:B667"/>
    <mergeCell ref="B669:B683"/>
    <mergeCell ref="B685:B699"/>
    <mergeCell ref="B459:B476"/>
    <mergeCell ref="B383:B398"/>
    <mergeCell ref="A383:A398"/>
    <mergeCell ref="A701:A716"/>
    <mergeCell ref="B582:B605"/>
    <mergeCell ref="A357:A365"/>
    <mergeCell ref="A367:A379"/>
    <mergeCell ref="B270:B294"/>
    <mergeCell ref="B296:B312"/>
    <mergeCell ref="B314:B323"/>
    <mergeCell ref="B325:B334"/>
    <mergeCell ref="A400:A417"/>
    <mergeCell ref="A419:A436"/>
    <mergeCell ref="A24:A29"/>
    <mergeCell ref="A4:A13"/>
    <mergeCell ref="B24:B29"/>
    <mergeCell ref="B31:B39"/>
    <mergeCell ref="B4:B13"/>
    <mergeCell ref="A31:A39"/>
    <mergeCell ref="A15:A20"/>
    <mergeCell ref="B15:B20"/>
    <mergeCell ref="A129:A137"/>
    <mergeCell ref="B85:B92"/>
    <mergeCell ref="B94:B105"/>
    <mergeCell ref="B107:B116"/>
    <mergeCell ref="B129:B137"/>
    <mergeCell ref="B118:B127"/>
    <mergeCell ref="B165:B173"/>
    <mergeCell ref="B175:B184"/>
    <mergeCell ref="B186:B195"/>
    <mergeCell ref="B197:B206"/>
    <mergeCell ref="A41:A51"/>
    <mergeCell ref="A53:A61"/>
    <mergeCell ref="A63:A71"/>
    <mergeCell ref="A73:A83"/>
    <mergeCell ref="B53:B61"/>
    <mergeCell ref="B63:B71"/>
    <mergeCell ref="B41:B51"/>
    <mergeCell ref="B73:B83"/>
    <mergeCell ref="B157:B163"/>
    <mergeCell ref="A157:A163"/>
    <mergeCell ref="A85:A92"/>
    <mergeCell ref="A94:A105"/>
    <mergeCell ref="A107:A116"/>
    <mergeCell ref="A118:A127"/>
    <mergeCell ref="B149:B155"/>
    <mergeCell ref="A149:A155"/>
    <mergeCell ref="B139:B147"/>
    <mergeCell ref="A139:A147"/>
    <mergeCell ref="A165:A173"/>
    <mergeCell ref="A175:A184"/>
    <mergeCell ref="A186:A195"/>
    <mergeCell ref="A197:A206"/>
    <mergeCell ref="A208:A216"/>
    <mergeCell ref="A218:A227"/>
    <mergeCell ref="A229:A238"/>
    <mergeCell ref="A249:A258"/>
    <mergeCell ref="A260:A266"/>
    <mergeCell ref="B561:B580"/>
    <mergeCell ref="B478:B491"/>
    <mergeCell ref="B493:B506"/>
    <mergeCell ref="B508:B522"/>
    <mergeCell ref="B524:B541"/>
    <mergeCell ref="B543:B559"/>
    <mergeCell ref="B218:B227"/>
    <mergeCell ref="B229:B238"/>
    <mergeCell ref="B249:B258"/>
    <mergeCell ref="B260:B266"/>
    <mergeCell ref="A270:A294"/>
    <mergeCell ref="A296:A312"/>
    <mergeCell ref="A314:A323"/>
    <mergeCell ref="A325:A334"/>
    <mergeCell ref="A336:A345"/>
    <mergeCell ref="A347:A355"/>
    <mergeCell ref="B336:B345"/>
    <mergeCell ref="A438:A457"/>
    <mergeCell ref="A459:A476"/>
    <mergeCell ref="A478:A491"/>
    <mergeCell ref="A493:A506"/>
    <mergeCell ref="B347:B355"/>
    <mergeCell ref="B357:B365"/>
    <mergeCell ref="B367:B379"/>
    <mergeCell ref="B400:B417"/>
    <mergeCell ref="B419:B436"/>
    <mergeCell ref="B438:B457"/>
    <mergeCell ref="A508:A522"/>
    <mergeCell ref="A1159:A1171"/>
    <mergeCell ref="A1143:A1155"/>
    <mergeCell ref="A1129:A1141"/>
    <mergeCell ref="A1115:A1127"/>
    <mergeCell ref="A1102:A1113"/>
    <mergeCell ref="A1088:A1100"/>
    <mergeCell ref="A1072:A1084"/>
    <mergeCell ref="A1056:A1070"/>
    <mergeCell ref="A1040:A1054"/>
    <mergeCell ref="A1026:A1038"/>
    <mergeCell ref="A1014:A1022"/>
    <mergeCell ref="A993:A1010"/>
    <mergeCell ref="A980:A989"/>
    <mergeCell ref="A969:A978"/>
    <mergeCell ref="A958:A967"/>
    <mergeCell ref="A866:A883"/>
    <mergeCell ref="A843:A862"/>
    <mergeCell ref="A823:A841"/>
    <mergeCell ref="A802:A819"/>
    <mergeCell ref="A767:A800"/>
    <mergeCell ref="A945:A956"/>
    <mergeCell ref="A932:A943"/>
    <mergeCell ref="A917:A930"/>
    <mergeCell ref="A902:A915"/>
    <mergeCell ref="A887:A900"/>
    <mergeCell ref="A652:A667"/>
    <mergeCell ref="A634:A650"/>
    <mergeCell ref="A607:A630"/>
    <mergeCell ref="A524:A541"/>
    <mergeCell ref="A543:A559"/>
    <mergeCell ref="A561:A580"/>
    <mergeCell ref="A582:A605"/>
    <mergeCell ref="A750:A765"/>
    <mergeCell ref="A734:A748"/>
    <mergeCell ref="A718:A732"/>
    <mergeCell ref="A685:A699"/>
    <mergeCell ref="A669:A683"/>
  </mergeCells>
  <phoneticPr fontId="5" type="noConversion"/>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P1048576"/>
  <sheetViews>
    <sheetView zoomScale="76" zoomScaleNormal="96" workbookViewId="0">
      <pane xSplit="1" ySplit="1" topLeftCell="I11" activePane="bottomRight" state="frozen"/>
      <selection pane="bottomRight" activeCell="A696" sqref="A696"/>
      <selection pane="bottomLeft" activeCell="A2" sqref="A2"/>
      <selection pane="topRight" activeCell="B1" sqref="B1"/>
    </sheetView>
  </sheetViews>
  <sheetFormatPr defaultRowHeight="14.45"/>
  <cols>
    <col min="1" max="1" width="17" style="9" customWidth="1"/>
    <col min="2" max="2" width="19.28515625" customWidth="1"/>
    <col min="3" max="3" width="36.5703125" style="21" bestFit="1" customWidth="1"/>
    <col min="4" max="4" width="70.140625" style="2" customWidth="1"/>
    <col min="5" max="5" width="75.28515625" style="2" customWidth="1"/>
    <col min="6" max="6" width="34.28515625" style="2" customWidth="1"/>
    <col min="7" max="7" width="55.28515625" style="2" customWidth="1"/>
    <col min="8" max="8" width="38.5703125" style="2" bestFit="1" customWidth="1"/>
    <col min="9" max="9" width="34.7109375" style="2" customWidth="1"/>
    <col min="10" max="10" width="19.42578125" style="2" customWidth="1"/>
    <col min="11" max="11" width="24.28515625" style="2" customWidth="1"/>
    <col min="12" max="12" width="12.28515625" style="6" customWidth="1"/>
    <col min="13" max="14" width="12.42578125" style="21" customWidth="1"/>
    <col min="15" max="15" width="10.85546875" customWidth="1"/>
    <col min="16" max="16" width="8.85546875" style="21"/>
    <col min="17" max="17" width="12.7109375" style="21" customWidth="1"/>
    <col min="18" max="18" width="31.85546875" style="5" customWidth="1"/>
    <col min="23" max="24" width="36.5703125" style="6" bestFit="1" customWidth="1"/>
    <col min="25" max="25" width="15.42578125" customWidth="1"/>
    <col min="27" max="27" width="32.42578125" customWidth="1"/>
    <col min="28" max="28" width="27.7109375" customWidth="1"/>
    <col min="30" max="30" width="33" customWidth="1"/>
    <col min="31" max="31" width="37.5703125" customWidth="1"/>
    <col min="33" max="33" width="8.85546875" style="21"/>
    <col min="16382" max="16383" width="9.140625" bestFit="1" customWidth="1"/>
    <col min="16384" max="16384" width="9.140625" customWidth="1"/>
  </cols>
  <sheetData>
    <row r="1" spans="1:35" ht="30" customHeight="1">
      <c r="A1" s="4" t="s">
        <v>1341</v>
      </c>
      <c r="B1" s="77" t="s">
        <v>1342</v>
      </c>
      <c r="C1" s="4" t="s">
        <v>1343</v>
      </c>
      <c r="D1" s="4" t="s">
        <v>69</v>
      </c>
      <c r="E1" s="4" t="s">
        <v>7</v>
      </c>
      <c r="F1" s="4" t="s">
        <v>1344</v>
      </c>
      <c r="G1" s="4" t="s">
        <v>1345</v>
      </c>
      <c r="H1" s="4" t="s">
        <v>1346</v>
      </c>
      <c r="I1" s="4" t="s">
        <v>1347</v>
      </c>
      <c r="J1" s="4" t="s">
        <v>1348</v>
      </c>
      <c r="K1" s="4" t="s">
        <v>1349</v>
      </c>
      <c r="L1" s="4" t="s">
        <v>10</v>
      </c>
      <c r="M1" s="4" t="s">
        <v>1350</v>
      </c>
      <c r="N1" s="4" t="s">
        <v>1351</v>
      </c>
      <c r="O1" s="4" t="s">
        <v>1352</v>
      </c>
      <c r="P1" s="4" t="s">
        <v>1353</v>
      </c>
      <c r="Q1" s="4" t="s">
        <v>1354</v>
      </c>
      <c r="R1" s="4" t="s">
        <v>1355</v>
      </c>
      <c r="S1" s="2"/>
    </row>
    <row r="2" spans="1:35" ht="43.15">
      <c r="A2" s="246" t="s">
        <v>1356</v>
      </c>
      <c r="B2" s="390" t="s">
        <v>1357</v>
      </c>
      <c r="C2" s="38" t="s">
        <v>1358</v>
      </c>
      <c r="D2" s="2" t="s">
        <v>1359</v>
      </c>
      <c r="E2" s="2" t="s">
        <v>1360</v>
      </c>
      <c r="F2" s="2" t="s">
        <v>1361</v>
      </c>
      <c r="G2" s="2" t="s">
        <v>1362</v>
      </c>
      <c r="H2" s="2" t="s">
        <v>1363</v>
      </c>
      <c r="I2" s="2" t="s">
        <v>1364</v>
      </c>
      <c r="J2" s="2" t="s">
        <v>1365</v>
      </c>
      <c r="K2" s="2" t="s">
        <v>1366</v>
      </c>
      <c r="L2" s="1" t="s">
        <v>1367</v>
      </c>
      <c r="M2" s="21" t="s">
        <v>1368</v>
      </c>
      <c r="N2" s="21" t="s">
        <v>1369</v>
      </c>
      <c r="O2" s="2" t="s">
        <v>1370</v>
      </c>
      <c r="P2" s="2" t="s">
        <v>1371</v>
      </c>
      <c r="S2" s="2"/>
    </row>
    <row r="3" spans="1:35" ht="57.6">
      <c r="A3" s="246" t="s">
        <v>1372</v>
      </c>
      <c r="B3" s="390"/>
      <c r="C3" s="38" t="s">
        <v>1373</v>
      </c>
      <c r="D3" s="2" t="s">
        <v>1374</v>
      </c>
      <c r="E3" s="2" t="s">
        <v>1375</v>
      </c>
      <c r="F3" s="2" t="s">
        <v>1376</v>
      </c>
      <c r="G3" s="2" t="s">
        <v>1377</v>
      </c>
      <c r="H3" s="2" t="s">
        <v>1363</v>
      </c>
      <c r="I3" s="2" t="s">
        <v>1378</v>
      </c>
      <c r="J3" s="2" t="s">
        <v>1379</v>
      </c>
      <c r="K3" s="2" t="s">
        <v>1380</v>
      </c>
      <c r="L3" s="1" t="s">
        <v>1381</v>
      </c>
      <c r="M3" s="21" t="s">
        <v>1368</v>
      </c>
      <c r="N3" s="21" t="s">
        <v>1369</v>
      </c>
      <c r="O3" s="2"/>
      <c r="P3" s="2" t="s">
        <v>1371</v>
      </c>
      <c r="S3" s="2"/>
      <c r="W3" s="168" t="s">
        <v>1382</v>
      </c>
      <c r="X3" s="168" t="s">
        <v>1383</v>
      </c>
      <c r="Y3" s="169" t="s">
        <v>1354</v>
      </c>
      <c r="AF3" s="213"/>
      <c r="AH3" s="207"/>
    </row>
    <row r="4" spans="1:35" s="9" customFormat="1" ht="43.15">
      <c r="A4" s="246" t="s">
        <v>1384</v>
      </c>
      <c r="B4" s="390"/>
      <c r="C4" s="38" t="s">
        <v>1385</v>
      </c>
      <c r="D4" s="2" t="s">
        <v>1386</v>
      </c>
      <c r="E4" s="2" t="s">
        <v>1387</v>
      </c>
      <c r="F4" s="2" t="s">
        <v>1388</v>
      </c>
      <c r="G4" s="15" t="s">
        <v>1389</v>
      </c>
      <c r="H4" s="15" t="s">
        <v>1363</v>
      </c>
      <c r="I4" s="2" t="s">
        <v>1390</v>
      </c>
      <c r="J4" s="15" t="s">
        <v>1391</v>
      </c>
      <c r="K4" s="15" t="s">
        <v>1392</v>
      </c>
      <c r="L4" s="1" t="s">
        <v>1381</v>
      </c>
      <c r="M4" s="21" t="s">
        <v>1368</v>
      </c>
      <c r="N4" s="21" t="s">
        <v>1369</v>
      </c>
      <c r="O4" s="2"/>
      <c r="P4" s="2" t="s">
        <v>1393</v>
      </c>
      <c r="Q4" s="21"/>
      <c r="R4" s="15"/>
      <c r="S4" s="2"/>
      <c r="W4" s="202" t="s">
        <v>1368</v>
      </c>
      <c r="X4" s="202">
        <f>COUNTIF(M:M, "Afram")</f>
        <v>1025</v>
      </c>
      <c r="Y4" s="202">
        <f>COUNTIF(Q:Q, "Afram")</f>
        <v>15</v>
      </c>
      <c r="Z4"/>
      <c r="AC4"/>
      <c r="AG4" s="21"/>
      <c r="AH4" s="208"/>
      <c r="AI4" s="209"/>
    </row>
    <row r="5" spans="1:35" ht="72">
      <c r="A5" s="246" t="s">
        <v>1394</v>
      </c>
      <c r="B5" s="390"/>
      <c r="C5" s="22" t="s">
        <v>1395</v>
      </c>
      <c r="D5" s="2" t="s">
        <v>1396</v>
      </c>
      <c r="E5" s="2" t="s">
        <v>1397</v>
      </c>
      <c r="F5" s="2" t="s">
        <v>1398</v>
      </c>
      <c r="G5" s="2" t="s">
        <v>1399</v>
      </c>
      <c r="H5" s="2" t="s">
        <v>1400</v>
      </c>
      <c r="I5" s="2" t="s">
        <v>1401</v>
      </c>
      <c r="J5" s="2" t="s">
        <v>1402</v>
      </c>
      <c r="K5" s="2" t="s">
        <v>1403</v>
      </c>
      <c r="L5" s="1" t="s">
        <v>1381</v>
      </c>
      <c r="M5" s="21" t="s">
        <v>1368</v>
      </c>
      <c r="N5" s="21" t="s">
        <v>1369</v>
      </c>
      <c r="O5" s="2"/>
      <c r="P5" s="2" t="s">
        <v>22</v>
      </c>
      <c r="S5" s="11"/>
      <c r="W5" s="202" t="s">
        <v>1404</v>
      </c>
      <c r="X5" s="202">
        <f>COUNTIF(M:M, "AY")</f>
        <v>89</v>
      </c>
      <c r="Y5" s="202">
        <f>COUNTIF(Q:Q, "AY")</f>
        <v>18</v>
      </c>
      <c r="Z5" s="9"/>
      <c r="AC5" s="9"/>
      <c r="AH5" s="210"/>
      <c r="AI5" s="211"/>
    </row>
    <row r="6" spans="1:35" s="9" customFormat="1" ht="100.9">
      <c r="A6" s="246" t="s">
        <v>1405</v>
      </c>
      <c r="B6" s="390"/>
      <c r="C6" s="38" t="s">
        <v>1406</v>
      </c>
      <c r="D6" s="2" t="s">
        <v>1407</v>
      </c>
      <c r="E6" s="2" t="s">
        <v>1408</v>
      </c>
      <c r="F6" s="2" t="s">
        <v>1409</v>
      </c>
      <c r="G6" s="15" t="s">
        <v>1410</v>
      </c>
      <c r="H6" s="15" t="s">
        <v>1411</v>
      </c>
      <c r="I6" s="15" t="s">
        <v>1412</v>
      </c>
      <c r="J6" s="15" t="s">
        <v>1413</v>
      </c>
      <c r="K6" s="15" t="s">
        <v>1414</v>
      </c>
      <c r="L6" s="1" t="s">
        <v>1367</v>
      </c>
      <c r="M6" s="21" t="s">
        <v>1368</v>
      </c>
      <c r="N6" s="21" t="s">
        <v>1369</v>
      </c>
      <c r="O6" s="2"/>
      <c r="P6" s="2" t="s">
        <v>22</v>
      </c>
      <c r="Q6" s="21"/>
      <c r="R6" s="15"/>
      <c r="S6" s="15"/>
      <c r="W6" s="202" t="s">
        <v>1415</v>
      </c>
      <c r="X6" s="202">
        <f>COUNTIF(M:M, "Omar")</f>
        <v>310</v>
      </c>
      <c r="Y6" s="202">
        <f>COUNTIF(Q:Q, "Omar")</f>
        <v>0</v>
      </c>
      <c r="Z6"/>
      <c r="AC6"/>
      <c r="AG6" s="21"/>
    </row>
    <row r="7" spans="1:35" ht="57.6">
      <c r="A7" s="246" t="s">
        <v>1416</v>
      </c>
      <c r="B7" s="390"/>
      <c r="C7" s="38" t="s">
        <v>1417</v>
      </c>
      <c r="D7" s="2" t="s">
        <v>1418</v>
      </c>
      <c r="E7" s="2" t="s">
        <v>1419</v>
      </c>
      <c r="F7" s="2" t="s">
        <v>1420</v>
      </c>
      <c r="G7" s="2" t="s">
        <v>1421</v>
      </c>
      <c r="H7" s="2" t="s">
        <v>1411</v>
      </c>
      <c r="I7" s="2" t="s">
        <v>1422</v>
      </c>
      <c r="J7" s="2" t="s">
        <v>1423</v>
      </c>
      <c r="K7" s="2" t="s">
        <v>1424</v>
      </c>
      <c r="L7" s="1" t="s">
        <v>1381</v>
      </c>
      <c r="M7" s="21" t="s">
        <v>1368</v>
      </c>
      <c r="N7" s="21" t="s">
        <v>1369</v>
      </c>
      <c r="O7" s="2"/>
      <c r="P7" s="2" t="s">
        <v>1393</v>
      </c>
      <c r="S7" s="2"/>
      <c r="W7" s="202" t="s">
        <v>1425</v>
      </c>
      <c r="X7" s="202">
        <f>COUNTIF(M:M, "Aly")</f>
        <v>94</v>
      </c>
      <c r="Y7" s="202">
        <f>COUNTIF(Q:Q, "Aly")</f>
        <v>0</v>
      </c>
      <c r="Z7" s="9"/>
      <c r="AC7" s="9"/>
    </row>
    <row r="8" spans="1:35" ht="57.6">
      <c r="A8" s="246" t="s">
        <v>1426</v>
      </c>
      <c r="B8" s="390"/>
      <c r="C8" s="38" t="s">
        <v>1427</v>
      </c>
      <c r="D8" s="2" t="s">
        <v>1428</v>
      </c>
      <c r="E8" s="2" t="s">
        <v>1429</v>
      </c>
      <c r="F8" s="2" t="s">
        <v>1420</v>
      </c>
      <c r="G8" s="2" t="s">
        <v>1430</v>
      </c>
      <c r="H8" s="2" t="s">
        <v>1431</v>
      </c>
      <c r="I8" s="2" t="s">
        <v>1432</v>
      </c>
      <c r="J8" s="2" t="s">
        <v>1433</v>
      </c>
      <c r="K8" s="2" t="s">
        <v>1434</v>
      </c>
      <c r="L8" s="1" t="s">
        <v>1367</v>
      </c>
      <c r="M8" s="21" t="s">
        <v>1368</v>
      </c>
      <c r="N8" s="21" t="s">
        <v>1369</v>
      </c>
      <c r="O8" s="2"/>
      <c r="P8" s="2" t="s">
        <v>22</v>
      </c>
      <c r="S8" s="2"/>
      <c r="W8" s="202" t="s">
        <v>1435</v>
      </c>
      <c r="X8" s="202">
        <f>SUM(X4:X7)</f>
        <v>1518</v>
      </c>
    </row>
    <row r="9" spans="1:35" ht="29.45" thickBot="1">
      <c r="A9" s="246" t="s">
        <v>1436</v>
      </c>
      <c r="B9" s="390"/>
      <c r="C9" s="38" t="s">
        <v>1437</v>
      </c>
      <c r="D9" s="2" t="s">
        <v>1438</v>
      </c>
      <c r="E9" s="2" t="s">
        <v>1439</v>
      </c>
      <c r="F9" s="2" t="s">
        <v>1440</v>
      </c>
      <c r="G9" s="2" t="s">
        <v>1441</v>
      </c>
      <c r="H9" s="2" t="s">
        <v>1442</v>
      </c>
      <c r="I9" s="2" t="s">
        <v>1443</v>
      </c>
      <c r="J9" s="2" t="s">
        <v>1444</v>
      </c>
      <c r="K9" s="2" t="s">
        <v>1445</v>
      </c>
      <c r="L9" s="1" t="s">
        <v>1367</v>
      </c>
      <c r="M9" s="21" t="s">
        <v>1368</v>
      </c>
      <c r="N9" s="21" t="s">
        <v>1369</v>
      </c>
      <c r="O9" s="2"/>
      <c r="P9" s="2" t="s">
        <v>1393</v>
      </c>
      <c r="S9" s="2"/>
    </row>
    <row r="10" spans="1:35" s="21" customFormat="1" ht="72.599999999999994" thickBot="1">
      <c r="A10" s="246" t="s">
        <v>1446</v>
      </c>
      <c r="B10" s="390"/>
      <c r="C10" s="38" t="s">
        <v>1447</v>
      </c>
      <c r="D10" s="2" t="s">
        <v>1448</v>
      </c>
      <c r="E10" s="2" t="s">
        <v>1449</v>
      </c>
      <c r="F10" s="2" t="s">
        <v>1361</v>
      </c>
      <c r="G10" s="2" t="s">
        <v>1450</v>
      </c>
      <c r="H10" s="2" t="s">
        <v>1400</v>
      </c>
      <c r="I10" s="2" t="s">
        <v>1451</v>
      </c>
      <c r="J10" s="2" t="s">
        <v>1452</v>
      </c>
      <c r="K10" s="2" t="s">
        <v>1453</v>
      </c>
      <c r="L10" s="1" t="s">
        <v>1381</v>
      </c>
      <c r="M10" s="21" t="s">
        <v>1368</v>
      </c>
      <c r="N10" s="21" t="s">
        <v>1369</v>
      </c>
      <c r="O10" s="2"/>
      <c r="P10" s="2" t="s">
        <v>22</v>
      </c>
      <c r="R10" s="2"/>
      <c r="S10" s="2"/>
      <c r="W10" s="395" t="s">
        <v>1454</v>
      </c>
      <c r="X10" s="395"/>
    </row>
    <row r="11" spans="1:35" s="21" customFormat="1" ht="72.599999999999994" thickBot="1">
      <c r="A11" s="246" t="s">
        <v>1455</v>
      </c>
      <c r="B11" s="390"/>
      <c r="C11" s="38" t="s">
        <v>1456</v>
      </c>
      <c r="D11" s="2" t="s">
        <v>1457</v>
      </c>
      <c r="E11" s="2" t="s">
        <v>1458</v>
      </c>
      <c r="F11" s="2" t="s">
        <v>1361</v>
      </c>
      <c r="G11" s="2" t="s">
        <v>1459</v>
      </c>
      <c r="H11" s="2" t="s">
        <v>1400</v>
      </c>
      <c r="I11" s="2" t="s">
        <v>1460</v>
      </c>
      <c r="J11" s="2" t="s">
        <v>1461</v>
      </c>
      <c r="K11" s="2" t="s">
        <v>1462</v>
      </c>
      <c r="L11" s="1" t="s">
        <v>1381</v>
      </c>
      <c r="M11" s="21" t="s">
        <v>1368</v>
      </c>
      <c r="O11" s="2"/>
      <c r="P11" s="2" t="s">
        <v>22</v>
      </c>
      <c r="R11" s="2"/>
      <c r="S11" s="2"/>
      <c r="W11" s="214" t="s">
        <v>1463</v>
      </c>
      <c r="X11" s="215">
        <f>COUNTIF(L:L, "Passed")</f>
        <v>1343</v>
      </c>
    </row>
    <row r="12" spans="1:35" ht="43.9" thickBot="1">
      <c r="A12" s="246" t="s">
        <v>1464</v>
      </c>
      <c r="B12" s="390"/>
      <c r="C12" s="38" t="s">
        <v>1465</v>
      </c>
      <c r="D12" s="2" t="s">
        <v>1466</v>
      </c>
      <c r="E12" s="2" t="s">
        <v>1467</v>
      </c>
      <c r="F12" s="2" t="s">
        <v>1361</v>
      </c>
      <c r="G12" s="2" t="s">
        <v>1468</v>
      </c>
      <c r="H12" s="2" t="s">
        <v>1469</v>
      </c>
      <c r="I12" s="2" t="s">
        <v>1470</v>
      </c>
      <c r="J12" s="2" t="s">
        <v>1471</v>
      </c>
      <c r="K12" s="2" t="s">
        <v>1472</v>
      </c>
      <c r="L12" s="1" t="s">
        <v>1367</v>
      </c>
      <c r="M12" s="21" t="s">
        <v>1368</v>
      </c>
      <c r="O12" s="2"/>
      <c r="P12" s="2" t="s">
        <v>1393</v>
      </c>
      <c r="S12" s="2"/>
      <c r="W12" s="216" t="s">
        <v>1473</v>
      </c>
      <c r="X12" s="217">
        <f>COUNTIF(L:L, "Failed")</f>
        <v>119</v>
      </c>
    </row>
    <row r="13" spans="1:35" s="21" customFormat="1" ht="43.9" thickBot="1">
      <c r="A13" s="246" t="s">
        <v>1474</v>
      </c>
      <c r="B13" s="390"/>
      <c r="C13" s="38" t="s">
        <v>1475</v>
      </c>
      <c r="D13" s="2" t="s">
        <v>1476</v>
      </c>
      <c r="E13" s="2" t="s">
        <v>1477</v>
      </c>
      <c r="F13" s="2" t="s">
        <v>1361</v>
      </c>
      <c r="G13" s="2" t="s">
        <v>1478</v>
      </c>
      <c r="H13" s="2" t="s">
        <v>1400</v>
      </c>
      <c r="I13" s="2" t="s">
        <v>1479</v>
      </c>
      <c r="J13" s="2" t="s">
        <v>1376</v>
      </c>
      <c r="K13" s="2" t="s">
        <v>1480</v>
      </c>
      <c r="L13" s="1" t="s">
        <v>1381</v>
      </c>
      <c r="M13" s="21" t="s">
        <v>1368</v>
      </c>
      <c r="N13" s="21" t="s">
        <v>1369</v>
      </c>
      <c r="O13" s="2"/>
      <c r="P13" s="2" t="s">
        <v>1481</v>
      </c>
      <c r="R13" s="2"/>
      <c r="S13" s="2"/>
      <c r="W13" s="214" t="s">
        <v>1482</v>
      </c>
      <c r="X13" s="218">
        <f>SUM(X11:X12)</f>
        <v>1462</v>
      </c>
    </row>
    <row r="14" spans="1:35" ht="43.15">
      <c r="A14" s="246" t="s">
        <v>1483</v>
      </c>
      <c r="B14" s="390"/>
      <c r="C14" s="38" t="s">
        <v>1484</v>
      </c>
      <c r="D14" s="2" t="s">
        <v>1485</v>
      </c>
      <c r="E14" s="2" t="s">
        <v>1486</v>
      </c>
      <c r="F14" s="2" t="s">
        <v>1361</v>
      </c>
      <c r="G14" s="2" t="s">
        <v>1487</v>
      </c>
      <c r="H14" s="2" t="s">
        <v>1488</v>
      </c>
      <c r="I14" s="2" t="s">
        <v>1489</v>
      </c>
      <c r="J14" s="2" t="s">
        <v>1490</v>
      </c>
      <c r="K14" s="2" t="s">
        <v>1491</v>
      </c>
      <c r="L14" s="1" t="s">
        <v>1367</v>
      </c>
      <c r="M14" s="21" t="s">
        <v>1368</v>
      </c>
      <c r="N14" s="21" t="s">
        <v>1369</v>
      </c>
      <c r="O14" s="2"/>
      <c r="P14" s="2" t="s">
        <v>22</v>
      </c>
      <c r="S14" s="2"/>
      <c r="W14" s="396" t="s">
        <v>1492</v>
      </c>
      <c r="X14" s="396"/>
    </row>
    <row r="15" spans="1:35" ht="28.9">
      <c r="A15" s="246" t="s">
        <v>1493</v>
      </c>
      <c r="B15" s="390"/>
      <c r="C15" s="38" t="s">
        <v>1494</v>
      </c>
      <c r="D15" s="2" t="s">
        <v>1495</v>
      </c>
      <c r="E15" s="2" t="s">
        <v>1496</v>
      </c>
      <c r="F15" s="2" t="s">
        <v>1376</v>
      </c>
      <c r="G15" s="2" t="s">
        <v>1497</v>
      </c>
      <c r="H15" s="2" t="s">
        <v>1400</v>
      </c>
      <c r="I15" s="2" t="s">
        <v>1392</v>
      </c>
      <c r="J15" s="2" t="s">
        <v>1498</v>
      </c>
      <c r="K15" s="2" t="s">
        <v>1499</v>
      </c>
      <c r="L15" s="1" t="s">
        <v>1367</v>
      </c>
      <c r="M15" s="21" t="s">
        <v>1368</v>
      </c>
      <c r="N15" s="21" t="s">
        <v>1369</v>
      </c>
      <c r="O15" s="2"/>
      <c r="P15" s="2" t="s">
        <v>22</v>
      </c>
      <c r="S15" s="2"/>
      <c r="W15" s="202" t="s">
        <v>1351</v>
      </c>
      <c r="X15" s="202">
        <f>COUNTIF(N:N, "Yes")</f>
        <v>710</v>
      </c>
    </row>
    <row r="16" spans="1:35" ht="43.9" thickBot="1">
      <c r="A16" s="246" t="s">
        <v>1500</v>
      </c>
      <c r="B16" s="390"/>
      <c r="C16" s="38" t="s">
        <v>1501</v>
      </c>
      <c r="D16" s="2" t="s">
        <v>1502</v>
      </c>
      <c r="E16" s="2" t="s">
        <v>1503</v>
      </c>
      <c r="F16" s="2" t="s">
        <v>1504</v>
      </c>
      <c r="G16" s="2" t="s">
        <v>1505</v>
      </c>
      <c r="H16" s="2" t="s">
        <v>1442</v>
      </c>
      <c r="I16" s="2" t="s">
        <v>1506</v>
      </c>
      <c r="J16" s="2" t="s">
        <v>1507</v>
      </c>
      <c r="K16" s="2" t="s">
        <v>1508</v>
      </c>
      <c r="L16" s="1" t="s">
        <v>1367</v>
      </c>
      <c r="M16" s="21" t="s">
        <v>1368</v>
      </c>
      <c r="N16" s="21" t="s">
        <v>1369</v>
      </c>
      <c r="O16" s="2"/>
      <c r="P16" s="2" t="s">
        <v>22</v>
      </c>
      <c r="S16" s="2"/>
    </row>
    <row r="17" spans="1:33" ht="58.15" thickBot="1">
      <c r="A17" s="246" t="s">
        <v>1509</v>
      </c>
      <c r="B17" s="390"/>
      <c r="C17" s="38" t="s">
        <v>1510</v>
      </c>
      <c r="D17" s="2" t="s">
        <v>1511</v>
      </c>
      <c r="E17" s="2" t="s">
        <v>1512</v>
      </c>
      <c r="F17" s="2" t="s">
        <v>1361</v>
      </c>
      <c r="G17" s="2" t="s">
        <v>1513</v>
      </c>
      <c r="H17" s="2" t="s">
        <v>1442</v>
      </c>
      <c r="I17" s="2" t="s">
        <v>1514</v>
      </c>
      <c r="J17" s="2" t="s">
        <v>1515</v>
      </c>
      <c r="K17" s="2" t="s">
        <v>1516</v>
      </c>
      <c r="L17" s="1" t="s">
        <v>1367</v>
      </c>
      <c r="M17" s="21" t="s">
        <v>1368</v>
      </c>
      <c r="N17" s="21" t="s">
        <v>1369</v>
      </c>
      <c r="O17" s="2"/>
      <c r="P17" s="2" t="s">
        <v>1371</v>
      </c>
      <c r="S17" s="2"/>
      <c r="W17" s="397" t="s">
        <v>1517</v>
      </c>
      <c r="X17" s="397"/>
    </row>
    <row r="18" spans="1:33" ht="58.15" thickBot="1">
      <c r="A18" s="246" t="s">
        <v>1518</v>
      </c>
      <c r="B18" s="390"/>
      <c r="C18" s="38" t="s">
        <v>1519</v>
      </c>
      <c r="D18" s="2" t="s">
        <v>1520</v>
      </c>
      <c r="E18" s="2" t="s">
        <v>1521</v>
      </c>
      <c r="F18" s="2" t="s">
        <v>1361</v>
      </c>
      <c r="G18" s="2" t="s">
        <v>1522</v>
      </c>
      <c r="H18" s="2" t="s">
        <v>1523</v>
      </c>
      <c r="I18" s="2" t="s">
        <v>1524</v>
      </c>
      <c r="J18" s="2" t="s">
        <v>1525</v>
      </c>
      <c r="K18" s="2" t="s">
        <v>1526</v>
      </c>
      <c r="L18" s="1" t="s">
        <v>1381</v>
      </c>
      <c r="M18" s="21" t="s">
        <v>1368</v>
      </c>
      <c r="N18" s="21" t="s">
        <v>1369</v>
      </c>
      <c r="O18" s="2"/>
      <c r="P18" s="2" t="s">
        <v>22</v>
      </c>
      <c r="S18" s="2"/>
      <c r="W18" s="206" t="s">
        <v>1393</v>
      </c>
      <c r="X18" s="212">
        <f>COUNTIF(P:P, "Critical")</f>
        <v>94</v>
      </c>
    </row>
    <row r="19" spans="1:33" ht="43.9" thickBot="1">
      <c r="A19" s="246" t="s">
        <v>1527</v>
      </c>
      <c r="B19" s="390"/>
      <c r="C19" s="38" t="s">
        <v>1528</v>
      </c>
      <c r="D19" s="2" t="s">
        <v>1529</v>
      </c>
      <c r="E19" s="2" t="s">
        <v>1530</v>
      </c>
      <c r="F19" s="2" t="s">
        <v>1420</v>
      </c>
      <c r="G19" s="2" t="s">
        <v>1531</v>
      </c>
      <c r="H19" s="2" t="s">
        <v>1532</v>
      </c>
      <c r="I19" s="2" t="s">
        <v>1533</v>
      </c>
      <c r="J19" s="2" t="s">
        <v>1534</v>
      </c>
      <c r="K19" s="2" t="s">
        <v>1472</v>
      </c>
      <c r="L19" s="1" t="s">
        <v>1367</v>
      </c>
      <c r="M19" s="21" t="s">
        <v>1368</v>
      </c>
      <c r="N19" s="21" t="s">
        <v>1369</v>
      </c>
      <c r="O19" s="2"/>
      <c r="P19" s="2" t="s">
        <v>22</v>
      </c>
      <c r="S19" s="2"/>
      <c r="W19" s="201" t="s">
        <v>22</v>
      </c>
      <c r="X19" s="203">
        <f>COUNTIF(P:P, "High")</f>
        <v>722</v>
      </c>
    </row>
    <row r="20" spans="1:33" ht="43.9" thickBot="1">
      <c r="A20" s="246" t="s">
        <v>1535</v>
      </c>
      <c r="B20" s="390"/>
      <c r="C20" s="38" t="s">
        <v>1536</v>
      </c>
      <c r="D20" s="2" t="s">
        <v>1537</v>
      </c>
      <c r="E20" s="2" t="s">
        <v>1538</v>
      </c>
      <c r="F20" s="2" t="s">
        <v>1420</v>
      </c>
      <c r="G20" s="2" t="s">
        <v>1539</v>
      </c>
      <c r="H20" s="2" t="s">
        <v>1540</v>
      </c>
      <c r="I20" s="2" t="s">
        <v>1541</v>
      </c>
      <c r="J20" s="2" t="s">
        <v>1376</v>
      </c>
      <c r="K20" s="2" t="s">
        <v>1542</v>
      </c>
      <c r="L20" s="1" t="s">
        <v>1367</v>
      </c>
      <c r="M20" s="21" t="s">
        <v>1368</v>
      </c>
      <c r="N20" s="21" t="s">
        <v>1369</v>
      </c>
      <c r="O20" s="2"/>
      <c r="P20" s="2" t="s">
        <v>1371</v>
      </c>
      <c r="R20" s="5" t="s">
        <v>1543</v>
      </c>
      <c r="S20" s="2"/>
      <c r="W20" s="201" t="s">
        <v>1371</v>
      </c>
      <c r="X20" s="204">
        <f>COUNTIF(P:P, "Medium")</f>
        <v>460</v>
      </c>
    </row>
    <row r="21" spans="1:33" ht="43.9" thickBot="1">
      <c r="A21" s="246" t="s">
        <v>1544</v>
      </c>
      <c r="B21" s="390"/>
      <c r="C21" s="38" t="s">
        <v>1545</v>
      </c>
      <c r="D21" s="2" t="s">
        <v>1546</v>
      </c>
      <c r="E21" s="2" t="s">
        <v>1547</v>
      </c>
      <c r="F21" s="2" t="s">
        <v>1361</v>
      </c>
      <c r="G21" s="2" t="s">
        <v>1548</v>
      </c>
      <c r="H21" s="2" t="s">
        <v>1549</v>
      </c>
      <c r="I21" s="2" t="s">
        <v>1550</v>
      </c>
      <c r="J21" s="2" t="s">
        <v>1440</v>
      </c>
      <c r="K21" s="2" t="s">
        <v>1440</v>
      </c>
      <c r="L21" s="1" t="s">
        <v>1367</v>
      </c>
      <c r="M21" s="21" t="s">
        <v>1368</v>
      </c>
      <c r="N21" s="21" t="s">
        <v>1369</v>
      </c>
      <c r="O21" s="2"/>
      <c r="P21" s="2" t="s">
        <v>22</v>
      </c>
      <c r="S21" s="2"/>
      <c r="W21" s="201" t="s">
        <v>1481</v>
      </c>
      <c r="X21" s="205">
        <f>COUNTIF(P:P, "Low")</f>
        <v>84</v>
      </c>
    </row>
    <row r="22" spans="1:33" s="9" customFormat="1" ht="43.15">
      <c r="A22" s="246" t="s">
        <v>1551</v>
      </c>
      <c r="B22" s="390"/>
      <c r="C22" s="38" t="s">
        <v>1552</v>
      </c>
      <c r="D22" s="2" t="s">
        <v>1553</v>
      </c>
      <c r="E22" s="2" t="s">
        <v>1554</v>
      </c>
      <c r="F22" s="2" t="s">
        <v>1361</v>
      </c>
      <c r="G22" s="2" t="s">
        <v>1555</v>
      </c>
      <c r="H22" s="15" t="s">
        <v>1556</v>
      </c>
      <c r="I22" s="2" t="s">
        <v>1550</v>
      </c>
      <c r="J22" s="15" t="s">
        <v>1440</v>
      </c>
      <c r="K22" s="15" t="s">
        <v>1440</v>
      </c>
      <c r="L22" s="1" t="s">
        <v>1367</v>
      </c>
      <c r="M22" s="21" t="s">
        <v>1368</v>
      </c>
      <c r="N22" s="21" t="s">
        <v>1369</v>
      </c>
      <c r="O22" s="2"/>
      <c r="P22" s="2" t="s">
        <v>22</v>
      </c>
      <c r="Q22" s="21"/>
      <c r="R22" s="15"/>
      <c r="S22" s="2"/>
      <c r="AG22" s="21"/>
    </row>
    <row r="23" spans="1:33" ht="43.15">
      <c r="A23" s="246" t="s">
        <v>1557</v>
      </c>
      <c r="B23" s="390"/>
      <c r="C23" s="38" t="s">
        <v>1558</v>
      </c>
      <c r="D23" s="2" t="s">
        <v>1559</v>
      </c>
      <c r="E23" s="2" t="s">
        <v>1560</v>
      </c>
      <c r="F23" s="2" t="s">
        <v>1361</v>
      </c>
      <c r="G23" s="2" t="s">
        <v>1561</v>
      </c>
      <c r="H23" s="2" t="s">
        <v>1562</v>
      </c>
      <c r="I23" s="2" t="s">
        <v>1563</v>
      </c>
      <c r="J23" s="2" t="s">
        <v>1564</v>
      </c>
      <c r="K23" s="2" t="s">
        <v>1565</v>
      </c>
      <c r="L23" s="1" t="s">
        <v>1367</v>
      </c>
      <c r="M23" s="21" t="s">
        <v>1368</v>
      </c>
      <c r="N23" s="21" t="s">
        <v>1369</v>
      </c>
      <c r="O23" s="2"/>
      <c r="P23" s="2" t="s">
        <v>22</v>
      </c>
      <c r="S23" s="2"/>
      <c r="W23" s="9"/>
      <c r="X23" s="9"/>
    </row>
    <row r="24" spans="1:33" ht="43.15">
      <c r="A24" s="246" t="s">
        <v>1566</v>
      </c>
      <c r="B24" s="390"/>
      <c r="C24" s="38" t="s">
        <v>1567</v>
      </c>
      <c r="D24" s="2" t="s">
        <v>1568</v>
      </c>
      <c r="E24" s="2" t="s">
        <v>1569</v>
      </c>
      <c r="F24" s="2" t="s">
        <v>1361</v>
      </c>
      <c r="G24" s="2" t="s">
        <v>1570</v>
      </c>
      <c r="H24" s="2" t="s">
        <v>1571</v>
      </c>
      <c r="I24" s="2" t="s">
        <v>1572</v>
      </c>
      <c r="J24" s="2" t="s">
        <v>1564</v>
      </c>
      <c r="K24" s="2" t="s">
        <v>1565</v>
      </c>
      <c r="L24" s="1" t="s">
        <v>1367</v>
      </c>
      <c r="M24" s="21" t="s">
        <v>1368</v>
      </c>
      <c r="N24" s="21" t="s">
        <v>1369</v>
      </c>
      <c r="O24" s="2"/>
      <c r="P24" s="2" t="s">
        <v>22</v>
      </c>
      <c r="S24" s="2"/>
    </row>
    <row r="25" spans="1:33" s="21" customFormat="1" ht="43.15">
      <c r="A25" s="246" t="s">
        <v>1573</v>
      </c>
      <c r="B25" s="390"/>
      <c r="C25" s="65" t="s">
        <v>1574</v>
      </c>
      <c r="D25" s="65" t="s">
        <v>1575</v>
      </c>
      <c r="E25" s="65" t="s">
        <v>1576</v>
      </c>
      <c r="F25" s="65" t="s">
        <v>1361</v>
      </c>
      <c r="G25" s="65" t="s">
        <v>1577</v>
      </c>
      <c r="H25" s="65" t="s">
        <v>1400</v>
      </c>
      <c r="I25" s="65" t="s">
        <v>1578</v>
      </c>
      <c r="J25" s="65" t="s">
        <v>1579</v>
      </c>
      <c r="K25" s="65" t="s">
        <v>1526</v>
      </c>
      <c r="L25" s="66" t="s">
        <v>1367</v>
      </c>
      <c r="M25" s="21" t="s">
        <v>1415</v>
      </c>
      <c r="N25" s="21" t="s">
        <v>1369</v>
      </c>
      <c r="P25" s="65" t="s">
        <v>1371</v>
      </c>
      <c r="Q25" s="21" t="s">
        <v>1368</v>
      </c>
      <c r="R25" s="2"/>
      <c r="S25" s="2"/>
      <c r="W25" s="6"/>
      <c r="X25" s="6"/>
    </row>
    <row r="26" spans="1:33" ht="43.15">
      <c r="A26" s="246" t="s">
        <v>1580</v>
      </c>
      <c r="B26" s="390"/>
      <c r="C26" s="75" t="s">
        <v>1581</v>
      </c>
      <c r="D26" s="65" t="s">
        <v>1582</v>
      </c>
      <c r="E26" s="65" t="s">
        <v>1583</v>
      </c>
      <c r="F26" s="65" t="s">
        <v>1361</v>
      </c>
      <c r="G26" s="65" t="s">
        <v>1584</v>
      </c>
      <c r="H26" s="65" t="s">
        <v>1585</v>
      </c>
      <c r="I26" s="65" t="s">
        <v>1586</v>
      </c>
      <c r="J26" s="65" t="s">
        <v>1564</v>
      </c>
      <c r="K26" s="65" t="s">
        <v>1587</v>
      </c>
      <c r="L26" s="66" t="s">
        <v>1367</v>
      </c>
      <c r="M26" s="21" t="s">
        <v>1415</v>
      </c>
      <c r="N26" s="21" t="s">
        <v>1369</v>
      </c>
      <c r="P26" s="65" t="s">
        <v>22</v>
      </c>
      <c r="Q26" s="21" t="s">
        <v>1368</v>
      </c>
      <c r="S26" s="2"/>
    </row>
    <row r="27" spans="1:33" ht="28.9">
      <c r="A27" s="246" t="s">
        <v>1588</v>
      </c>
      <c r="B27" s="390"/>
      <c r="C27" s="75" t="s">
        <v>1589</v>
      </c>
      <c r="D27" s="65" t="s">
        <v>1590</v>
      </c>
      <c r="E27" s="65" t="s">
        <v>1591</v>
      </c>
      <c r="F27" s="65" t="s">
        <v>1361</v>
      </c>
      <c r="G27" s="65" t="s">
        <v>1592</v>
      </c>
      <c r="H27" s="65" t="s">
        <v>1400</v>
      </c>
      <c r="I27" s="65" t="s">
        <v>1593</v>
      </c>
      <c r="J27" s="65" t="s">
        <v>1594</v>
      </c>
      <c r="K27" s="65" t="s">
        <v>1595</v>
      </c>
      <c r="L27" s="67" t="s">
        <v>1381</v>
      </c>
      <c r="M27" s="21" t="s">
        <v>1415</v>
      </c>
      <c r="N27" s="21" t="s">
        <v>1369</v>
      </c>
      <c r="P27" s="65" t="s">
        <v>1371</v>
      </c>
      <c r="Q27" s="21" t="s">
        <v>1368</v>
      </c>
      <c r="S27" s="2"/>
    </row>
    <row r="28" spans="1:33" ht="43.15">
      <c r="A28" s="246" t="s">
        <v>1596</v>
      </c>
      <c r="B28" s="390"/>
      <c r="C28" s="75" t="s">
        <v>1597</v>
      </c>
      <c r="D28" s="65" t="s">
        <v>1598</v>
      </c>
      <c r="E28" s="65" t="s">
        <v>1599</v>
      </c>
      <c r="F28" s="65" t="s">
        <v>1361</v>
      </c>
      <c r="G28" s="65" t="s">
        <v>1600</v>
      </c>
      <c r="H28" s="65" t="s">
        <v>1601</v>
      </c>
      <c r="I28" s="65" t="s">
        <v>1602</v>
      </c>
      <c r="J28" s="65" t="s">
        <v>1603</v>
      </c>
      <c r="K28" s="65" t="s">
        <v>1604</v>
      </c>
      <c r="L28" s="66" t="s">
        <v>1367</v>
      </c>
      <c r="M28" s="21" t="s">
        <v>1415</v>
      </c>
      <c r="N28" s="21" t="s">
        <v>1369</v>
      </c>
      <c r="P28" s="65" t="s">
        <v>1481</v>
      </c>
      <c r="Q28" s="21" t="s">
        <v>1368</v>
      </c>
      <c r="S28" s="2"/>
    </row>
    <row r="29" spans="1:33" ht="43.15">
      <c r="A29" s="246" t="s">
        <v>1605</v>
      </c>
      <c r="B29" s="390"/>
      <c r="C29" s="75" t="s">
        <v>1606</v>
      </c>
      <c r="D29" s="65" t="s">
        <v>1607</v>
      </c>
      <c r="E29" s="65" t="s">
        <v>1608</v>
      </c>
      <c r="F29" s="65" t="s">
        <v>1361</v>
      </c>
      <c r="G29" s="65" t="s">
        <v>1609</v>
      </c>
      <c r="H29" s="65" t="s">
        <v>1442</v>
      </c>
      <c r="I29" s="65" t="s">
        <v>1610</v>
      </c>
      <c r="J29" s="65" t="s">
        <v>1611</v>
      </c>
      <c r="K29" s="65" t="s">
        <v>1612</v>
      </c>
      <c r="L29" s="66" t="s">
        <v>1367</v>
      </c>
      <c r="M29" s="21" t="s">
        <v>1415</v>
      </c>
      <c r="N29" s="21" t="s">
        <v>1369</v>
      </c>
      <c r="P29" s="65" t="s">
        <v>1371</v>
      </c>
      <c r="Q29" s="21" t="s">
        <v>1368</v>
      </c>
      <c r="S29" s="2"/>
    </row>
    <row r="30" spans="1:33" ht="57.6">
      <c r="A30" s="246" t="s">
        <v>1613</v>
      </c>
      <c r="B30" s="390"/>
      <c r="C30" s="65" t="s">
        <v>1614</v>
      </c>
      <c r="D30" s="65" t="s">
        <v>1615</v>
      </c>
      <c r="E30" s="2" t="s">
        <v>1616</v>
      </c>
      <c r="F30" s="2" t="s">
        <v>1361</v>
      </c>
      <c r="G30" s="2" t="s">
        <v>1617</v>
      </c>
      <c r="H30" s="2" t="s">
        <v>1618</v>
      </c>
      <c r="I30" s="2" t="s">
        <v>1619</v>
      </c>
      <c r="J30" s="2" t="s">
        <v>1413</v>
      </c>
      <c r="K30" s="2" t="s">
        <v>1620</v>
      </c>
      <c r="L30" s="66" t="s">
        <v>1367</v>
      </c>
      <c r="M30" s="21" t="s">
        <v>1415</v>
      </c>
      <c r="N30" s="21" t="s">
        <v>1369</v>
      </c>
      <c r="P30" s="65" t="s">
        <v>22</v>
      </c>
      <c r="Q30" s="21" t="s">
        <v>1368</v>
      </c>
      <c r="S30" s="2"/>
    </row>
    <row r="31" spans="1:33" ht="86.45">
      <c r="A31" s="246" t="s">
        <v>1621</v>
      </c>
      <c r="B31" s="390"/>
      <c r="C31" s="65" t="s">
        <v>1622</v>
      </c>
      <c r="D31" s="65" t="s">
        <v>1623</v>
      </c>
      <c r="E31" s="2" t="s">
        <v>1624</v>
      </c>
      <c r="F31" s="2" t="s">
        <v>1625</v>
      </c>
      <c r="G31" s="2" t="s">
        <v>1626</v>
      </c>
      <c r="H31" s="2" t="s">
        <v>1627</v>
      </c>
      <c r="I31" s="2" t="s">
        <v>1628</v>
      </c>
      <c r="J31" s="2" t="s">
        <v>1629</v>
      </c>
      <c r="K31" s="2" t="s">
        <v>1630</v>
      </c>
      <c r="L31" s="69" t="s">
        <v>1381</v>
      </c>
      <c r="M31" s="21" t="s">
        <v>1415</v>
      </c>
      <c r="P31" s="65" t="s">
        <v>1393</v>
      </c>
      <c r="Q31" s="21" t="s">
        <v>1368</v>
      </c>
      <c r="S31" s="2"/>
    </row>
    <row r="32" spans="1:33" ht="115.15">
      <c r="A32" s="246" t="s">
        <v>1631</v>
      </c>
      <c r="B32" s="390"/>
      <c r="C32" s="65" t="s">
        <v>1632</v>
      </c>
      <c r="D32" s="65" t="s">
        <v>1633</v>
      </c>
      <c r="E32" s="2" t="s">
        <v>1634</v>
      </c>
      <c r="F32" s="2" t="s">
        <v>1635</v>
      </c>
      <c r="G32" s="2" t="s">
        <v>1636</v>
      </c>
      <c r="H32" s="2" t="s">
        <v>1637</v>
      </c>
      <c r="I32" s="2" t="s">
        <v>1638</v>
      </c>
      <c r="J32" s="2" t="s">
        <v>1639</v>
      </c>
      <c r="K32" s="2" t="s">
        <v>1640</v>
      </c>
      <c r="L32" s="69" t="s">
        <v>1381</v>
      </c>
      <c r="M32" s="21" t="s">
        <v>1415</v>
      </c>
      <c r="P32" s="65" t="s">
        <v>22</v>
      </c>
      <c r="Q32" s="21" t="s">
        <v>1368</v>
      </c>
      <c r="S32" s="2"/>
    </row>
    <row r="33" spans="1:17" ht="43.15">
      <c r="A33" s="246" t="s">
        <v>1641</v>
      </c>
      <c r="B33" s="390"/>
      <c r="C33" s="3"/>
      <c r="D33" s="163" t="s">
        <v>1642</v>
      </c>
      <c r="E33" s="86" t="s">
        <v>1643</v>
      </c>
      <c r="F33" s="86" t="s">
        <v>1644</v>
      </c>
      <c r="G33" s="86" t="s">
        <v>1645</v>
      </c>
      <c r="H33" s="86" t="s">
        <v>1442</v>
      </c>
      <c r="I33" s="86" t="s">
        <v>1646</v>
      </c>
      <c r="J33" s="86" t="s">
        <v>1647</v>
      </c>
      <c r="K33" s="258" t="s">
        <v>1648</v>
      </c>
      <c r="L33" s="88" t="s">
        <v>1367</v>
      </c>
      <c r="M33" s="21" t="s">
        <v>1415</v>
      </c>
      <c r="N33" s="21" t="s">
        <v>1369</v>
      </c>
      <c r="O33" s="145" t="s">
        <v>1649</v>
      </c>
      <c r="P33" s="86" t="s">
        <v>1481</v>
      </c>
    </row>
    <row r="34" spans="1:17" ht="86.45">
      <c r="A34" s="246" t="s">
        <v>1650</v>
      </c>
      <c r="B34" s="390"/>
      <c r="C34" s="3"/>
      <c r="D34" s="164" t="s">
        <v>1651</v>
      </c>
      <c r="E34" s="85" t="s">
        <v>1652</v>
      </c>
      <c r="F34" s="85" t="s">
        <v>1361</v>
      </c>
      <c r="G34" s="85" t="s">
        <v>1653</v>
      </c>
      <c r="H34" s="85" t="s">
        <v>1442</v>
      </c>
      <c r="I34" s="85" t="s">
        <v>1654</v>
      </c>
      <c r="J34" s="85" t="s">
        <v>1655</v>
      </c>
      <c r="K34" s="259" t="s">
        <v>1656</v>
      </c>
      <c r="L34" s="89" t="s">
        <v>1367</v>
      </c>
      <c r="M34" s="21" t="s">
        <v>1415</v>
      </c>
      <c r="N34" s="21" t="s">
        <v>1369</v>
      </c>
      <c r="O34" s="82" t="s">
        <v>1649</v>
      </c>
      <c r="P34" s="85" t="s">
        <v>1481</v>
      </c>
    </row>
    <row r="35" spans="1:17" ht="86.45">
      <c r="A35" s="246" t="s">
        <v>1657</v>
      </c>
      <c r="B35" s="390"/>
      <c r="C35" s="3"/>
      <c r="D35" s="164" t="s">
        <v>1658</v>
      </c>
      <c r="E35" s="85" t="s">
        <v>1659</v>
      </c>
      <c r="F35" s="85" t="s">
        <v>1361</v>
      </c>
      <c r="G35" s="85" t="s">
        <v>1660</v>
      </c>
      <c r="H35" s="85" t="s">
        <v>1442</v>
      </c>
      <c r="I35" s="85" t="s">
        <v>1661</v>
      </c>
      <c r="J35" s="85" t="s">
        <v>1655</v>
      </c>
      <c r="K35" s="259" t="s">
        <v>1662</v>
      </c>
      <c r="L35" s="89" t="s">
        <v>1367</v>
      </c>
      <c r="M35" s="21" t="s">
        <v>1415</v>
      </c>
      <c r="N35" s="21" t="s">
        <v>1369</v>
      </c>
      <c r="O35" s="82" t="s">
        <v>1649</v>
      </c>
      <c r="P35" s="85" t="s">
        <v>1371</v>
      </c>
    </row>
    <row r="36" spans="1:17" ht="86.45">
      <c r="A36" s="246" t="s">
        <v>1663</v>
      </c>
      <c r="B36" s="390"/>
      <c r="C36" s="3"/>
      <c r="D36" s="164" t="s">
        <v>1664</v>
      </c>
      <c r="E36" s="85" t="s">
        <v>1665</v>
      </c>
      <c r="F36" s="85" t="s">
        <v>1361</v>
      </c>
      <c r="G36" s="85" t="s">
        <v>1666</v>
      </c>
      <c r="H36" s="85" t="s">
        <v>1667</v>
      </c>
      <c r="I36" s="260" t="s">
        <v>1668</v>
      </c>
      <c r="J36" s="85" t="s">
        <v>1669</v>
      </c>
      <c r="K36" s="259" t="s">
        <v>1670</v>
      </c>
      <c r="L36" s="89" t="s">
        <v>1367</v>
      </c>
      <c r="M36" s="21" t="s">
        <v>1415</v>
      </c>
      <c r="N36" s="21" t="s">
        <v>1369</v>
      </c>
      <c r="O36" s="82" t="s">
        <v>1649</v>
      </c>
      <c r="P36" s="85" t="s">
        <v>1371</v>
      </c>
    </row>
    <row r="37" spans="1:17" ht="86.45">
      <c r="A37" s="246" t="s">
        <v>1671</v>
      </c>
      <c r="B37" s="390"/>
      <c r="C37" s="3"/>
      <c r="D37" s="164" t="s">
        <v>1672</v>
      </c>
      <c r="E37" s="85" t="s">
        <v>1673</v>
      </c>
      <c r="F37" s="85" t="s">
        <v>1361</v>
      </c>
      <c r="G37" s="85" t="s">
        <v>1674</v>
      </c>
      <c r="H37" s="85" t="s">
        <v>1675</v>
      </c>
      <c r="I37" s="260" t="s">
        <v>1676</v>
      </c>
      <c r="J37" s="85" t="s">
        <v>1669</v>
      </c>
      <c r="K37" s="259" t="s">
        <v>1677</v>
      </c>
      <c r="L37" s="89" t="s">
        <v>1367</v>
      </c>
      <c r="M37" s="21" t="s">
        <v>1415</v>
      </c>
      <c r="N37" s="21" t="s">
        <v>1369</v>
      </c>
      <c r="O37" s="82" t="s">
        <v>1649</v>
      </c>
      <c r="P37" s="85" t="s">
        <v>1371</v>
      </c>
    </row>
    <row r="38" spans="1:17" ht="86.45">
      <c r="A38" s="246" t="s">
        <v>1678</v>
      </c>
      <c r="B38" s="390"/>
      <c r="C38" s="3"/>
      <c r="D38" s="164" t="s">
        <v>1679</v>
      </c>
      <c r="E38" s="85" t="s">
        <v>1680</v>
      </c>
      <c r="F38" s="85" t="s">
        <v>1361</v>
      </c>
      <c r="G38" s="85" t="s">
        <v>1681</v>
      </c>
      <c r="H38" s="85" t="s">
        <v>1682</v>
      </c>
      <c r="I38" s="85" t="s">
        <v>1683</v>
      </c>
      <c r="J38" s="85" t="s">
        <v>1684</v>
      </c>
      <c r="K38" s="259" t="s">
        <v>1685</v>
      </c>
      <c r="L38" s="89" t="s">
        <v>1367</v>
      </c>
      <c r="M38" s="21" t="s">
        <v>1415</v>
      </c>
      <c r="N38" s="21" t="s">
        <v>1369</v>
      </c>
      <c r="O38" s="82" t="s">
        <v>1649</v>
      </c>
      <c r="P38" s="85" t="s">
        <v>1371</v>
      </c>
    </row>
    <row r="39" spans="1:17" ht="86.45">
      <c r="A39" s="246" t="s">
        <v>1686</v>
      </c>
      <c r="B39" s="390"/>
      <c r="C39" s="3"/>
      <c r="D39" s="164" t="s">
        <v>1687</v>
      </c>
      <c r="E39" s="85" t="s">
        <v>1688</v>
      </c>
      <c r="F39" s="85" t="s">
        <v>1361</v>
      </c>
      <c r="G39" s="85" t="s">
        <v>1689</v>
      </c>
      <c r="H39" s="85" t="s">
        <v>1690</v>
      </c>
      <c r="I39" s="85" t="s">
        <v>1691</v>
      </c>
      <c r="J39" s="85" t="s">
        <v>1692</v>
      </c>
      <c r="K39" s="259" t="s">
        <v>1693</v>
      </c>
      <c r="L39" s="89" t="s">
        <v>1367</v>
      </c>
      <c r="M39" s="21" t="s">
        <v>1415</v>
      </c>
      <c r="N39" s="21" t="s">
        <v>1369</v>
      </c>
      <c r="O39" s="82" t="s">
        <v>1649</v>
      </c>
      <c r="P39" s="85" t="s">
        <v>1371</v>
      </c>
    </row>
    <row r="40" spans="1:17" ht="72">
      <c r="A40" s="246" t="s">
        <v>1694</v>
      </c>
      <c r="B40" s="390"/>
      <c r="C40" s="3"/>
      <c r="D40" s="164" t="s">
        <v>1695</v>
      </c>
      <c r="E40" s="85" t="s">
        <v>1696</v>
      </c>
      <c r="F40" s="85" t="s">
        <v>1361</v>
      </c>
      <c r="G40" s="85" t="s">
        <v>1697</v>
      </c>
      <c r="H40" s="85" t="s">
        <v>1442</v>
      </c>
      <c r="I40" s="85" t="s">
        <v>1698</v>
      </c>
      <c r="J40" s="85" t="s">
        <v>1655</v>
      </c>
      <c r="K40" s="259" t="s">
        <v>1699</v>
      </c>
      <c r="L40" s="89" t="s">
        <v>1367</v>
      </c>
      <c r="M40" s="21" t="s">
        <v>1415</v>
      </c>
      <c r="N40" s="21" t="s">
        <v>1369</v>
      </c>
      <c r="O40" s="82" t="s">
        <v>1649</v>
      </c>
      <c r="P40" s="85" t="s">
        <v>22</v>
      </c>
    </row>
    <row r="41" spans="1:17" ht="86.45">
      <c r="A41" s="246" t="s">
        <v>1700</v>
      </c>
      <c r="B41" s="390"/>
      <c r="C41" s="3"/>
      <c r="D41" s="164" t="s">
        <v>1701</v>
      </c>
      <c r="E41" s="85" t="s">
        <v>1702</v>
      </c>
      <c r="F41" s="85" t="s">
        <v>1703</v>
      </c>
      <c r="G41" s="85" t="s">
        <v>1704</v>
      </c>
      <c r="H41" s="85" t="s">
        <v>1442</v>
      </c>
      <c r="I41" s="85" t="s">
        <v>1705</v>
      </c>
      <c r="J41" s="85" t="s">
        <v>1706</v>
      </c>
      <c r="K41" s="259" t="s">
        <v>1707</v>
      </c>
      <c r="L41" s="89" t="s">
        <v>1367</v>
      </c>
      <c r="M41" s="21" t="s">
        <v>1415</v>
      </c>
      <c r="N41" s="21" t="s">
        <v>1369</v>
      </c>
      <c r="O41" s="82" t="s">
        <v>1649</v>
      </c>
      <c r="P41" s="85" t="s">
        <v>22</v>
      </c>
    </row>
    <row r="42" spans="1:17" ht="100.9">
      <c r="A42" s="246" t="s">
        <v>1708</v>
      </c>
      <c r="B42" s="390"/>
      <c r="C42" s="3"/>
      <c r="D42" s="243" t="s">
        <v>1709</v>
      </c>
      <c r="E42" s="85" t="s">
        <v>1710</v>
      </c>
      <c r="F42" s="85" t="s">
        <v>1361</v>
      </c>
      <c r="G42" s="85" t="s">
        <v>1711</v>
      </c>
      <c r="H42" s="85" t="s">
        <v>1712</v>
      </c>
      <c r="I42" s="85" t="s">
        <v>1713</v>
      </c>
      <c r="J42" s="85" t="s">
        <v>1714</v>
      </c>
      <c r="K42" s="259" t="s">
        <v>1715</v>
      </c>
      <c r="L42" s="89" t="s">
        <v>1367</v>
      </c>
      <c r="M42" s="21" t="s">
        <v>1415</v>
      </c>
      <c r="N42" s="21" t="s">
        <v>1369</v>
      </c>
      <c r="O42" s="82" t="s">
        <v>1649</v>
      </c>
      <c r="P42" s="85" t="s">
        <v>1393</v>
      </c>
    </row>
    <row r="43" spans="1:17" ht="28.9">
      <c r="A43" s="246" t="s">
        <v>1716</v>
      </c>
      <c r="B43" s="390"/>
      <c r="C43" s="3"/>
      <c r="D43" s="164" t="s">
        <v>1717</v>
      </c>
      <c r="E43" s="85" t="s">
        <v>1718</v>
      </c>
      <c r="F43" s="85" t="s">
        <v>1361</v>
      </c>
      <c r="G43" s="85" t="s">
        <v>1719</v>
      </c>
      <c r="H43" s="85" t="s">
        <v>1442</v>
      </c>
      <c r="I43" s="85" t="s">
        <v>1720</v>
      </c>
      <c r="J43" s="85" t="s">
        <v>1655</v>
      </c>
      <c r="K43" s="259" t="s">
        <v>1721</v>
      </c>
      <c r="L43" s="89" t="s">
        <v>1367</v>
      </c>
      <c r="M43" s="21" t="s">
        <v>1415</v>
      </c>
      <c r="O43" s="82" t="s">
        <v>1649</v>
      </c>
      <c r="P43" s="85" t="s">
        <v>1481</v>
      </c>
    </row>
    <row r="44" spans="1:17" ht="86.45">
      <c r="A44" s="246" t="s">
        <v>1722</v>
      </c>
      <c r="B44" s="390"/>
      <c r="C44" s="3"/>
      <c r="D44" s="164" t="s">
        <v>1723</v>
      </c>
      <c r="E44" s="85" t="s">
        <v>1724</v>
      </c>
      <c r="F44" s="85" t="s">
        <v>1725</v>
      </c>
      <c r="G44" s="85" t="s">
        <v>1726</v>
      </c>
      <c r="H44" s="85" t="s">
        <v>1442</v>
      </c>
      <c r="I44" s="85" t="s">
        <v>1727</v>
      </c>
      <c r="J44" s="85" t="s">
        <v>1655</v>
      </c>
      <c r="K44" s="259" t="s">
        <v>1728</v>
      </c>
      <c r="L44" s="122" t="s">
        <v>1381</v>
      </c>
      <c r="M44" s="21" t="s">
        <v>1415</v>
      </c>
      <c r="O44" s="82" t="s">
        <v>1649</v>
      </c>
      <c r="P44" s="85" t="s">
        <v>1371</v>
      </c>
    </row>
    <row r="45" spans="1:17" ht="86.45">
      <c r="A45" s="246" t="s">
        <v>1729</v>
      </c>
      <c r="B45" s="390"/>
      <c r="C45" s="3"/>
      <c r="D45" s="164" t="s">
        <v>1730</v>
      </c>
      <c r="E45" s="85" t="s">
        <v>1731</v>
      </c>
      <c r="F45" s="85" t="s">
        <v>1361</v>
      </c>
      <c r="G45" s="85" t="s">
        <v>1732</v>
      </c>
      <c r="H45" s="85" t="s">
        <v>1733</v>
      </c>
      <c r="I45" s="85" t="s">
        <v>1734</v>
      </c>
      <c r="J45" s="85" t="s">
        <v>1735</v>
      </c>
      <c r="K45" s="259" t="s">
        <v>1736</v>
      </c>
      <c r="L45" s="123" t="s">
        <v>1367</v>
      </c>
      <c r="M45" s="21" t="s">
        <v>1415</v>
      </c>
      <c r="N45" s="334" t="s">
        <v>1369</v>
      </c>
      <c r="O45" s="82" t="s">
        <v>1649</v>
      </c>
      <c r="P45" s="85" t="s">
        <v>1371</v>
      </c>
    </row>
    <row r="46" spans="1:17" ht="43.15">
      <c r="A46" s="246" t="s">
        <v>1737</v>
      </c>
      <c r="B46" s="390"/>
      <c r="C46" s="3"/>
      <c r="D46" s="164" t="s">
        <v>1738</v>
      </c>
      <c r="E46" s="85" t="s">
        <v>1739</v>
      </c>
      <c r="F46" s="85" t="s">
        <v>1361</v>
      </c>
      <c r="G46" s="85" t="s">
        <v>1740</v>
      </c>
      <c r="H46" s="85" t="s">
        <v>1442</v>
      </c>
      <c r="I46" s="85" t="s">
        <v>1741</v>
      </c>
      <c r="J46" s="85" t="s">
        <v>1655</v>
      </c>
      <c r="K46" s="259" t="s">
        <v>1742</v>
      </c>
      <c r="L46" s="123" t="s">
        <v>1367</v>
      </c>
      <c r="M46" s="21" t="s">
        <v>1415</v>
      </c>
      <c r="N46" s="334" t="s">
        <v>1369</v>
      </c>
      <c r="O46" s="82" t="s">
        <v>1649</v>
      </c>
      <c r="P46" s="85" t="s">
        <v>1481</v>
      </c>
    </row>
    <row r="47" spans="1:17" ht="43.15">
      <c r="A47" s="246" t="s">
        <v>1743</v>
      </c>
      <c r="B47" s="390"/>
      <c r="C47" s="3"/>
      <c r="D47" s="164" t="s">
        <v>1744</v>
      </c>
      <c r="E47" s="85" t="s">
        <v>1745</v>
      </c>
      <c r="F47" s="85" t="s">
        <v>1361</v>
      </c>
      <c r="G47" s="85" t="s">
        <v>1746</v>
      </c>
      <c r="H47" s="85" t="s">
        <v>1442</v>
      </c>
      <c r="I47" s="85" t="s">
        <v>1747</v>
      </c>
      <c r="J47" s="85" t="s">
        <v>1655</v>
      </c>
      <c r="K47" s="259" t="s">
        <v>1748</v>
      </c>
      <c r="L47" s="123" t="s">
        <v>1367</v>
      </c>
      <c r="M47" s="21" t="s">
        <v>1415</v>
      </c>
      <c r="N47" s="334" t="s">
        <v>1369</v>
      </c>
      <c r="O47" s="82" t="s">
        <v>1649</v>
      </c>
      <c r="P47" s="85" t="s">
        <v>1481</v>
      </c>
    </row>
    <row r="48" spans="1:17" ht="43.15">
      <c r="A48" s="246" t="s">
        <v>1749</v>
      </c>
      <c r="B48" s="390"/>
      <c r="C48" s="75" t="s">
        <v>1750</v>
      </c>
      <c r="D48" s="65" t="s">
        <v>1751</v>
      </c>
      <c r="E48" s="65" t="s">
        <v>1752</v>
      </c>
      <c r="F48" s="65" t="s">
        <v>1361</v>
      </c>
      <c r="G48" s="65" t="s">
        <v>1753</v>
      </c>
      <c r="H48" s="65" t="s">
        <v>1754</v>
      </c>
      <c r="I48" s="65" t="s">
        <v>1755</v>
      </c>
      <c r="J48" s="65" t="s">
        <v>1376</v>
      </c>
      <c r="K48" s="65" t="s">
        <v>1756</v>
      </c>
      <c r="L48" s="69" t="s">
        <v>1381</v>
      </c>
      <c r="M48" s="21" t="s">
        <v>1415</v>
      </c>
      <c r="N48" s="334" t="s">
        <v>1369</v>
      </c>
      <c r="P48" s="65" t="s">
        <v>1371</v>
      </c>
      <c r="Q48" s="21" t="s">
        <v>1368</v>
      </c>
    </row>
    <row r="49" spans="1:19" ht="43.15">
      <c r="A49" s="246" t="s">
        <v>1757</v>
      </c>
      <c r="B49" s="390"/>
      <c r="C49" s="75" t="s">
        <v>1758</v>
      </c>
      <c r="D49" s="65" t="s">
        <v>1751</v>
      </c>
      <c r="E49" s="65" t="s">
        <v>1759</v>
      </c>
      <c r="F49" s="65" t="s">
        <v>1361</v>
      </c>
      <c r="G49" s="65" t="s">
        <v>1760</v>
      </c>
      <c r="H49" s="65" t="s">
        <v>1761</v>
      </c>
      <c r="I49" s="65" t="s">
        <v>1762</v>
      </c>
      <c r="J49" s="65" t="s">
        <v>1376</v>
      </c>
      <c r="K49" s="65" t="s">
        <v>1763</v>
      </c>
      <c r="L49" s="68" t="s">
        <v>1367</v>
      </c>
      <c r="M49" s="21" t="s">
        <v>1415</v>
      </c>
      <c r="N49" s="334" t="s">
        <v>1369</v>
      </c>
      <c r="P49" s="65" t="s">
        <v>1371</v>
      </c>
      <c r="Q49" s="21" t="s">
        <v>1368</v>
      </c>
    </row>
    <row r="50" spans="1:19" ht="43.15">
      <c r="A50" s="246" t="s">
        <v>1764</v>
      </c>
      <c r="B50" s="390"/>
      <c r="C50" s="3" t="s">
        <v>1765</v>
      </c>
      <c r="D50" s="65" t="s">
        <v>1766</v>
      </c>
      <c r="E50" s="65" t="s">
        <v>1752</v>
      </c>
      <c r="F50" s="65" t="s">
        <v>1361</v>
      </c>
      <c r="G50" s="65" t="s">
        <v>1753</v>
      </c>
      <c r="H50" s="65" t="s">
        <v>1767</v>
      </c>
      <c r="I50" s="65" t="s">
        <v>1768</v>
      </c>
      <c r="J50" s="65" t="s">
        <v>1376</v>
      </c>
      <c r="K50" s="65" t="s">
        <v>1756</v>
      </c>
      <c r="L50" s="69" t="s">
        <v>1381</v>
      </c>
      <c r="M50" s="21" t="s">
        <v>1415</v>
      </c>
      <c r="N50" s="334" t="s">
        <v>1369</v>
      </c>
      <c r="P50" s="65" t="s">
        <v>1371</v>
      </c>
      <c r="Q50" s="21" t="s">
        <v>1368</v>
      </c>
    </row>
    <row r="51" spans="1:19" ht="43.15">
      <c r="A51" s="246" t="s">
        <v>1769</v>
      </c>
      <c r="B51" s="390"/>
      <c r="C51" s="3" t="s">
        <v>1770</v>
      </c>
      <c r="D51" s="65" t="s">
        <v>1766</v>
      </c>
      <c r="E51" s="65" t="s">
        <v>1759</v>
      </c>
      <c r="F51" s="65" t="s">
        <v>1361</v>
      </c>
      <c r="G51" s="65" t="s">
        <v>1760</v>
      </c>
      <c r="H51" s="65" t="s">
        <v>1771</v>
      </c>
      <c r="I51" s="65" t="s">
        <v>1762</v>
      </c>
      <c r="J51" s="65" t="s">
        <v>1376</v>
      </c>
      <c r="K51" s="65" t="s">
        <v>1756</v>
      </c>
      <c r="L51" s="69" t="s">
        <v>1381</v>
      </c>
      <c r="M51" s="21" t="s">
        <v>1415</v>
      </c>
      <c r="N51" s="334" t="s">
        <v>1369</v>
      </c>
      <c r="P51" s="65" t="s">
        <v>1371</v>
      </c>
      <c r="Q51" s="21" t="s">
        <v>1368</v>
      </c>
    </row>
    <row r="52" spans="1:19">
      <c r="A52" s="246"/>
      <c r="B52" s="390"/>
      <c r="C52" s="3"/>
      <c r="D52" s="65"/>
      <c r="E52" s="65"/>
      <c r="F52" s="65"/>
      <c r="G52" s="65"/>
      <c r="H52" s="65"/>
      <c r="I52" s="65"/>
      <c r="J52" s="65"/>
      <c r="K52" s="65"/>
      <c r="L52" s="69"/>
      <c r="N52" s="334" t="s">
        <v>1369</v>
      </c>
      <c r="P52" s="65"/>
    </row>
    <row r="53" spans="1:19" ht="28.9">
      <c r="A53" s="246" t="s">
        <v>1772</v>
      </c>
      <c r="B53" s="390"/>
      <c r="C53" s="22" t="s">
        <v>1773</v>
      </c>
      <c r="D53" s="65" t="s">
        <v>1774</v>
      </c>
      <c r="E53" s="65" t="s">
        <v>1775</v>
      </c>
      <c r="F53" s="65" t="s">
        <v>1776</v>
      </c>
      <c r="G53" s="65" t="s">
        <v>1777</v>
      </c>
      <c r="H53" s="65" t="s">
        <v>1442</v>
      </c>
      <c r="I53" s="65" t="s">
        <v>1778</v>
      </c>
      <c r="J53" s="65" t="s">
        <v>1779</v>
      </c>
      <c r="K53" s="65" t="s">
        <v>1780</v>
      </c>
      <c r="L53" s="1" t="s">
        <v>1367</v>
      </c>
      <c r="M53" s="21" t="s">
        <v>1368</v>
      </c>
      <c r="N53" s="334" t="s">
        <v>1369</v>
      </c>
      <c r="P53" s="65" t="s">
        <v>22</v>
      </c>
    </row>
    <row r="54" spans="1:19" ht="28.9">
      <c r="A54" s="246" t="s">
        <v>1781</v>
      </c>
      <c r="B54" s="390"/>
      <c r="C54" s="65" t="s">
        <v>1782</v>
      </c>
      <c r="D54" s="65" t="s">
        <v>1783</v>
      </c>
      <c r="E54" s="65" t="s">
        <v>1784</v>
      </c>
      <c r="F54" s="65" t="s">
        <v>1785</v>
      </c>
      <c r="G54" s="65" t="s">
        <v>1786</v>
      </c>
      <c r="H54" s="65" t="s">
        <v>1442</v>
      </c>
      <c r="I54" s="65" t="s">
        <v>1787</v>
      </c>
      <c r="J54" s="65" t="s">
        <v>1788</v>
      </c>
      <c r="K54" s="65" t="s">
        <v>1789</v>
      </c>
      <c r="L54" s="1" t="s">
        <v>1367</v>
      </c>
      <c r="M54" s="21" t="s">
        <v>1415</v>
      </c>
      <c r="N54" s="334" t="s">
        <v>1369</v>
      </c>
      <c r="P54" s="65" t="s">
        <v>1371</v>
      </c>
      <c r="Q54" s="21" t="s">
        <v>1368</v>
      </c>
      <c r="S54" s="2"/>
    </row>
    <row r="55" spans="1:19" ht="28.9">
      <c r="A55" s="246" t="s">
        <v>1790</v>
      </c>
      <c r="B55" s="390"/>
      <c r="C55" s="65" t="s">
        <v>1791</v>
      </c>
      <c r="D55" s="65" t="s">
        <v>1792</v>
      </c>
      <c r="E55" s="65" t="s">
        <v>1793</v>
      </c>
      <c r="F55" s="65" t="s">
        <v>1785</v>
      </c>
      <c r="G55" s="65" t="s">
        <v>1794</v>
      </c>
      <c r="H55" s="65" t="s">
        <v>1795</v>
      </c>
      <c r="I55" s="65" t="s">
        <v>1796</v>
      </c>
      <c r="J55" s="65" t="s">
        <v>1797</v>
      </c>
      <c r="K55" s="65" t="s">
        <v>1798</v>
      </c>
      <c r="L55" s="1" t="s">
        <v>1367</v>
      </c>
      <c r="M55" s="21" t="s">
        <v>1415</v>
      </c>
      <c r="N55" s="334" t="s">
        <v>1369</v>
      </c>
      <c r="P55" s="65" t="s">
        <v>22</v>
      </c>
      <c r="Q55" s="21" t="s">
        <v>1368</v>
      </c>
      <c r="S55" s="2"/>
    </row>
    <row r="56" spans="1:19" ht="28.9">
      <c r="A56" s="246" t="s">
        <v>1799</v>
      </c>
      <c r="B56" s="390"/>
      <c r="C56" s="65" t="s">
        <v>1800</v>
      </c>
      <c r="D56" s="65" t="s">
        <v>1801</v>
      </c>
      <c r="E56" s="65" t="s">
        <v>1802</v>
      </c>
      <c r="F56" s="65" t="s">
        <v>1785</v>
      </c>
      <c r="G56" s="65" t="s">
        <v>1803</v>
      </c>
      <c r="H56" s="65" t="s">
        <v>1804</v>
      </c>
      <c r="I56" s="65" t="s">
        <v>1805</v>
      </c>
      <c r="J56" s="65" t="s">
        <v>1806</v>
      </c>
      <c r="K56" s="65" t="s">
        <v>1807</v>
      </c>
      <c r="L56" s="1" t="s">
        <v>1367</v>
      </c>
      <c r="M56" s="21" t="s">
        <v>1415</v>
      </c>
      <c r="N56" s="334" t="s">
        <v>1369</v>
      </c>
      <c r="P56" s="65" t="s">
        <v>22</v>
      </c>
      <c r="Q56" s="21" t="s">
        <v>1368</v>
      </c>
    </row>
    <row r="57" spans="1:19" ht="57.6">
      <c r="A57" s="246" t="s">
        <v>1808</v>
      </c>
      <c r="B57" s="390"/>
      <c r="C57" s="22" t="s">
        <v>1809</v>
      </c>
      <c r="D57" s="65" t="s">
        <v>1810</v>
      </c>
      <c r="E57" s="65" t="s">
        <v>1811</v>
      </c>
      <c r="F57" s="65" t="s">
        <v>1812</v>
      </c>
      <c r="G57" s="65" t="s">
        <v>1813</v>
      </c>
      <c r="H57" s="65" t="s">
        <v>1795</v>
      </c>
      <c r="I57" s="65" t="s">
        <v>1814</v>
      </c>
      <c r="J57" s="65" t="s">
        <v>1815</v>
      </c>
      <c r="K57" s="65" t="s">
        <v>1816</v>
      </c>
      <c r="L57" s="1" t="s">
        <v>1381</v>
      </c>
      <c r="M57" s="21" t="s">
        <v>1368</v>
      </c>
      <c r="N57" s="334" t="s">
        <v>1369</v>
      </c>
      <c r="P57" s="65" t="s">
        <v>1393</v>
      </c>
    </row>
    <row r="58" spans="1:19" ht="43.15">
      <c r="A58" s="246" t="s">
        <v>1817</v>
      </c>
      <c r="B58" s="390"/>
      <c r="C58" s="22" t="s">
        <v>1818</v>
      </c>
      <c r="D58" s="65" t="s">
        <v>1819</v>
      </c>
      <c r="E58" s="65" t="s">
        <v>1820</v>
      </c>
      <c r="F58" s="65" t="s">
        <v>1821</v>
      </c>
      <c r="G58" s="65" t="s">
        <v>1822</v>
      </c>
      <c r="H58" s="65" t="s">
        <v>1823</v>
      </c>
      <c r="I58" s="65" t="s">
        <v>1824</v>
      </c>
      <c r="J58" s="65" t="s">
        <v>1825</v>
      </c>
      <c r="K58" s="65" t="s">
        <v>1826</v>
      </c>
      <c r="L58" s="1" t="s">
        <v>1367</v>
      </c>
      <c r="M58" s="21" t="s">
        <v>1368</v>
      </c>
      <c r="N58" s="334" t="s">
        <v>1369</v>
      </c>
      <c r="P58" s="65" t="s">
        <v>22</v>
      </c>
    </row>
    <row r="59" spans="1:19" ht="28.9">
      <c r="A59" s="246" t="s">
        <v>1827</v>
      </c>
      <c r="B59" s="390"/>
      <c r="C59" s="22" t="s">
        <v>1828</v>
      </c>
      <c r="D59" s="65" t="s">
        <v>1829</v>
      </c>
      <c r="E59" s="65" t="s">
        <v>1830</v>
      </c>
      <c r="F59" s="65" t="s">
        <v>1831</v>
      </c>
      <c r="G59" s="65" t="s">
        <v>1832</v>
      </c>
      <c r="H59" s="65" t="s">
        <v>1823</v>
      </c>
      <c r="I59" s="65" t="s">
        <v>1833</v>
      </c>
      <c r="J59" s="65" t="s">
        <v>1834</v>
      </c>
      <c r="K59" s="65" t="s">
        <v>1835</v>
      </c>
      <c r="L59" s="1" t="s">
        <v>1367</v>
      </c>
      <c r="M59" s="21" t="s">
        <v>1368</v>
      </c>
      <c r="N59" s="334" t="s">
        <v>1369</v>
      </c>
      <c r="P59" s="65" t="s">
        <v>1371</v>
      </c>
    </row>
    <row r="60" spans="1:19" ht="28.9">
      <c r="A60" s="246" t="s">
        <v>1836</v>
      </c>
      <c r="B60" s="390"/>
      <c r="C60" s="22" t="s">
        <v>1837</v>
      </c>
      <c r="D60" s="65" t="s">
        <v>1838</v>
      </c>
      <c r="E60" s="65" t="s">
        <v>1839</v>
      </c>
      <c r="F60" s="65" t="s">
        <v>1840</v>
      </c>
      <c r="G60" s="65" t="s">
        <v>1841</v>
      </c>
      <c r="H60" s="65" t="s">
        <v>1823</v>
      </c>
      <c r="I60" s="65" t="s">
        <v>1842</v>
      </c>
      <c r="J60" s="65" t="s">
        <v>1843</v>
      </c>
      <c r="K60" s="65" t="s">
        <v>1844</v>
      </c>
      <c r="L60" s="1" t="s">
        <v>1367</v>
      </c>
      <c r="M60" s="21" t="s">
        <v>1368</v>
      </c>
      <c r="N60" s="334" t="s">
        <v>1369</v>
      </c>
      <c r="P60" s="65" t="s">
        <v>1371</v>
      </c>
    </row>
    <row r="61" spans="1:19" ht="72">
      <c r="A61" s="246" t="s">
        <v>1845</v>
      </c>
      <c r="B61" s="390"/>
      <c r="C61" s="22" t="s">
        <v>1846</v>
      </c>
      <c r="D61" s="65" t="s">
        <v>1847</v>
      </c>
      <c r="E61" s="65" t="s">
        <v>1848</v>
      </c>
      <c r="F61" s="65" t="s">
        <v>1849</v>
      </c>
      <c r="G61" s="65" t="s">
        <v>1850</v>
      </c>
      <c r="H61" s="65" t="s">
        <v>1823</v>
      </c>
      <c r="I61" s="65" t="s">
        <v>1851</v>
      </c>
      <c r="J61" s="65" t="s">
        <v>1852</v>
      </c>
      <c r="K61" s="65" t="s">
        <v>1853</v>
      </c>
      <c r="L61" s="1" t="s">
        <v>1381</v>
      </c>
      <c r="M61" s="21" t="s">
        <v>1368</v>
      </c>
      <c r="N61" s="334" t="s">
        <v>1369</v>
      </c>
      <c r="P61" s="65" t="s">
        <v>22</v>
      </c>
    </row>
    <row r="62" spans="1:19" ht="43.15">
      <c r="A62" s="246" t="s">
        <v>1854</v>
      </c>
      <c r="B62" s="390"/>
      <c r="C62" s="22" t="s">
        <v>1855</v>
      </c>
      <c r="D62" s="65" t="s">
        <v>1856</v>
      </c>
      <c r="E62" s="65" t="s">
        <v>1857</v>
      </c>
      <c r="F62" s="65" t="s">
        <v>1812</v>
      </c>
      <c r="G62" s="65" t="s">
        <v>1858</v>
      </c>
      <c r="H62" s="65" t="s">
        <v>1823</v>
      </c>
      <c r="I62" s="65" t="s">
        <v>1859</v>
      </c>
      <c r="J62" s="65" t="s">
        <v>1860</v>
      </c>
      <c r="K62" s="65" t="s">
        <v>1861</v>
      </c>
      <c r="L62" s="1" t="s">
        <v>1381</v>
      </c>
      <c r="M62" s="21" t="s">
        <v>1368</v>
      </c>
      <c r="N62" s="334" t="s">
        <v>1369</v>
      </c>
      <c r="P62" s="65" t="s">
        <v>1371</v>
      </c>
    </row>
    <row r="63" spans="1:19" ht="72">
      <c r="A63" s="246" t="s">
        <v>1862</v>
      </c>
      <c r="B63" s="390"/>
      <c r="C63" s="3" t="s">
        <v>1863</v>
      </c>
      <c r="D63" s="65" t="s">
        <v>1864</v>
      </c>
      <c r="E63" s="65" t="s">
        <v>1865</v>
      </c>
      <c r="F63" s="65" t="s">
        <v>1812</v>
      </c>
      <c r="G63" s="65" t="s">
        <v>1866</v>
      </c>
      <c r="H63" s="65" t="s">
        <v>1867</v>
      </c>
      <c r="I63" s="65" t="s">
        <v>1868</v>
      </c>
      <c r="J63" s="65" t="s">
        <v>1869</v>
      </c>
      <c r="K63" s="65" t="s">
        <v>1870</v>
      </c>
      <c r="L63" s="1" t="s">
        <v>1381</v>
      </c>
      <c r="M63" s="21" t="s">
        <v>1368</v>
      </c>
      <c r="N63" s="334" t="s">
        <v>1369</v>
      </c>
      <c r="P63" s="65" t="s">
        <v>22</v>
      </c>
    </row>
    <row r="64" spans="1:19" ht="43.15">
      <c r="A64" s="246" t="s">
        <v>1871</v>
      </c>
      <c r="B64" s="390"/>
      <c r="C64" s="3" t="s">
        <v>1872</v>
      </c>
      <c r="D64" s="65" t="s">
        <v>1873</v>
      </c>
      <c r="E64" s="65" t="s">
        <v>1874</v>
      </c>
      <c r="F64" s="65" t="s">
        <v>1812</v>
      </c>
      <c r="G64" s="65" t="s">
        <v>1875</v>
      </c>
      <c r="H64" s="65" t="s">
        <v>1876</v>
      </c>
      <c r="I64" s="65" t="s">
        <v>1877</v>
      </c>
      <c r="J64" s="65" t="s">
        <v>1878</v>
      </c>
      <c r="K64" s="65" t="s">
        <v>1879</v>
      </c>
      <c r="L64" s="1" t="s">
        <v>1381</v>
      </c>
      <c r="M64" s="21" t="s">
        <v>1368</v>
      </c>
      <c r="N64" s="334" t="s">
        <v>1369</v>
      </c>
      <c r="P64" s="65" t="s">
        <v>22</v>
      </c>
    </row>
    <row r="65" spans="1:24" ht="43.15">
      <c r="A65" s="246" t="s">
        <v>1880</v>
      </c>
      <c r="B65" s="390"/>
      <c r="C65" s="3" t="s">
        <v>1881</v>
      </c>
      <c r="D65" s="65" t="s">
        <v>1882</v>
      </c>
      <c r="E65" s="65" t="s">
        <v>1883</v>
      </c>
      <c r="F65" s="2" t="s">
        <v>1812</v>
      </c>
      <c r="G65" s="65" t="s">
        <v>1884</v>
      </c>
      <c r="H65" s="65" t="s">
        <v>1885</v>
      </c>
      <c r="I65" s="65" t="s">
        <v>1886</v>
      </c>
      <c r="J65" s="65" t="s">
        <v>1887</v>
      </c>
      <c r="K65" s="65" t="s">
        <v>1888</v>
      </c>
      <c r="L65" s="1" t="s">
        <v>1381</v>
      </c>
      <c r="M65" s="21" t="s">
        <v>1368</v>
      </c>
      <c r="P65" s="65" t="s">
        <v>1371</v>
      </c>
    </row>
    <row r="66" spans="1:24" ht="57.6">
      <c r="A66" s="246" t="s">
        <v>1889</v>
      </c>
      <c r="B66" s="390"/>
      <c r="C66" s="3" t="s">
        <v>1890</v>
      </c>
      <c r="D66" s="65" t="s">
        <v>1891</v>
      </c>
      <c r="E66" s="65" t="s">
        <v>1892</v>
      </c>
      <c r="F66" s="65" t="s">
        <v>1812</v>
      </c>
      <c r="G66" s="65" t="s">
        <v>1893</v>
      </c>
      <c r="H66" s="65" t="s">
        <v>1867</v>
      </c>
      <c r="I66" s="65" t="s">
        <v>1894</v>
      </c>
      <c r="J66" s="65" t="s">
        <v>1843</v>
      </c>
      <c r="K66" s="65" t="s">
        <v>1895</v>
      </c>
      <c r="L66" s="1" t="s">
        <v>1381</v>
      </c>
      <c r="M66" s="21" t="s">
        <v>1368</v>
      </c>
      <c r="O66" s="64"/>
      <c r="P66" s="65" t="s">
        <v>1371</v>
      </c>
    </row>
    <row r="67" spans="1:24" ht="43.15">
      <c r="A67" s="246" t="s">
        <v>1896</v>
      </c>
      <c r="B67" s="390"/>
      <c r="C67" s="3" t="s">
        <v>1897</v>
      </c>
      <c r="D67" s="65" t="s">
        <v>1898</v>
      </c>
      <c r="E67" s="65" t="s">
        <v>1899</v>
      </c>
      <c r="F67" s="65" t="s">
        <v>1812</v>
      </c>
      <c r="G67" s="65" t="s">
        <v>1900</v>
      </c>
      <c r="H67" s="65" t="s">
        <v>1867</v>
      </c>
      <c r="I67" s="65" t="s">
        <v>1901</v>
      </c>
      <c r="J67" s="65" t="s">
        <v>1902</v>
      </c>
      <c r="K67" s="65" t="s">
        <v>1903</v>
      </c>
      <c r="L67" s="1" t="s">
        <v>1381</v>
      </c>
      <c r="M67" s="21" t="s">
        <v>1368</v>
      </c>
      <c r="P67" s="65" t="s">
        <v>22</v>
      </c>
    </row>
    <row r="68" spans="1:24" ht="43.15">
      <c r="A68" s="246" t="s">
        <v>1904</v>
      </c>
      <c r="B68" s="390"/>
      <c r="C68" s="3" t="s">
        <v>1905</v>
      </c>
      <c r="D68" s="65" t="s">
        <v>1906</v>
      </c>
      <c r="E68" s="65" t="s">
        <v>1907</v>
      </c>
      <c r="F68" s="65" t="s">
        <v>1812</v>
      </c>
      <c r="G68" s="65" t="s">
        <v>1908</v>
      </c>
      <c r="H68" s="65" t="s">
        <v>1909</v>
      </c>
      <c r="I68" s="65" t="s">
        <v>1910</v>
      </c>
      <c r="J68" s="65" t="s">
        <v>1911</v>
      </c>
      <c r="K68" s="65" t="s">
        <v>1912</v>
      </c>
      <c r="L68" s="1" t="s">
        <v>1367</v>
      </c>
      <c r="M68" s="21" t="s">
        <v>1368</v>
      </c>
      <c r="N68" s="334" t="s">
        <v>1369</v>
      </c>
      <c r="P68" s="65" t="s">
        <v>22</v>
      </c>
    </row>
    <row r="69" spans="1:24" ht="43.15">
      <c r="A69" s="246" t="s">
        <v>1913</v>
      </c>
      <c r="B69" s="390"/>
      <c r="C69" s="3" t="s">
        <v>1914</v>
      </c>
      <c r="D69" s="65" t="s">
        <v>1915</v>
      </c>
      <c r="E69" s="65" t="s">
        <v>1915</v>
      </c>
      <c r="F69" s="65" t="s">
        <v>1812</v>
      </c>
      <c r="G69" s="65" t="s">
        <v>1916</v>
      </c>
      <c r="H69" s="65" t="s">
        <v>1909</v>
      </c>
      <c r="I69" s="65" t="s">
        <v>1917</v>
      </c>
      <c r="J69" s="65" t="s">
        <v>1843</v>
      </c>
      <c r="K69" s="65" t="s">
        <v>1918</v>
      </c>
      <c r="L69" s="1" t="s">
        <v>1367</v>
      </c>
      <c r="M69" s="21" t="s">
        <v>1368</v>
      </c>
      <c r="N69" s="334" t="s">
        <v>1369</v>
      </c>
      <c r="P69" s="65" t="s">
        <v>22</v>
      </c>
    </row>
    <row r="70" spans="1:24" ht="43.15">
      <c r="A70" s="246" t="s">
        <v>1919</v>
      </c>
      <c r="B70" s="390"/>
      <c r="C70" s="3" t="s">
        <v>1920</v>
      </c>
      <c r="D70" s="65" t="s">
        <v>1921</v>
      </c>
      <c r="E70" s="65" t="s">
        <v>1922</v>
      </c>
      <c r="F70" s="2" t="s">
        <v>1812</v>
      </c>
      <c r="G70" s="65" t="s">
        <v>1923</v>
      </c>
      <c r="H70" s="65" t="s">
        <v>1823</v>
      </c>
      <c r="I70" s="65" t="s">
        <v>1924</v>
      </c>
      <c r="J70" s="65" t="s">
        <v>1925</v>
      </c>
      <c r="K70" s="65" t="s">
        <v>1926</v>
      </c>
      <c r="L70" s="1" t="s">
        <v>1367</v>
      </c>
      <c r="M70" s="21" t="s">
        <v>1368</v>
      </c>
      <c r="N70" s="334" t="s">
        <v>1369</v>
      </c>
      <c r="P70" s="65" t="s">
        <v>1371</v>
      </c>
      <c r="W70" s="81"/>
      <c r="X70" s="81"/>
    </row>
    <row r="71" spans="1:24" ht="43.15">
      <c r="A71" s="246" t="s">
        <v>1927</v>
      </c>
      <c r="B71" s="390"/>
      <c r="C71" s="3" t="s">
        <v>1928</v>
      </c>
      <c r="D71" s="65" t="s">
        <v>1929</v>
      </c>
      <c r="E71" s="65" t="s">
        <v>1930</v>
      </c>
      <c r="F71" s="65" t="s">
        <v>1812</v>
      </c>
      <c r="G71" s="65" t="s">
        <v>1931</v>
      </c>
      <c r="H71" s="65" t="s">
        <v>1442</v>
      </c>
      <c r="I71" s="65" t="s">
        <v>1932</v>
      </c>
      <c r="J71" s="65" t="s">
        <v>1933</v>
      </c>
      <c r="K71" s="65" t="s">
        <v>1835</v>
      </c>
      <c r="L71" s="1" t="s">
        <v>1367</v>
      </c>
      <c r="M71" s="21" t="s">
        <v>1368</v>
      </c>
      <c r="N71" s="334" t="s">
        <v>1369</v>
      </c>
      <c r="P71" s="65" t="s">
        <v>22</v>
      </c>
    </row>
    <row r="72" spans="1:24" ht="115.15">
      <c r="A72" s="279" t="s">
        <v>1934</v>
      </c>
      <c r="B72" s="390"/>
      <c r="C72" s="280"/>
      <c r="D72" s="98" t="s">
        <v>1935</v>
      </c>
      <c r="E72" s="98" t="s">
        <v>1936</v>
      </c>
      <c r="F72" s="98" t="s">
        <v>1937</v>
      </c>
      <c r="G72" s="98" t="s">
        <v>1938</v>
      </c>
      <c r="H72" s="98" t="s">
        <v>1442</v>
      </c>
      <c r="I72" s="98" t="s">
        <v>1939</v>
      </c>
      <c r="J72" s="98" t="s">
        <v>1940</v>
      </c>
      <c r="K72" s="98" t="s">
        <v>1941</v>
      </c>
      <c r="L72" s="281" t="s">
        <v>1381</v>
      </c>
      <c r="M72" s="21" t="s">
        <v>1415</v>
      </c>
      <c r="N72" s="334" t="s">
        <v>1369</v>
      </c>
      <c r="O72" s="282" t="s">
        <v>1649</v>
      </c>
      <c r="P72" s="278" t="s">
        <v>1371</v>
      </c>
    </row>
    <row r="73" spans="1:24" ht="43.15">
      <c r="A73" s="246" t="s">
        <v>1942</v>
      </c>
      <c r="B73" s="390"/>
      <c r="C73" s="3"/>
      <c r="D73" s="164" t="s">
        <v>1943</v>
      </c>
      <c r="E73" s="259" t="s">
        <v>1944</v>
      </c>
      <c r="F73" s="283" t="s">
        <v>1937</v>
      </c>
      <c r="G73" s="98" t="s">
        <v>1945</v>
      </c>
      <c r="H73" s="98" t="s">
        <v>1442</v>
      </c>
      <c r="I73" s="98" t="s">
        <v>1946</v>
      </c>
      <c r="J73" s="98" t="s">
        <v>1940</v>
      </c>
      <c r="K73" s="259" t="s">
        <v>1947</v>
      </c>
      <c r="L73" s="123" t="s">
        <v>1367</v>
      </c>
      <c r="M73" s="21" t="s">
        <v>1415</v>
      </c>
      <c r="N73" s="334" t="s">
        <v>1369</v>
      </c>
      <c r="O73" s="82" t="s">
        <v>1649</v>
      </c>
      <c r="P73" s="85" t="s">
        <v>1481</v>
      </c>
    </row>
    <row r="74" spans="1:24" ht="86.45">
      <c r="A74" s="246" t="s">
        <v>1948</v>
      </c>
      <c r="B74" s="390"/>
      <c r="C74" s="3"/>
      <c r="D74" s="164" t="s">
        <v>1949</v>
      </c>
      <c r="E74" s="85" t="s">
        <v>1950</v>
      </c>
      <c r="F74" s="85" t="s">
        <v>1951</v>
      </c>
      <c r="G74" s="259" t="s">
        <v>1952</v>
      </c>
      <c r="H74" s="259" t="s">
        <v>1442</v>
      </c>
      <c r="I74" s="259" t="s">
        <v>1953</v>
      </c>
      <c r="J74" s="259" t="s">
        <v>1940</v>
      </c>
      <c r="K74" s="259" t="s">
        <v>1954</v>
      </c>
      <c r="L74" s="123" t="s">
        <v>1367</v>
      </c>
      <c r="M74" s="21" t="s">
        <v>1415</v>
      </c>
      <c r="N74" s="334" t="s">
        <v>1369</v>
      </c>
      <c r="O74" s="82" t="s">
        <v>1649</v>
      </c>
      <c r="P74" s="85" t="s">
        <v>1481</v>
      </c>
    </row>
    <row r="75" spans="1:24" ht="72">
      <c r="A75" s="246" t="s">
        <v>1955</v>
      </c>
      <c r="B75" s="390"/>
      <c r="C75" s="3"/>
      <c r="D75" s="164" t="s">
        <v>1956</v>
      </c>
      <c r="E75" s="85" t="s">
        <v>1957</v>
      </c>
      <c r="F75" s="85" t="s">
        <v>1937</v>
      </c>
      <c r="G75" s="85" t="s">
        <v>1958</v>
      </c>
      <c r="H75" s="85" t="s">
        <v>1959</v>
      </c>
      <c r="I75" s="260" t="s">
        <v>1960</v>
      </c>
      <c r="J75" s="85" t="s">
        <v>1961</v>
      </c>
      <c r="K75" s="259" t="s">
        <v>1962</v>
      </c>
      <c r="L75" s="123" t="s">
        <v>1367</v>
      </c>
      <c r="M75" s="21" t="s">
        <v>1415</v>
      </c>
      <c r="N75" s="334" t="s">
        <v>1369</v>
      </c>
      <c r="O75" s="82" t="s">
        <v>1649</v>
      </c>
      <c r="P75" s="85" t="s">
        <v>1371</v>
      </c>
    </row>
    <row r="76" spans="1:24" ht="43.15">
      <c r="A76" s="246" t="s">
        <v>1963</v>
      </c>
      <c r="B76" s="390"/>
      <c r="C76" s="3"/>
      <c r="D76" s="164" t="s">
        <v>1964</v>
      </c>
      <c r="E76" s="85" t="s">
        <v>1965</v>
      </c>
      <c r="F76" s="85" t="s">
        <v>1937</v>
      </c>
      <c r="G76" s="85" t="s">
        <v>1966</v>
      </c>
      <c r="H76" s="85" t="s">
        <v>1442</v>
      </c>
      <c r="I76" s="85" t="s">
        <v>1967</v>
      </c>
      <c r="J76" s="85" t="s">
        <v>1940</v>
      </c>
      <c r="K76" s="259" t="s">
        <v>1968</v>
      </c>
      <c r="L76" s="123" t="s">
        <v>1367</v>
      </c>
      <c r="M76" s="21" t="s">
        <v>1415</v>
      </c>
      <c r="N76" s="334" t="s">
        <v>1369</v>
      </c>
      <c r="O76" s="82" t="s">
        <v>1649</v>
      </c>
      <c r="P76" s="85" t="s">
        <v>1481</v>
      </c>
    </row>
    <row r="77" spans="1:24" ht="100.9">
      <c r="A77" s="246" t="s">
        <v>1969</v>
      </c>
      <c r="B77" s="390"/>
      <c r="C77" s="3"/>
      <c r="D77" s="164" t="s">
        <v>1970</v>
      </c>
      <c r="E77" s="85" t="s">
        <v>1971</v>
      </c>
      <c r="F77" s="85" t="s">
        <v>1937</v>
      </c>
      <c r="G77" s="85" t="s">
        <v>1972</v>
      </c>
      <c r="H77" s="85" t="s">
        <v>1442</v>
      </c>
      <c r="I77" s="85" t="s">
        <v>1973</v>
      </c>
      <c r="J77" s="85" t="s">
        <v>1940</v>
      </c>
      <c r="K77" s="259" t="s">
        <v>1974</v>
      </c>
      <c r="L77" s="122" t="s">
        <v>1381</v>
      </c>
      <c r="M77" s="21" t="s">
        <v>1415</v>
      </c>
      <c r="N77" s="334" t="s">
        <v>1369</v>
      </c>
      <c r="O77" s="82" t="s">
        <v>1649</v>
      </c>
      <c r="P77" s="85" t="s">
        <v>1371</v>
      </c>
      <c r="Q77" s="21" t="s">
        <v>1404</v>
      </c>
      <c r="R77" s="5" t="s">
        <v>1975</v>
      </c>
    </row>
    <row r="78" spans="1:24" ht="100.9">
      <c r="A78" s="246" t="s">
        <v>1976</v>
      </c>
      <c r="B78" s="390"/>
      <c r="C78" s="3"/>
      <c r="D78" s="164" t="s">
        <v>1977</v>
      </c>
      <c r="E78" s="85" t="s">
        <v>1978</v>
      </c>
      <c r="F78" s="85" t="s">
        <v>1979</v>
      </c>
      <c r="G78" s="85" t="s">
        <v>1980</v>
      </c>
      <c r="H78" s="85" t="s">
        <v>1442</v>
      </c>
      <c r="I78" s="85" t="s">
        <v>1981</v>
      </c>
      <c r="J78" s="85" t="s">
        <v>1982</v>
      </c>
      <c r="K78" s="259" t="s">
        <v>1983</v>
      </c>
      <c r="L78" s="123" t="s">
        <v>1367</v>
      </c>
      <c r="M78" s="21" t="s">
        <v>1415</v>
      </c>
      <c r="N78" s="334" t="s">
        <v>1369</v>
      </c>
      <c r="O78" s="82" t="s">
        <v>1649</v>
      </c>
      <c r="P78" s="85" t="s">
        <v>1371</v>
      </c>
    </row>
    <row r="79" spans="1:24" ht="129.6">
      <c r="A79" s="246" t="s">
        <v>1984</v>
      </c>
      <c r="B79" s="390"/>
      <c r="C79" s="3"/>
      <c r="D79" s="164" t="s">
        <v>1985</v>
      </c>
      <c r="E79" s="85" t="s">
        <v>1986</v>
      </c>
      <c r="F79" s="85" t="s">
        <v>1937</v>
      </c>
      <c r="G79" s="85" t="s">
        <v>1987</v>
      </c>
      <c r="H79" s="85" t="s">
        <v>1988</v>
      </c>
      <c r="I79" s="85" t="s">
        <v>1989</v>
      </c>
      <c r="J79" s="85" t="s">
        <v>1990</v>
      </c>
      <c r="K79" s="259" t="s">
        <v>1991</v>
      </c>
      <c r="L79" s="123" t="s">
        <v>1367</v>
      </c>
      <c r="M79" s="21" t="s">
        <v>1415</v>
      </c>
      <c r="N79" s="334" t="s">
        <v>1369</v>
      </c>
      <c r="O79" s="82" t="s">
        <v>1649</v>
      </c>
      <c r="P79" s="85" t="s">
        <v>1393</v>
      </c>
    </row>
    <row r="80" spans="1:24" ht="100.9">
      <c r="A80" s="246" t="s">
        <v>1992</v>
      </c>
      <c r="B80" s="390"/>
      <c r="C80" s="3"/>
      <c r="D80" s="164" t="s">
        <v>1993</v>
      </c>
      <c r="E80" s="85" t="s">
        <v>1994</v>
      </c>
      <c r="F80" s="85" t="s">
        <v>1937</v>
      </c>
      <c r="G80" s="85" t="s">
        <v>1995</v>
      </c>
      <c r="H80" s="85" t="s">
        <v>1996</v>
      </c>
      <c r="I80" s="85" t="s">
        <v>1997</v>
      </c>
      <c r="J80" s="85" t="s">
        <v>1471</v>
      </c>
      <c r="K80" s="259" t="s">
        <v>1998</v>
      </c>
      <c r="L80" s="123" t="s">
        <v>1367</v>
      </c>
      <c r="M80" s="21" t="s">
        <v>1415</v>
      </c>
      <c r="N80" s="334" t="s">
        <v>1369</v>
      </c>
      <c r="O80" s="82" t="s">
        <v>1649</v>
      </c>
      <c r="P80" s="85" t="s">
        <v>1393</v>
      </c>
    </row>
    <row r="81" spans="1:33" ht="115.15">
      <c r="A81" s="246" t="s">
        <v>1999</v>
      </c>
      <c r="B81" s="390"/>
      <c r="C81" s="3"/>
      <c r="D81" s="164" t="s">
        <v>2000</v>
      </c>
      <c r="E81" s="85" t="s">
        <v>2001</v>
      </c>
      <c r="F81" s="85" t="s">
        <v>2002</v>
      </c>
      <c r="G81" s="85" t="s">
        <v>2003</v>
      </c>
      <c r="H81" s="85" t="s">
        <v>1400</v>
      </c>
      <c r="I81" s="85" t="s">
        <v>2004</v>
      </c>
      <c r="J81" s="85" t="s">
        <v>1376</v>
      </c>
      <c r="K81" s="259" t="s">
        <v>2005</v>
      </c>
      <c r="L81" s="122" t="s">
        <v>1381</v>
      </c>
      <c r="M81" s="21" t="s">
        <v>1415</v>
      </c>
      <c r="N81" s="334" t="s">
        <v>1369</v>
      </c>
      <c r="O81" s="82" t="s">
        <v>1649</v>
      </c>
      <c r="P81" s="85" t="s">
        <v>1371</v>
      </c>
    </row>
    <row r="82" spans="1:33" ht="129.6">
      <c r="A82" s="246" t="s">
        <v>2006</v>
      </c>
      <c r="B82" s="390"/>
      <c r="C82" s="3"/>
      <c r="D82" s="164" t="s">
        <v>2007</v>
      </c>
      <c r="E82" s="85" t="s">
        <v>2008</v>
      </c>
      <c r="F82" s="85" t="s">
        <v>2009</v>
      </c>
      <c r="G82" s="85" t="s">
        <v>2010</v>
      </c>
      <c r="H82" s="85" t="s">
        <v>1823</v>
      </c>
      <c r="I82" s="85" t="s">
        <v>2011</v>
      </c>
      <c r="J82" s="85" t="s">
        <v>1834</v>
      </c>
      <c r="K82" s="259" t="s">
        <v>2012</v>
      </c>
      <c r="L82" s="122" t="s">
        <v>1381</v>
      </c>
      <c r="M82" s="21" t="s">
        <v>1415</v>
      </c>
      <c r="N82" s="334" t="s">
        <v>1369</v>
      </c>
      <c r="O82" s="82" t="s">
        <v>1649</v>
      </c>
      <c r="P82" s="85" t="s">
        <v>1371</v>
      </c>
    </row>
    <row r="83" spans="1:33" ht="144">
      <c r="A83" s="246" t="s">
        <v>2013</v>
      </c>
      <c r="B83" s="390"/>
      <c r="C83" s="3"/>
      <c r="D83" s="164" t="s">
        <v>2014</v>
      </c>
      <c r="E83" s="85" t="s">
        <v>2015</v>
      </c>
      <c r="F83" s="85" t="s">
        <v>1361</v>
      </c>
      <c r="G83" s="85" t="s">
        <v>2016</v>
      </c>
      <c r="H83" s="85" t="s">
        <v>1442</v>
      </c>
      <c r="I83" s="85" t="s">
        <v>2017</v>
      </c>
      <c r="J83" s="85" t="s">
        <v>1655</v>
      </c>
      <c r="K83" s="259" t="s">
        <v>2018</v>
      </c>
      <c r="L83" s="123" t="s">
        <v>1367</v>
      </c>
      <c r="M83" s="21" t="s">
        <v>1415</v>
      </c>
      <c r="N83" s="334" t="s">
        <v>1369</v>
      </c>
      <c r="O83" s="82" t="s">
        <v>1649</v>
      </c>
      <c r="P83" s="85" t="s">
        <v>1481</v>
      </c>
    </row>
    <row r="84" spans="1:33">
      <c r="A84" s="224"/>
      <c r="B84" s="64"/>
      <c r="C84" s="65"/>
      <c r="D84" s="65"/>
      <c r="E84" s="65"/>
      <c r="F84" s="65"/>
      <c r="G84" s="65"/>
      <c r="H84" s="65"/>
      <c r="I84" s="65"/>
      <c r="J84" s="65"/>
      <c r="K84" s="65"/>
      <c r="L84" s="70"/>
      <c r="M84" s="76"/>
      <c r="P84" s="65"/>
      <c r="AG84" s="62"/>
    </row>
    <row r="85" spans="1:33" s="55" customFormat="1">
      <c r="A85" s="151"/>
      <c r="C85" s="62"/>
      <c r="D85" s="54"/>
      <c r="E85" s="54"/>
      <c r="F85" s="54"/>
      <c r="G85" s="54"/>
      <c r="H85" s="54"/>
      <c r="I85" s="54"/>
      <c r="J85" s="54"/>
      <c r="K85" s="54"/>
      <c r="L85" s="71"/>
      <c r="M85" s="62"/>
      <c r="P85" s="62"/>
      <c r="Q85" s="62"/>
      <c r="R85" s="302"/>
      <c r="W85" s="71"/>
      <c r="X85" s="71"/>
      <c r="AG85" s="21"/>
    </row>
    <row r="86" spans="1:33">
      <c r="A86" s="15"/>
      <c r="W86" s="71"/>
      <c r="X86" s="71"/>
    </row>
    <row r="87" spans="1:33" s="21" customFormat="1" ht="86.45" customHeight="1">
      <c r="A87" s="246" t="s">
        <v>2019</v>
      </c>
      <c r="B87" s="408" t="s">
        <v>2020</v>
      </c>
      <c r="C87" s="2" t="s">
        <v>2021</v>
      </c>
      <c r="D87" s="134" t="s">
        <v>2022</v>
      </c>
      <c r="E87" s="134" t="s">
        <v>2023</v>
      </c>
      <c r="F87" s="134" t="s">
        <v>2024</v>
      </c>
      <c r="G87" s="134" t="s">
        <v>2025</v>
      </c>
      <c r="H87" s="134" t="s">
        <v>2026</v>
      </c>
      <c r="I87" s="134" t="s">
        <v>2027</v>
      </c>
      <c r="J87" s="134" t="s">
        <v>2028</v>
      </c>
      <c r="K87" s="134" t="s">
        <v>2029</v>
      </c>
      <c r="L87" s="197" t="s">
        <v>1367</v>
      </c>
      <c r="M87" s="21" t="s">
        <v>1415</v>
      </c>
      <c r="N87" s="21" t="s">
        <v>1369</v>
      </c>
      <c r="O87" s="21" t="s">
        <v>2030</v>
      </c>
      <c r="R87" s="2"/>
      <c r="W87" s="6"/>
      <c r="X87" s="6"/>
    </row>
    <row r="88" spans="1:33" ht="86.45">
      <c r="A88" s="246" t="s">
        <v>2031</v>
      </c>
      <c r="B88" s="408"/>
      <c r="C88" s="2" t="s">
        <v>2021</v>
      </c>
      <c r="D88" s="134" t="s">
        <v>2032</v>
      </c>
      <c r="E88" s="134" t="s">
        <v>2033</v>
      </c>
      <c r="F88" s="134" t="s">
        <v>2024</v>
      </c>
      <c r="G88" s="134" t="s">
        <v>2034</v>
      </c>
      <c r="H88" s="134" t="s">
        <v>2035</v>
      </c>
      <c r="I88" s="134" t="s">
        <v>2036</v>
      </c>
      <c r="J88" s="134" t="s">
        <v>2028</v>
      </c>
      <c r="K88" s="134" t="s">
        <v>2037</v>
      </c>
      <c r="L88" s="197" t="s">
        <v>1367</v>
      </c>
      <c r="M88" s="21" t="s">
        <v>1415</v>
      </c>
    </row>
    <row r="89" spans="1:33" s="15" customFormat="1" ht="57.6">
      <c r="A89" s="246" t="s">
        <v>2038</v>
      </c>
      <c r="B89" s="408"/>
      <c r="C89" s="2" t="s">
        <v>2021</v>
      </c>
      <c r="D89" s="134" t="s">
        <v>2039</v>
      </c>
      <c r="E89" s="134" t="s">
        <v>2040</v>
      </c>
      <c r="F89" s="134" t="s">
        <v>2024</v>
      </c>
      <c r="G89" s="134" t="s">
        <v>2041</v>
      </c>
      <c r="H89" s="134" t="s">
        <v>2042</v>
      </c>
      <c r="I89" s="134" t="s">
        <v>2043</v>
      </c>
      <c r="J89" s="134" t="s">
        <v>2028</v>
      </c>
      <c r="K89" s="134" t="s">
        <v>2044</v>
      </c>
      <c r="L89" s="197" t="s">
        <v>1367</v>
      </c>
      <c r="M89" s="21" t="s">
        <v>1415</v>
      </c>
      <c r="N89" s="15" t="s">
        <v>1369</v>
      </c>
      <c r="Q89" s="21"/>
      <c r="W89" s="6"/>
      <c r="X89" s="6"/>
      <c r="AG89" s="21"/>
    </row>
    <row r="90" spans="1:33" ht="57.6">
      <c r="A90" s="246" t="s">
        <v>2045</v>
      </c>
      <c r="B90" s="408"/>
      <c r="C90" s="2" t="s">
        <v>2021</v>
      </c>
      <c r="D90" s="134" t="s">
        <v>2046</v>
      </c>
      <c r="E90" s="134" t="s">
        <v>2047</v>
      </c>
      <c r="F90" s="134" t="s">
        <v>2024</v>
      </c>
      <c r="G90" s="134" t="s">
        <v>2048</v>
      </c>
      <c r="H90" s="134" t="s">
        <v>2049</v>
      </c>
      <c r="I90" s="134" t="s">
        <v>2050</v>
      </c>
      <c r="J90" s="134" t="s">
        <v>2028</v>
      </c>
      <c r="K90" s="134" t="s">
        <v>2051</v>
      </c>
      <c r="L90" s="197" t="s">
        <v>1367</v>
      </c>
      <c r="M90" s="21" t="s">
        <v>1415</v>
      </c>
      <c r="N90" s="15" t="s">
        <v>1369</v>
      </c>
      <c r="W90" s="1"/>
      <c r="X90" s="1"/>
    </row>
    <row r="91" spans="1:33" ht="57.6">
      <c r="A91" s="246" t="s">
        <v>2052</v>
      </c>
      <c r="B91" s="408"/>
      <c r="C91" s="2" t="s">
        <v>2021</v>
      </c>
      <c r="D91" s="134" t="s">
        <v>2053</v>
      </c>
      <c r="E91" s="134" t="s">
        <v>2054</v>
      </c>
      <c r="F91" s="134" t="s">
        <v>2024</v>
      </c>
      <c r="G91" s="134" t="s">
        <v>2055</v>
      </c>
      <c r="H91" s="134" t="s">
        <v>2056</v>
      </c>
      <c r="I91" s="134" t="s">
        <v>2057</v>
      </c>
      <c r="J91" s="134" t="s">
        <v>2028</v>
      </c>
      <c r="K91" s="134" t="s">
        <v>2058</v>
      </c>
      <c r="L91" s="197" t="s">
        <v>1367</v>
      </c>
      <c r="M91" s="21" t="s">
        <v>1415</v>
      </c>
      <c r="N91" s="15" t="s">
        <v>1369</v>
      </c>
    </row>
    <row r="92" spans="1:33" ht="57.6">
      <c r="A92" s="246" t="s">
        <v>2059</v>
      </c>
      <c r="B92" s="408"/>
      <c r="C92" s="2" t="s">
        <v>2021</v>
      </c>
      <c r="D92" s="134" t="s">
        <v>2060</v>
      </c>
      <c r="E92" s="134" t="s">
        <v>2061</v>
      </c>
      <c r="F92" s="134" t="s">
        <v>2024</v>
      </c>
      <c r="G92" s="134" t="s">
        <v>2062</v>
      </c>
      <c r="H92" s="134" t="s">
        <v>2063</v>
      </c>
      <c r="I92" s="134" t="s">
        <v>2064</v>
      </c>
      <c r="J92" s="134" t="s">
        <v>2028</v>
      </c>
      <c r="K92" s="134" t="s">
        <v>2065</v>
      </c>
      <c r="L92" s="197" t="s">
        <v>1367</v>
      </c>
      <c r="M92" s="21" t="s">
        <v>1415</v>
      </c>
      <c r="N92" s="15" t="s">
        <v>1369</v>
      </c>
    </row>
    <row r="93" spans="1:33" ht="57.6">
      <c r="A93" s="246" t="s">
        <v>2066</v>
      </c>
      <c r="B93" s="408"/>
      <c r="C93" s="2" t="s">
        <v>2021</v>
      </c>
      <c r="D93" s="134" t="s">
        <v>2067</v>
      </c>
      <c r="E93" s="134" t="s">
        <v>2068</v>
      </c>
      <c r="F93" s="134" t="s">
        <v>2024</v>
      </c>
      <c r="G93" s="134" t="s">
        <v>2069</v>
      </c>
      <c r="H93" s="134" t="s">
        <v>2070</v>
      </c>
      <c r="I93" s="134" t="s">
        <v>2071</v>
      </c>
      <c r="J93" s="134" t="s">
        <v>2028</v>
      </c>
      <c r="K93" s="134" t="s">
        <v>2072</v>
      </c>
      <c r="L93" s="197" t="s">
        <v>1367</v>
      </c>
      <c r="M93" s="21" t="s">
        <v>1415</v>
      </c>
      <c r="N93" s="15" t="s">
        <v>1369</v>
      </c>
    </row>
    <row r="94" spans="1:33" ht="57.6">
      <c r="A94" s="246" t="s">
        <v>2073</v>
      </c>
      <c r="B94" s="408"/>
      <c r="C94" s="2" t="s">
        <v>2021</v>
      </c>
      <c r="D94" s="134" t="s">
        <v>2074</v>
      </c>
      <c r="E94" s="134" t="s">
        <v>2075</v>
      </c>
      <c r="F94" s="134" t="s">
        <v>2024</v>
      </c>
      <c r="G94" s="134" t="s">
        <v>2076</v>
      </c>
      <c r="H94" s="134" t="s">
        <v>2077</v>
      </c>
      <c r="I94" s="134" t="s">
        <v>2078</v>
      </c>
      <c r="J94" s="134" t="s">
        <v>2028</v>
      </c>
      <c r="K94" s="134" t="s">
        <v>2079</v>
      </c>
      <c r="L94" s="197" t="s">
        <v>1367</v>
      </c>
      <c r="M94" s="21" t="s">
        <v>1415</v>
      </c>
      <c r="N94" s="15" t="s">
        <v>1369</v>
      </c>
    </row>
    <row r="95" spans="1:33" ht="72">
      <c r="A95" s="246" t="s">
        <v>2080</v>
      </c>
      <c r="B95" s="408"/>
      <c r="C95" s="2" t="s">
        <v>2021</v>
      </c>
      <c r="D95" s="134" t="s">
        <v>2081</v>
      </c>
      <c r="E95" s="134" t="s">
        <v>2082</v>
      </c>
      <c r="F95" s="134" t="s">
        <v>2024</v>
      </c>
      <c r="G95" s="134" t="s">
        <v>2083</v>
      </c>
      <c r="H95" s="134" t="s">
        <v>2084</v>
      </c>
      <c r="I95" s="134" t="s">
        <v>2085</v>
      </c>
      <c r="J95" s="134" t="s">
        <v>2028</v>
      </c>
      <c r="K95" s="134" t="s">
        <v>2086</v>
      </c>
      <c r="L95" s="196" t="s">
        <v>1381</v>
      </c>
      <c r="M95" s="21" t="s">
        <v>1415</v>
      </c>
      <c r="N95" s="15" t="s">
        <v>1369</v>
      </c>
      <c r="Q95" s="21" t="s">
        <v>1404</v>
      </c>
      <c r="R95" s="5" t="s">
        <v>2087</v>
      </c>
    </row>
    <row r="96" spans="1:33" ht="57.6">
      <c r="A96" s="246" t="s">
        <v>2088</v>
      </c>
      <c r="B96" s="408"/>
      <c r="C96" s="2" t="s">
        <v>2021</v>
      </c>
      <c r="D96" s="134" t="s">
        <v>2089</v>
      </c>
      <c r="E96" s="134" t="s">
        <v>2090</v>
      </c>
      <c r="F96" s="134" t="s">
        <v>2024</v>
      </c>
      <c r="G96" s="134" t="s">
        <v>2091</v>
      </c>
      <c r="H96" s="134" t="s">
        <v>2092</v>
      </c>
      <c r="I96" s="134" t="s">
        <v>2093</v>
      </c>
      <c r="J96" s="134" t="s">
        <v>2028</v>
      </c>
      <c r="K96" s="134" t="s">
        <v>2094</v>
      </c>
      <c r="L96" s="197" t="s">
        <v>1367</v>
      </c>
      <c r="M96" s="21" t="s">
        <v>1415</v>
      </c>
      <c r="N96" s="15" t="s">
        <v>1369</v>
      </c>
    </row>
    <row r="97" spans="1:33" ht="57.6">
      <c r="A97" s="246" t="s">
        <v>2095</v>
      </c>
      <c r="B97" s="408"/>
      <c r="C97" s="2" t="s">
        <v>2021</v>
      </c>
      <c r="D97" s="134" t="s">
        <v>2096</v>
      </c>
      <c r="E97" s="134" t="s">
        <v>2097</v>
      </c>
      <c r="F97" s="134" t="s">
        <v>2024</v>
      </c>
      <c r="G97" s="134" t="s">
        <v>2098</v>
      </c>
      <c r="H97" s="134" t="s">
        <v>2099</v>
      </c>
      <c r="I97" s="134" t="s">
        <v>2100</v>
      </c>
      <c r="J97" s="134" t="s">
        <v>2028</v>
      </c>
      <c r="K97" s="134" t="s">
        <v>2101</v>
      </c>
      <c r="L97" s="197" t="s">
        <v>1367</v>
      </c>
      <c r="M97" s="21" t="s">
        <v>1415</v>
      </c>
      <c r="N97" s="15" t="s">
        <v>1369</v>
      </c>
    </row>
    <row r="98" spans="1:33" s="15" customFormat="1" ht="57.6">
      <c r="A98" s="246" t="s">
        <v>2102</v>
      </c>
      <c r="B98" s="408"/>
      <c r="C98" s="2" t="s">
        <v>2021</v>
      </c>
      <c r="D98" s="134" t="s">
        <v>2103</v>
      </c>
      <c r="E98" s="134" t="s">
        <v>2104</v>
      </c>
      <c r="F98" s="134" t="s">
        <v>2024</v>
      </c>
      <c r="G98" s="134" t="s">
        <v>2105</v>
      </c>
      <c r="H98" s="134" t="s">
        <v>2106</v>
      </c>
      <c r="I98" s="134" t="s">
        <v>2107</v>
      </c>
      <c r="J98" s="134" t="s">
        <v>2028</v>
      </c>
      <c r="K98" s="134" t="s">
        <v>2108</v>
      </c>
      <c r="L98" s="197" t="s">
        <v>1367</v>
      </c>
      <c r="M98" s="21" t="s">
        <v>1415</v>
      </c>
      <c r="N98" s="15" t="s">
        <v>1369</v>
      </c>
      <c r="Q98" s="21"/>
      <c r="W98" s="6"/>
      <c r="X98" s="6"/>
      <c r="AG98" s="21"/>
    </row>
    <row r="99" spans="1:33" s="15" customFormat="1" ht="57.6">
      <c r="A99" s="246" t="s">
        <v>2109</v>
      </c>
      <c r="B99" s="408"/>
      <c r="C99" s="2" t="s">
        <v>2021</v>
      </c>
      <c r="D99" s="134" t="s">
        <v>2110</v>
      </c>
      <c r="E99" s="134" t="s">
        <v>2111</v>
      </c>
      <c r="F99" s="134" t="s">
        <v>2024</v>
      </c>
      <c r="G99" s="134" t="s">
        <v>2112</v>
      </c>
      <c r="H99" s="134" t="s">
        <v>2113</v>
      </c>
      <c r="I99" s="134" t="s">
        <v>2114</v>
      </c>
      <c r="J99" s="134" t="s">
        <v>2028</v>
      </c>
      <c r="K99" s="134" t="s">
        <v>2115</v>
      </c>
      <c r="L99" s="197" t="s">
        <v>1367</v>
      </c>
      <c r="M99" s="21" t="s">
        <v>1415</v>
      </c>
      <c r="N99" s="15" t="s">
        <v>1369</v>
      </c>
      <c r="Q99" s="21"/>
      <c r="W99" s="1"/>
      <c r="X99" s="1"/>
      <c r="AG99" s="21"/>
    </row>
    <row r="100" spans="1:33" s="2" customFormat="1" ht="57.6">
      <c r="A100" s="246" t="s">
        <v>2116</v>
      </c>
      <c r="B100" s="408"/>
      <c r="C100" s="2" t="s">
        <v>2021</v>
      </c>
      <c r="D100" s="134" t="s">
        <v>2117</v>
      </c>
      <c r="E100" s="134" t="s">
        <v>2118</v>
      </c>
      <c r="F100" s="134" t="s">
        <v>2024</v>
      </c>
      <c r="G100" s="134" t="s">
        <v>2119</v>
      </c>
      <c r="H100" s="134" t="s">
        <v>2120</v>
      </c>
      <c r="I100" s="134" t="s">
        <v>2121</v>
      </c>
      <c r="J100" s="134" t="s">
        <v>2028</v>
      </c>
      <c r="K100" s="134" t="s">
        <v>2122</v>
      </c>
      <c r="L100" s="197" t="s">
        <v>1367</v>
      </c>
      <c r="M100" s="21" t="s">
        <v>1415</v>
      </c>
      <c r="N100" s="15" t="s">
        <v>1369</v>
      </c>
      <c r="Q100" s="21"/>
      <c r="W100" s="1"/>
      <c r="X100" s="1"/>
      <c r="AG100" s="21"/>
    </row>
    <row r="101" spans="1:33" s="2" customFormat="1" ht="57.6">
      <c r="A101" s="246" t="s">
        <v>2123</v>
      </c>
      <c r="B101" s="408"/>
      <c r="C101" s="2" t="s">
        <v>2021</v>
      </c>
      <c r="D101" s="134" t="s">
        <v>2124</v>
      </c>
      <c r="E101" s="134" t="s">
        <v>2125</v>
      </c>
      <c r="F101" s="134" t="s">
        <v>2024</v>
      </c>
      <c r="G101" s="134" t="s">
        <v>2126</v>
      </c>
      <c r="H101" s="134" t="s">
        <v>2127</v>
      </c>
      <c r="I101" s="134" t="s">
        <v>2128</v>
      </c>
      <c r="J101" s="134" t="s">
        <v>2028</v>
      </c>
      <c r="K101" s="134" t="s">
        <v>2129</v>
      </c>
      <c r="L101" s="197" t="s">
        <v>1367</v>
      </c>
      <c r="M101" s="21" t="s">
        <v>1415</v>
      </c>
      <c r="N101" s="15" t="s">
        <v>1369</v>
      </c>
      <c r="Q101" s="21"/>
      <c r="W101" s="1"/>
      <c r="X101" s="1"/>
      <c r="AG101" s="21"/>
    </row>
    <row r="102" spans="1:33" s="2" customFormat="1" ht="57.6">
      <c r="A102" s="246" t="s">
        <v>2130</v>
      </c>
      <c r="B102" s="408"/>
      <c r="C102" s="2" t="s">
        <v>2021</v>
      </c>
      <c r="D102" s="134" t="s">
        <v>2131</v>
      </c>
      <c r="E102" s="134" t="s">
        <v>2132</v>
      </c>
      <c r="F102" s="134" t="s">
        <v>2024</v>
      </c>
      <c r="G102" s="134" t="s">
        <v>2133</v>
      </c>
      <c r="H102" s="134" t="s">
        <v>2134</v>
      </c>
      <c r="I102" s="134" t="s">
        <v>2135</v>
      </c>
      <c r="J102" s="134" t="s">
        <v>2028</v>
      </c>
      <c r="K102" s="134" t="s">
        <v>2136</v>
      </c>
      <c r="L102" s="197" t="s">
        <v>1367</v>
      </c>
      <c r="M102" s="21" t="s">
        <v>1415</v>
      </c>
      <c r="N102" s="15" t="s">
        <v>1369</v>
      </c>
      <c r="Q102" s="21"/>
      <c r="W102" s="1"/>
      <c r="X102" s="1"/>
      <c r="AG102" s="21"/>
    </row>
    <row r="103" spans="1:33" s="15" customFormat="1" ht="57.6">
      <c r="A103" s="246" t="s">
        <v>2137</v>
      </c>
      <c r="B103" s="408"/>
      <c r="C103" s="2" t="s">
        <v>2021</v>
      </c>
      <c r="D103" s="134" t="s">
        <v>2138</v>
      </c>
      <c r="E103" s="134" t="s">
        <v>2139</v>
      </c>
      <c r="F103" s="134" t="s">
        <v>2024</v>
      </c>
      <c r="G103" s="134" t="s">
        <v>2140</v>
      </c>
      <c r="H103" s="134" t="s">
        <v>2141</v>
      </c>
      <c r="I103" s="134" t="s">
        <v>2142</v>
      </c>
      <c r="J103" s="134" t="s">
        <v>2028</v>
      </c>
      <c r="K103" s="134" t="s">
        <v>2143</v>
      </c>
      <c r="L103" s="197" t="s">
        <v>1367</v>
      </c>
      <c r="M103" s="21" t="s">
        <v>1415</v>
      </c>
      <c r="N103" s="15" t="s">
        <v>1369</v>
      </c>
      <c r="Q103" s="21"/>
      <c r="W103" s="1"/>
      <c r="X103" s="1"/>
      <c r="AG103" s="21"/>
    </row>
    <row r="104" spans="1:33" s="15" customFormat="1" ht="57.6">
      <c r="A104" s="246" t="s">
        <v>2144</v>
      </c>
      <c r="B104" s="408"/>
      <c r="C104" s="2" t="s">
        <v>2021</v>
      </c>
      <c r="D104" s="134" t="s">
        <v>2145</v>
      </c>
      <c r="E104" s="134" t="s">
        <v>2146</v>
      </c>
      <c r="F104" s="134" t="s">
        <v>2024</v>
      </c>
      <c r="G104" s="134" t="s">
        <v>2147</v>
      </c>
      <c r="H104" s="134" t="s">
        <v>2049</v>
      </c>
      <c r="I104" s="134" t="s">
        <v>2148</v>
      </c>
      <c r="J104" s="134" t="s">
        <v>2028</v>
      </c>
      <c r="K104" s="134" t="s">
        <v>2149</v>
      </c>
      <c r="L104" s="197" t="s">
        <v>1367</v>
      </c>
      <c r="M104" s="21" t="s">
        <v>1415</v>
      </c>
      <c r="N104" s="15" t="s">
        <v>1369</v>
      </c>
      <c r="Q104" s="21"/>
      <c r="W104" s="1"/>
      <c r="X104" s="1"/>
      <c r="AG104" s="21"/>
    </row>
    <row r="105" spans="1:33" s="21" customFormat="1" ht="57.6">
      <c r="A105" s="246" t="s">
        <v>2150</v>
      </c>
      <c r="B105" s="408"/>
      <c r="C105" s="2" t="s">
        <v>2021</v>
      </c>
      <c r="D105" s="134" t="s">
        <v>2151</v>
      </c>
      <c r="E105" s="134" t="s">
        <v>2152</v>
      </c>
      <c r="F105" s="134" t="s">
        <v>2024</v>
      </c>
      <c r="G105" s="134" t="s">
        <v>2153</v>
      </c>
      <c r="H105" s="134" t="s">
        <v>2154</v>
      </c>
      <c r="I105" s="134" t="s">
        <v>2155</v>
      </c>
      <c r="J105" s="134" t="s">
        <v>2028</v>
      </c>
      <c r="K105" s="134" t="s">
        <v>2156</v>
      </c>
      <c r="L105" s="197" t="s">
        <v>1367</v>
      </c>
      <c r="M105" s="21" t="s">
        <v>1415</v>
      </c>
      <c r="N105" s="15" t="s">
        <v>1369</v>
      </c>
      <c r="R105" s="2"/>
      <c r="W105" s="1"/>
      <c r="X105" s="1"/>
    </row>
    <row r="106" spans="1:33" s="21" customFormat="1" ht="57.6">
      <c r="A106" s="246" t="s">
        <v>2157</v>
      </c>
      <c r="B106" s="408"/>
      <c r="C106" s="2" t="s">
        <v>2021</v>
      </c>
      <c r="D106" s="134" t="s">
        <v>2158</v>
      </c>
      <c r="E106" s="134" t="s">
        <v>2159</v>
      </c>
      <c r="F106" s="134" t="s">
        <v>2024</v>
      </c>
      <c r="G106" s="134" t="s">
        <v>2160</v>
      </c>
      <c r="H106" s="134" t="s">
        <v>2161</v>
      </c>
      <c r="I106" s="134" t="s">
        <v>2162</v>
      </c>
      <c r="J106" s="134" t="s">
        <v>2028</v>
      </c>
      <c r="K106" s="134" t="s">
        <v>2163</v>
      </c>
      <c r="L106" s="197" t="s">
        <v>1367</v>
      </c>
      <c r="M106" s="21" t="s">
        <v>1415</v>
      </c>
      <c r="N106" s="15" t="s">
        <v>1369</v>
      </c>
      <c r="R106" s="2"/>
      <c r="W106" s="6"/>
      <c r="X106" s="6"/>
    </row>
    <row r="107" spans="1:33" s="21" customFormat="1" ht="72">
      <c r="A107" s="246" t="s">
        <v>2164</v>
      </c>
      <c r="B107" s="408"/>
      <c r="C107" s="2" t="s">
        <v>2021</v>
      </c>
      <c r="D107" s="134" t="s">
        <v>2165</v>
      </c>
      <c r="E107" s="134" t="s">
        <v>2166</v>
      </c>
      <c r="F107" s="134" t="s">
        <v>2024</v>
      </c>
      <c r="G107" s="134" t="s">
        <v>2167</v>
      </c>
      <c r="H107" s="134" t="s">
        <v>2168</v>
      </c>
      <c r="I107" s="134" t="s">
        <v>2169</v>
      </c>
      <c r="J107" s="134" t="s">
        <v>2028</v>
      </c>
      <c r="K107" s="134" t="s">
        <v>2170</v>
      </c>
      <c r="L107" s="196" t="s">
        <v>1381</v>
      </c>
      <c r="M107" s="21" t="s">
        <v>1415</v>
      </c>
      <c r="N107" s="15" t="s">
        <v>1369</v>
      </c>
      <c r="Q107" s="21" t="s">
        <v>1404</v>
      </c>
      <c r="R107" s="2" t="s">
        <v>2171</v>
      </c>
      <c r="W107" s="6"/>
      <c r="X107" s="6"/>
    </row>
    <row r="108" spans="1:33" s="21" customFormat="1" ht="57.6">
      <c r="A108" s="246" t="s">
        <v>2172</v>
      </c>
      <c r="B108" s="408"/>
      <c r="C108" s="2" t="s">
        <v>2021</v>
      </c>
      <c r="D108" s="134" t="s">
        <v>2173</v>
      </c>
      <c r="E108" s="134" t="s">
        <v>2174</v>
      </c>
      <c r="F108" s="134" t="s">
        <v>2024</v>
      </c>
      <c r="G108" s="134" t="s">
        <v>2175</v>
      </c>
      <c r="H108" s="134" t="s">
        <v>2176</v>
      </c>
      <c r="I108" s="134" t="s">
        <v>2177</v>
      </c>
      <c r="J108" s="134" t="s">
        <v>2028</v>
      </c>
      <c r="K108" s="134" t="s">
        <v>2178</v>
      </c>
      <c r="L108" s="197" t="s">
        <v>1367</v>
      </c>
      <c r="M108" s="21" t="s">
        <v>1415</v>
      </c>
      <c r="N108" s="15" t="s">
        <v>1369</v>
      </c>
      <c r="R108" s="2"/>
      <c r="W108" s="6"/>
      <c r="X108" s="6"/>
    </row>
    <row r="109" spans="1:33" s="21" customFormat="1" ht="72">
      <c r="A109" s="246" t="s">
        <v>2179</v>
      </c>
      <c r="B109" s="408"/>
      <c r="C109" s="2" t="s">
        <v>2021</v>
      </c>
      <c r="D109" s="134" t="s">
        <v>2180</v>
      </c>
      <c r="E109" s="134" t="s">
        <v>2181</v>
      </c>
      <c r="F109" s="134" t="s">
        <v>2024</v>
      </c>
      <c r="G109" s="134" t="s">
        <v>2182</v>
      </c>
      <c r="H109" s="134" t="s">
        <v>2183</v>
      </c>
      <c r="I109" s="134" t="s">
        <v>2184</v>
      </c>
      <c r="J109" s="134" t="s">
        <v>2028</v>
      </c>
      <c r="K109" s="134" t="s">
        <v>2185</v>
      </c>
      <c r="L109" s="196" t="s">
        <v>1381</v>
      </c>
      <c r="M109" s="21" t="s">
        <v>1415</v>
      </c>
      <c r="N109" s="15" t="s">
        <v>1369</v>
      </c>
      <c r="Q109" s="21" t="s">
        <v>1404</v>
      </c>
      <c r="R109" s="2"/>
      <c r="W109" s="6"/>
      <c r="X109" s="6"/>
    </row>
    <row r="110" spans="1:33" s="21" customFormat="1" ht="57.6">
      <c r="A110" s="246" t="s">
        <v>2186</v>
      </c>
      <c r="B110" s="408"/>
      <c r="C110" s="2" t="s">
        <v>2021</v>
      </c>
      <c r="D110" s="134" t="s">
        <v>2187</v>
      </c>
      <c r="E110" s="134" t="s">
        <v>2188</v>
      </c>
      <c r="F110" s="134" t="s">
        <v>2024</v>
      </c>
      <c r="G110" s="134" t="s">
        <v>2189</v>
      </c>
      <c r="H110" s="134" t="s">
        <v>2190</v>
      </c>
      <c r="I110" s="134" t="s">
        <v>2191</v>
      </c>
      <c r="J110" s="134" t="s">
        <v>2028</v>
      </c>
      <c r="K110" s="134" t="s">
        <v>2192</v>
      </c>
      <c r="L110" s="197" t="s">
        <v>1367</v>
      </c>
      <c r="M110" s="21" t="s">
        <v>1415</v>
      </c>
      <c r="R110" s="2"/>
      <c r="W110" s="6"/>
      <c r="X110" s="6"/>
    </row>
    <row r="111" spans="1:33" s="21" customFormat="1" ht="57.6">
      <c r="A111" s="246" t="s">
        <v>2193</v>
      </c>
      <c r="B111" s="408"/>
      <c r="C111" s="2" t="s">
        <v>2021</v>
      </c>
      <c r="D111" s="134" t="s">
        <v>2194</v>
      </c>
      <c r="E111" s="134" t="s">
        <v>2195</v>
      </c>
      <c r="F111" s="134" t="s">
        <v>2024</v>
      </c>
      <c r="G111" s="134" t="s">
        <v>2196</v>
      </c>
      <c r="H111" s="134" t="s">
        <v>2197</v>
      </c>
      <c r="I111" s="134" t="s">
        <v>2198</v>
      </c>
      <c r="J111" s="134" t="s">
        <v>2028</v>
      </c>
      <c r="K111" s="134" t="s">
        <v>2199</v>
      </c>
      <c r="L111" s="197" t="s">
        <v>1367</v>
      </c>
      <c r="M111" s="21" t="s">
        <v>1415</v>
      </c>
      <c r="R111" s="2"/>
      <c r="W111" s="6"/>
      <c r="X111" s="6"/>
      <c r="AG111" s="78"/>
    </row>
    <row r="112" spans="1:33" s="78" customFormat="1">
      <c r="A112" s="84"/>
      <c r="B112" s="408"/>
      <c r="C112" s="44"/>
      <c r="D112" s="188"/>
      <c r="E112" s="188"/>
      <c r="F112" s="195"/>
      <c r="G112" s="194"/>
      <c r="H112" s="195"/>
      <c r="I112" s="194"/>
      <c r="J112" s="194"/>
      <c r="K112" s="194"/>
      <c r="L112" s="193"/>
      <c r="R112" s="44"/>
      <c r="W112" s="6"/>
      <c r="X112" s="6"/>
      <c r="AG112" s="21"/>
    </row>
    <row r="113" spans="1:24" s="21" customFormat="1" ht="57.6">
      <c r="A113" s="246" t="s">
        <v>2200</v>
      </c>
      <c r="B113" s="408"/>
      <c r="C113" s="2" t="s">
        <v>2201</v>
      </c>
      <c r="D113" s="134" t="s">
        <v>2202</v>
      </c>
      <c r="E113" s="134" t="s">
        <v>2203</v>
      </c>
      <c r="F113" s="134" t="s">
        <v>2204</v>
      </c>
      <c r="G113" s="134" t="s">
        <v>2205</v>
      </c>
      <c r="H113" s="134" t="s">
        <v>2206</v>
      </c>
      <c r="I113" s="134" t="s">
        <v>2207</v>
      </c>
      <c r="J113" s="134" t="s">
        <v>2208</v>
      </c>
      <c r="K113" s="134" t="s">
        <v>2209</v>
      </c>
      <c r="L113" s="197" t="s">
        <v>1367</v>
      </c>
      <c r="M113" s="21" t="s">
        <v>1415</v>
      </c>
      <c r="R113" s="2"/>
      <c r="W113" s="81"/>
      <c r="X113" s="81"/>
    </row>
    <row r="114" spans="1:24" s="21" customFormat="1" ht="57.6">
      <c r="A114" s="246" t="s">
        <v>2210</v>
      </c>
      <c r="B114" s="408"/>
      <c r="C114" s="2" t="s">
        <v>2211</v>
      </c>
      <c r="D114" s="134" t="s">
        <v>2212</v>
      </c>
      <c r="E114" s="134" t="s">
        <v>2213</v>
      </c>
      <c r="F114" s="134" t="s">
        <v>2204</v>
      </c>
      <c r="G114" s="134" t="s">
        <v>2214</v>
      </c>
      <c r="H114" s="134" t="s">
        <v>2215</v>
      </c>
      <c r="I114" s="134" t="s">
        <v>2216</v>
      </c>
      <c r="J114" s="134" t="s">
        <v>2208</v>
      </c>
      <c r="K114" s="134" t="s">
        <v>2217</v>
      </c>
      <c r="L114" s="197" t="s">
        <v>1367</v>
      </c>
      <c r="M114" s="21" t="s">
        <v>1415</v>
      </c>
      <c r="N114" s="21" t="s">
        <v>1369</v>
      </c>
      <c r="R114" s="2"/>
      <c r="W114" s="6"/>
      <c r="X114" s="6"/>
    </row>
    <row r="115" spans="1:24" s="21" customFormat="1" ht="57.6">
      <c r="A115" s="246" t="s">
        <v>2218</v>
      </c>
      <c r="B115" s="408"/>
      <c r="C115" s="2" t="s">
        <v>2201</v>
      </c>
      <c r="D115" s="134" t="s">
        <v>2219</v>
      </c>
      <c r="E115" s="134" t="s">
        <v>2220</v>
      </c>
      <c r="F115" s="134" t="s">
        <v>2204</v>
      </c>
      <c r="G115" s="134" t="s">
        <v>2221</v>
      </c>
      <c r="H115" s="134" t="s">
        <v>2222</v>
      </c>
      <c r="I115" s="134" t="s">
        <v>2223</v>
      </c>
      <c r="J115" s="134" t="s">
        <v>2208</v>
      </c>
      <c r="K115" s="134" t="s">
        <v>2224</v>
      </c>
      <c r="L115" s="197" t="s">
        <v>1367</v>
      </c>
      <c r="M115" s="21" t="s">
        <v>1415</v>
      </c>
      <c r="N115" s="21" t="s">
        <v>1369</v>
      </c>
      <c r="R115" s="2"/>
      <c r="W115" s="6"/>
      <c r="X115" s="6"/>
    </row>
    <row r="116" spans="1:24" s="21" customFormat="1" ht="57.6">
      <c r="A116" s="246" t="s">
        <v>2225</v>
      </c>
      <c r="B116" s="408"/>
      <c r="C116" s="2" t="s">
        <v>2201</v>
      </c>
      <c r="D116" s="134" t="s">
        <v>2226</v>
      </c>
      <c r="E116" s="134" t="s">
        <v>2227</v>
      </c>
      <c r="F116" s="134" t="s">
        <v>2204</v>
      </c>
      <c r="G116" s="134" t="s">
        <v>2228</v>
      </c>
      <c r="H116" s="134" t="s">
        <v>2229</v>
      </c>
      <c r="I116" s="134" t="s">
        <v>2230</v>
      </c>
      <c r="J116" s="134" t="s">
        <v>2208</v>
      </c>
      <c r="K116" s="134" t="s">
        <v>2231</v>
      </c>
      <c r="L116" s="197" t="s">
        <v>1367</v>
      </c>
      <c r="M116" s="21" t="s">
        <v>1415</v>
      </c>
      <c r="N116" s="21" t="s">
        <v>1369</v>
      </c>
      <c r="R116" s="2"/>
      <c r="W116" s="6"/>
      <c r="X116" s="6"/>
    </row>
    <row r="117" spans="1:24" s="21" customFormat="1" ht="57.6">
      <c r="A117" s="246" t="s">
        <v>2232</v>
      </c>
      <c r="B117" s="408"/>
      <c r="C117" s="2" t="s">
        <v>2201</v>
      </c>
      <c r="D117" s="134" t="s">
        <v>2233</v>
      </c>
      <c r="E117" s="134" t="s">
        <v>2234</v>
      </c>
      <c r="F117" s="134" t="s">
        <v>2204</v>
      </c>
      <c r="G117" s="134" t="s">
        <v>2235</v>
      </c>
      <c r="H117" s="134" t="s">
        <v>2236</v>
      </c>
      <c r="I117" s="134" t="s">
        <v>2237</v>
      </c>
      <c r="J117" s="134" t="s">
        <v>2208</v>
      </c>
      <c r="K117" s="134" t="s">
        <v>2238</v>
      </c>
      <c r="L117" s="197" t="s">
        <v>1367</v>
      </c>
      <c r="M117" s="21" t="s">
        <v>1415</v>
      </c>
      <c r="N117" s="21" t="s">
        <v>1369</v>
      </c>
      <c r="R117" s="2"/>
      <c r="W117" s="6"/>
      <c r="X117" s="6"/>
    </row>
    <row r="118" spans="1:24" s="21" customFormat="1" ht="57.6">
      <c r="A118" s="246" t="s">
        <v>2239</v>
      </c>
      <c r="B118" s="408"/>
      <c r="C118" s="2" t="s">
        <v>2201</v>
      </c>
      <c r="D118" s="134" t="s">
        <v>2240</v>
      </c>
      <c r="E118" s="134" t="s">
        <v>2241</v>
      </c>
      <c r="F118" s="134" t="s">
        <v>2204</v>
      </c>
      <c r="G118" s="134" t="s">
        <v>2242</v>
      </c>
      <c r="H118" s="134" t="s">
        <v>2243</v>
      </c>
      <c r="I118" s="134" t="s">
        <v>2244</v>
      </c>
      <c r="J118" s="134" t="s">
        <v>2208</v>
      </c>
      <c r="K118" s="134" t="s">
        <v>2245</v>
      </c>
      <c r="L118" s="197" t="s">
        <v>1367</v>
      </c>
      <c r="M118" s="21" t="s">
        <v>1415</v>
      </c>
      <c r="N118" s="21" t="s">
        <v>1369</v>
      </c>
      <c r="R118" s="2"/>
      <c r="W118" s="6"/>
      <c r="X118" s="6"/>
    </row>
    <row r="119" spans="1:24" s="21" customFormat="1" ht="57.6">
      <c r="A119" s="246" t="s">
        <v>2246</v>
      </c>
      <c r="B119" s="408"/>
      <c r="C119" s="2" t="s">
        <v>2201</v>
      </c>
      <c r="D119" s="134" t="s">
        <v>2247</v>
      </c>
      <c r="E119" s="134" t="s">
        <v>2248</v>
      </c>
      <c r="F119" s="134" t="s">
        <v>2204</v>
      </c>
      <c r="G119" s="134" t="s">
        <v>2249</v>
      </c>
      <c r="H119" s="134" t="s">
        <v>2250</v>
      </c>
      <c r="I119" s="134" t="s">
        <v>2251</v>
      </c>
      <c r="J119" s="134" t="s">
        <v>2028</v>
      </c>
      <c r="K119" s="134" t="s">
        <v>2252</v>
      </c>
      <c r="L119" s="197" t="s">
        <v>1367</v>
      </c>
      <c r="M119" s="21" t="s">
        <v>1415</v>
      </c>
      <c r="N119" s="21" t="s">
        <v>1369</v>
      </c>
      <c r="R119" s="2"/>
      <c r="W119" s="6"/>
      <c r="X119" s="6"/>
    </row>
    <row r="120" spans="1:24" s="21" customFormat="1" ht="72">
      <c r="A120" s="246" t="s">
        <v>2253</v>
      </c>
      <c r="B120" s="408"/>
      <c r="C120" s="2" t="s">
        <v>2201</v>
      </c>
      <c r="D120" s="134" t="s">
        <v>2254</v>
      </c>
      <c r="E120" s="134" t="s">
        <v>2255</v>
      </c>
      <c r="F120" s="134" t="s">
        <v>2204</v>
      </c>
      <c r="G120" s="134" t="s">
        <v>2256</v>
      </c>
      <c r="H120" s="134" t="s">
        <v>2257</v>
      </c>
      <c r="I120" s="134" t="s">
        <v>2258</v>
      </c>
      <c r="J120" s="134" t="s">
        <v>2028</v>
      </c>
      <c r="K120" s="134" t="s">
        <v>2259</v>
      </c>
      <c r="L120" s="196" t="s">
        <v>1381</v>
      </c>
      <c r="M120" s="21" t="s">
        <v>1415</v>
      </c>
      <c r="N120" s="21" t="s">
        <v>1369</v>
      </c>
      <c r="Q120" s="21" t="s">
        <v>1404</v>
      </c>
      <c r="R120" s="2" t="s">
        <v>2260</v>
      </c>
      <c r="W120" s="6"/>
      <c r="X120" s="6"/>
    </row>
    <row r="121" spans="1:24" s="21" customFormat="1" ht="57.6">
      <c r="A121" s="246" t="s">
        <v>2261</v>
      </c>
      <c r="B121" s="408"/>
      <c r="C121" s="2" t="s">
        <v>2201</v>
      </c>
      <c r="D121" s="134" t="s">
        <v>2262</v>
      </c>
      <c r="E121" s="134" t="s">
        <v>2263</v>
      </c>
      <c r="F121" s="134" t="s">
        <v>2204</v>
      </c>
      <c r="G121" s="134" t="s">
        <v>2264</v>
      </c>
      <c r="H121" s="134" t="s">
        <v>2265</v>
      </c>
      <c r="I121" s="134" t="s">
        <v>2266</v>
      </c>
      <c r="J121" s="134" t="s">
        <v>2028</v>
      </c>
      <c r="K121" s="134" t="s">
        <v>2267</v>
      </c>
      <c r="L121" s="197" t="s">
        <v>1367</v>
      </c>
      <c r="M121" s="21" t="s">
        <v>1415</v>
      </c>
      <c r="N121" s="21" t="s">
        <v>1369</v>
      </c>
      <c r="R121" s="2"/>
      <c r="W121" s="6"/>
      <c r="X121" s="6"/>
    </row>
    <row r="122" spans="1:24" s="21" customFormat="1" ht="57.6">
      <c r="A122" s="246" t="s">
        <v>2268</v>
      </c>
      <c r="B122" s="408"/>
      <c r="C122" s="2" t="s">
        <v>2201</v>
      </c>
      <c r="D122" s="134" t="s">
        <v>2269</v>
      </c>
      <c r="E122" s="134" t="s">
        <v>2270</v>
      </c>
      <c r="F122" s="134" t="s">
        <v>2204</v>
      </c>
      <c r="G122" s="134" t="s">
        <v>2271</v>
      </c>
      <c r="H122" s="134" t="s">
        <v>2272</v>
      </c>
      <c r="I122" s="134" t="s">
        <v>2273</v>
      </c>
      <c r="J122" s="134" t="s">
        <v>2028</v>
      </c>
      <c r="K122" s="134" t="s">
        <v>2274</v>
      </c>
      <c r="L122" s="197" t="s">
        <v>1367</v>
      </c>
      <c r="M122" s="21" t="s">
        <v>1415</v>
      </c>
      <c r="N122" s="21" t="s">
        <v>1369</v>
      </c>
      <c r="R122" s="2"/>
      <c r="W122" s="6"/>
      <c r="X122" s="6"/>
    </row>
    <row r="123" spans="1:24" s="21" customFormat="1" ht="57.6">
      <c r="A123" s="246" t="s">
        <v>2275</v>
      </c>
      <c r="B123" s="408"/>
      <c r="C123" s="2" t="s">
        <v>2201</v>
      </c>
      <c r="D123" s="134" t="s">
        <v>2276</v>
      </c>
      <c r="E123" s="134" t="s">
        <v>2277</v>
      </c>
      <c r="F123" s="134" t="s">
        <v>2204</v>
      </c>
      <c r="G123" s="134" t="s">
        <v>2278</v>
      </c>
      <c r="H123" s="134" t="s">
        <v>2279</v>
      </c>
      <c r="I123" s="134" t="s">
        <v>2280</v>
      </c>
      <c r="J123" s="134" t="s">
        <v>2028</v>
      </c>
      <c r="K123" s="134" t="s">
        <v>2281</v>
      </c>
      <c r="L123" s="197" t="s">
        <v>1367</v>
      </c>
      <c r="M123" s="21" t="s">
        <v>1415</v>
      </c>
      <c r="N123" s="21" t="s">
        <v>1369</v>
      </c>
      <c r="R123" s="2"/>
      <c r="W123" s="6"/>
      <c r="X123" s="6"/>
    </row>
    <row r="124" spans="1:24" s="21" customFormat="1" ht="57.6">
      <c r="A124" s="246" t="s">
        <v>2282</v>
      </c>
      <c r="B124" s="408"/>
      <c r="C124" s="2" t="s">
        <v>2201</v>
      </c>
      <c r="D124" s="134" t="s">
        <v>2283</v>
      </c>
      <c r="E124" s="134" t="s">
        <v>2284</v>
      </c>
      <c r="F124" s="134" t="s">
        <v>2204</v>
      </c>
      <c r="G124" s="134" t="s">
        <v>2285</v>
      </c>
      <c r="H124" s="134" t="s">
        <v>2286</v>
      </c>
      <c r="I124" s="134" t="s">
        <v>2287</v>
      </c>
      <c r="J124" s="134" t="s">
        <v>2208</v>
      </c>
      <c r="K124" s="134" t="s">
        <v>2288</v>
      </c>
      <c r="L124" s="197" t="s">
        <v>1367</v>
      </c>
      <c r="M124" s="21" t="s">
        <v>1415</v>
      </c>
      <c r="N124" s="21" t="s">
        <v>1369</v>
      </c>
      <c r="R124" s="2"/>
      <c r="W124" s="6"/>
      <c r="X124" s="6"/>
    </row>
    <row r="125" spans="1:24" s="21" customFormat="1" ht="57.6">
      <c r="A125" s="246" t="s">
        <v>2289</v>
      </c>
      <c r="B125" s="408"/>
      <c r="C125" s="2" t="s">
        <v>2201</v>
      </c>
      <c r="D125" s="134" t="s">
        <v>2290</v>
      </c>
      <c r="E125" s="134" t="s">
        <v>2291</v>
      </c>
      <c r="F125" s="134" t="s">
        <v>2204</v>
      </c>
      <c r="G125" s="134" t="s">
        <v>2292</v>
      </c>
      <c r="H125" s="134" t="s">
        <v>2222</v>
      </c>
      <c r="I125" s="134" t="s">
        <v>2293</v>
      </c>
      <c r="J125" s="134" t="s">
        <v>2028</v>
      </c>
      <c r="K125" s="134" t="s">
        <v>2294</v>
      </c>
      <c r="L125" s="197" t="s">
        <v>1367</v>
      </c>
      <c r="M125" s="21" t="s">
        <v>1415</v>
      </c>
      <c r="N125" s="21" t="s">
        <v>1369</v>
      </c>
      <c r="R125" s="2"/>
      <c r="W125" s="6"/>
      <c r="X125" s="6"/>
    </row>
    <row r="126" spans="1:24" s="21" customFormat="1" ht="57.6">
      <c r="A126" s="246" t="s">
        <v>2295</v>
      </c>
      <c r="B126" s="408"/>
      <c r="C126" s="2" t="s">
        <v>2201</v>
      </c>
      <c r="D126" s="134" t="s">
        <v>2296</v>
      </c>
      <c r="E126" s="134" t="s">
        <v>2297</v>
      </c>
      <c r="F126" s="134" t="s">
        <v>2204</v>
      </c>
      <c r="G126" s="134" t="s">
        <v>2298</v>
      </c>
      <c r="H126" s="134" t="s">
        <v>2299</v>
      </c>
      <c r="I126" s="134" t="s">
        <v>2300</v>
      </c>
      <c r="J126" s="134" t="s">
        <v>2028</v>
      </c>
      <c r="K126" s="134" t="s">
        <v>2301</v>
      </c>
      <c r="L126" s="197" t="s">
        <v>1367</v>
      </c>
      <c r="M126" s="21" t="s">
        <v>1415</v>
      </c>
      <c r="N126" s="21" t="s">
        <v>1369</v>
      </c>
      <c r="R126" s="2"/>
      <c r="W126" s="6"/>
      <c r="X126" s="6"/>
    </row>
    <row r="127" spans="1:24" s="21" customFormat="1" ht="57.6">
      <c r="A127" s="246" t="s">
        <v>2302</v>
      </c>
      <c r="B127" s="408"/>
      <c r="C127" s="2" t="s">
        <v>2201</v>
      </c>
      <c r="D127" s="134" t="s">
        <v>2303</v>
      </c>
      <c r="E127" s="134" t="s">
        <v>2304</v>
      </c>
      <c r="F127" s="134" t="s">
        <v>2204</v>
      </c>
      <c r="G127" s="134" t="s">
        <v>2305</v>
      </c>
      <c r="H127" s="134" t="s">
        <v>2299</v>
      </c>
      <c r="I127" s="134" t="s">
        <v>2306</v>
      </c>
      <c r="J127" s="134" t="s">
        <v>2028</v>
      </c>
      <c r="K127" s="134" t="s">
        <v>2307</v>
      </c>
      <c r="L127" s="197" t="s">
        <v>1367</v>
      </c>
      <c r="M127" s="21" t="s">
        <v>1415</v>
      </c>
      <c r="N127" s="21" t="s">
        <v>1369</v>
      </c>
      <c r="R127" s="2"/>
      <c r="W127" s="6"/>
      <c r="X127" s="6"/>
    </row>
    <row r="128" spans="1:24" s="21" customFormat="1" ht="57.6">
      <c r="A128" s="246" t="s">
        <v>2308</v>
      </c>
      <c r="B128" s="408"/>
      <c r="C128" s="2" t="s">
        <v>2201</v>
      </c>
      <c r="D128" s="134" t="s">
        <v>2309</v>
      </c>
      <c r="E128" s="134" t="s">
        <v>2310</v>
      </c>
      <c r="F128" s="134" t="s">
        <v>2204</v>
      </c>
      <c r="G128" s="134" t="s">
        <v>2311</v>
      </c>
      <c r="H128" s="134" t="s">
        <v>2312</v>
      </c>
      <c r="I128" s="134" t="s">
        <v>2313</v>
      </c>
      <c r="J128" s="134" t="s">
        <v>2208</v>
      </c>
      <c r="K128" s="134" t="s">
        <v>2314</v>
      </c>
      <c r="L128" s="197" t="s">
        <v>1367</v>
      </c>
      <c r="M128" s="21" t="s">
        <v>1415</v>
      </c>
      <c r="N128" s="21" t="s">
        <v>1369</v>
      </c>
      <c r="R128" s="2"/>
      <c r="W128" s="6"/>
      <c r="X128" s="6"/>
    </row>
    <row r="129" spans="1:33" s="21" customFormat="1" ht="57.6">
      <c r="A129" s="246" t="s">
        <v>2315</v>
      </c>
      <c r="B129" s="408"/>
      <c r="C129" s="2" t="s">
        <v>2201</v>
      </c>
      <c r="D129" s="134" t="s">
        <v>2316</v>
      </c>
      <c r="E129" s="134" t="s">
        <v>2317</v>
      </c>
      <c r="F129" s="134" t="s">
        <v>2204</v>
      </c>
      <c r="G129" s="134" t="s">
        <v>2318</v>
      </c>
      <c r="H129" s="134" t="s">
        <v>2319</v>
      </c>
      <c r="I129" s="134" t="s">
        <v>2320</v>
      </c>
      <c r="J129" s="134" t="s">
        <v>2208</v>
      </c>
      <c r="K129" s="134" t="s">
        <v>2321</v>
      </c>
      <c r="L129" s="197" t="s">
        <v>1367</v>
      </c>
      <c r="M129" s="21" t="s">
        <v>1415</v>
      </c>
      <c r="N129" s="21" t="s">
        <v>1369</v>
      </c>
      <c r="R129" s="2"/>
      <c r="W129" s="6"/>
      <c r="X129" s="6"/>
    </row>
    <row r="130" spans="1:33" s="21" customFormat="1" ht="72">
      <c r="A130" s="246" t="s">
        <v>2322</v>
      </c>
      <c r="B130" s="408"/>
      <c r="C130" s="2" t="s">
        <v>2201</v>
      </c>
      <c r="D130" s="134" t="s">
        <v>2323</v>
      </c>
      <c r="E130" s="134" t="s">
        <v>2324</v>
      </c>
      <c r="F130" s="134" t="s">
        <v>2204</v>
      </c>
      <c r="G130" s="134" t="s">
        <v>2325</v>
      </c>
      <c r="H130" s="134" t="s">
        <v>2161</v>
      </c>
      <c r="I130" s="134" t="s">
        <v>2326</v>
      </c>
      <c r="J130" s="134" t="s">
        <v>2208</v>
      </c>
      <c r="K130" s="134" t="s">
        <v>2327</v>
      </c>
      <c r="L130" s="196" t="s">
        <v>1381</v>
      </c>
      <c r="M130" s="21" t="s">
        <v>1415</v>
      </c>
      <c r="N130" s="21" t="s">
        <v>1369</v>
      </c>
      <c r="R130" s="2"/>
      <c r="W130" s="6"/>
      <c r="X130" s="6"/>
    </row>
    <row r="131" spans="1:33" s="21" customFormat="1" ht="57.6">
      <c r="A131" s="246" t="s">
        <v>2328</v>
      </c>
      <c r="B131" s="408"/>
      <c r="C131" s="2" t="s">
        <v>2201</v>
      </c>
      <c r="D131" s="134" t="s">
        <v>2329</v>
      </c>
      <c r="E131" s="134" t="s">
        <v>2330</v>
      </c>
      <c r="F131" s="134" t="s">
        <v>2204</v>
      </c>
      <c r="G131" s="134" t="s">
        <v>2331</v>
      </c>
      <c r="H131" s="134" t="s">
        <v>2332</v>
      </c>
      <c r="I131" s="134" t="s">
        <v>2333</v>
      </c>
      <c r="J131" s="134" t="s">
        <v>2028</v>
      </c>
      <c r="K131" s="134" t="s">
        <v>2334</v>
      </c>
      <c r="L131" s="197" t="s">
        <v>1367</v>
      </c>
      <c r="M131" s="21" t="s">
        <v>1415</v>
      </c>
      <c r="N131" s="21" t="s">
        <v>1369</v>
      </c>
      <c r="R131" s="2"/>
      <c r="W131" s="6"/>
      <c r="X131" s="6"/>
    </row>
    <row r="132" spans="1:33" s="21" customFormat="1" ht="57.6">
      <c r="A132" s="246" t="s">
        <v>2335</v>
      </c>
      <c r="B132" s="408"/>
      <c r="C132" s="2" t="s">
        <v>2201</v>
      </c>
      <c r="D132" s="134" t="s">
        <v>2336</v>
      </c>
      <c r="E132" s="134" t="s">
        <v>2337</v>
      </c>
      <c r="F132" s="134" t="s">
        <v>2204</v>
      </c>
      <c r="G132" s="134" t="s">
        <v>2338</v>
      </c>
      <c r="H132" s="134" t="s">
        <v>2339</v>
      </c>
      <c r="I132" s="134" t="s">
        <v>2340</v>
      </c>
      <c r="J132" s="134" t="s">
        <v>2028</v>
      </c>
      <c r="K132" s="134" t="s">
        <v>2341</v>
      </c>
      <c r="L132" s="197" t="s">
        <v>1367</v>
      </c>
      <c r="M132" s="21" t="s">
        <v>1415</v>
      </c>
      <c r="N132" s="21" t="s">
        <v>1369</v>
      </c>
      <c r="R132" s="2"/>
      <c r="W132" s="6"/>
      <c r="X132" s="6"/>
    </row>
    <row r="133" spans="1:33" s="21" customFormat="1" ht="57.6">
      <c r="A133" s="246" t="s">
        <v>2342</v>
      </c>
      <c r="B133" s="408"/>
      <c r="C133" s="2" t="s">
        <v>2201</v>
      </c>
      <c r="D133" s="134" t="s">
        <v>2343</v>
      </c>
      <c r="E133" s="134" t="s">
        <v>2344</v>
      </c>
      <c r="F133" s="134" t="s">
        <v>2204</v>
      </c>
      <c r="G133" s="134" t="s">
        <v>2345</v>
      </c>
      <c r="H133" s="134" t="s">
        <v>2197</v>
      </c>
      <c r="I133" s="134" t="s">
        <v>2346</v>
      </c>
      <c r="J133" s="134" t="s">
        <v>2028</v>
      </c>
      <c r="K133" s="134" t="s">
        <v>2347</v>
      </c>
      <c r="L133" s="197" t="s">
        <v>1367</v>
      </c>
      <c r="M133" s="21" t="s">
        <v>1415</v>
      </c>
      <c r="N133" s="21" t="s">
        <v>1369</v>
      </c>
      <c r="R133" s="2"/>
      <c r="W133" s="6"/>
      <c r="X133" s="6"/>
    </row>
    <row r="134" spans="1:33" s="21" customFormat="1" ht="57.6">
      <c r="A134" s="246" t="s">
        <v>2348</v>
      </c>
      <c r="B134" s="408"/>
      <c r="C134" s="2" t="s">
        <v>2201</v>
      </c>
      <c r="D134" s="134" t="s">
        <v>2349</v>
      </c>
      <c r="E134" s="134" t="s">
        <v>2350</v>
      </c>
      <c r="F134" s="134" t="s">
        <v>2204</v>
      </c>
      <c r="G134" s="134" t="s">
        <v>2351</v>
      </c>
      <c r="H134" s="134" t="s">
        <v>2352</v>
      </c>
      <c r="I134" s="134" t="s">
        <v>2353</v>
      </c>
      <c r="J134" s="134" t="s">
        <v>2028</v>
      </c>
      <c r="K134" s="134" t="s">
        <v>2354</v>
      </c>
      <c r="L134" s="197" t="s">
        <v>1367</v>
      </c>
      <c r="M134" s="21" t="s">
        <v>1415</v>
      </c>
      <c r="N134" s="21" t="s">
        <v>1369</v>
      </c>
      <c r="R134" s="2"/>
      <c r="W134" s="6"/>
      <c r="X134" s="6"/>
    </row>
    <row r="135" spans="1:33" s="21" customFormat="1" ht="57.6">
      <c r="A135" s="246" t="s">
        <v>2355</v>
      </c>
      <c r="B135" s="408"/>
      <c r="C135" s="2" t="s">
        <v>2201</v>
      </c>
      <c r="D135" s="134" t="s">
        <v>2356</v>
      </c>
      <c r="E135" s="134" t="s">
        <v>2357</v>
      </c>
      <c r="F135" s="134" t="s">
        <v>2204</v>
      </c>
      <c r="G135" s="134" t="s">
        <v>2358</v>
      </c>
      <c r="H135" s="134" t="s">
        <v>2359</v>
      </c>
      <c r="I135" s="134" t="s">
        <v>2360</v>
      </c>
      <c r="J135" s="134" t="s">
        <v>2028</v>
      </c>
      <c r="K135" s="134" t="s">
        <v>2361</v>
      </c>
      <c r="L135" s="197" t="s">
        <v>1367</v>
      </c>
      <c r="M135" s="21" t="s">
        <v>1415</v>
      </c>
      <c r="N135" s="21" t="s">
        <v>1369</v>
      </c>
      <c r="R135" s="2"/>
      <c r="W135" s="6"/>
      <c r="X135" s="6"/>
    </row>
    <row r="136" spans="1:33" s="21" customFormat="1" ht="57.6">
      <c r="A136" s="246" t="s">
        <v>2362</v>
      </c>
      <c r="B136" s="408"/>
      <c r="C136" s="2" t="s">
        <v>2201</v>
      </c>
      <c r="D136" s="134" t="s">
        <v>2363</v>
      </c>
      <c r="E136" s="134" t="s">
        <v>2364</v>
      </c>
      <c r="F136" s="134" t="s">
        <v>2204</v>
      </c>
      <c r="G136" s="134" t="s">
        <v>2365</v>
      </c>
      <c r="H136" s="134" t="s">
        <v>2366</v>
      </c>
      <c r="I136" s="134" t="s">
        <v>2367</v>
      </c>
      <c r="J136" s="134" t="s">
        <v>2208</v>
      </c>
      <c r="K136" s="134" t="s">
        <v>2368</v>
      </c>
      <c r="L136" s="197" t="s">
        <v>1367</v>
      </c>
      <c r="M136" s="21" t="s">
        <v>1415</v>
      </c>
      <c r="N136" s="21" t="s">
        <v>1369</v>
      </c>
      <c r="R136" s="2"/>
      <c r="W136" s="6"/>
      <c r="X136" s="6"/>
    </row>
    <row r="137" spans="1:33" s="21" customFormat="1" ht="57.6">
      <c r="A137" s="246" t="s">
        <v>2369</v>
      </c>
      <c r="B137" s="408"/>
      <c r="C137" s="2" t="s">
        <v>2201</v>
      </c>
      <c r="D137" s="134" t="s">
        <v>2370</v>
      </c>
      <c r="E137" s="134" t="s">
        <v>2371</v>
      </c>
      <c r="F137" s="134" t="s">
        <v>2204</v>
      </c>
      <c r="G137" s="134" t="s">
        <v>2372</v>
      </c>
      <c r="H137" s="134" t="s">
        <v>2373</v>
      </c>
      <c r="I137" s="134" t="s">
        <v>2374</v>
      </c>
      <c r="J137" s="134" t="s">
        <v>2028</v>
      </c>
      <c r="K137" s="134" t="s">
        <v>2375</v>
      </c>
      <c r="L137" s="197" t="s">
        <v>1367</v>
      </c>
      <c r="M137" s="21" t="s">
        <v>1415</v>
      </c>
      <c r="R137" s="2"/>
      <c r="W137" s="6"/>
      <c r="X137" s="6"/>
      <c r="AG137" s="78"/>
    </row>
    <row r="138" spans="1:33" s="78" customFormat="1">
      <c r="A138" s="84"/>
      <c r="B138" s="289"/>
      <c r="C138" s="44"/>
      <c r="D138" s="188"/>
      <c r="E138" s="188"/>
      <c r="F138" s="188"/>
      <c r="G138" s="188"/>
      <c r="H138" s="188"/>
      <c r="I138" s="188"/>
      <c r="J138" s="188"/>
      <c r="K138" s="188"/>
      <c r="L138" s="192"/>
      <c r="R138" s="44"/>
      <c r="W138" s="6"/>
      <c r="X138" s="6"/>
      <c r="AG138" s="21"/>
    </row>
    <row r="139" spans="1:33" s="21" customFormat="1" ht="57.6">
      <c r="A139" s="246" t="s">
        <v>2376</v>
      </c>
      <c r="B139" s="289"/>
      <c r="C139" s="2" t="s">
        <v>2377</v>
      </c>
      <c r="D139" s="134" t="s">
        <v>2378</v>
      </c>
      <c r="E139" s="134" t="s">
        <v>2379</v>
      </c>
      <c r="F139" s="134" t="s">
        <v>2380</v>
      </c>
      <c r="G139" s="134" t="s">
        <v>2381</v>
      </c>
      <c r="H139" s="134" t="s">
        <v>2382</v>
      </c>
      <c r="I139" s="134" t="s">
        <v>2383</v>
      </c>
      <c r="J139" s="134" t="s">
        <v>2384</v>
      </c>
      <c r="K139" s="134" t="s">
        <v>2385</v>
      </c>
      <c r="L139" s="197" t="s">
        <v>1367</v>
      </c>
      <c r="M139" s="21" t="s">
        <v>1415</v>
      </c>
      <c r="R139" s="2"/>
      <c r="W139" s="81"/>
      <c r="X139" s="81"/>
    </row>
    <row r="140" spans="1:33" s="21" customFormat="1" ht="57.6">
      <c r="A140" s="246" t="s">
        <v>2386</v>
      </c>
      <c r="B140" s="289"/>
      <c r="C140" s="2" t="s">
        <v>2377</v>
      </c>
      <c r="D140" s="134" t="s">
        <v>2387</v>
      </c>
      <c r="E140" s="134" t="s">
        <v>2388</v>
      </c>
      <c r="F140" s="134" t="s">
        <v>2380</v>
      </c>
      <c r="G140" s="134" t="s">
        <v>2389</v>
      </c>
      <c r="H140" s="134" t="s">
        <v>2390</v>
      </c>
      <c r="I140" s="134" t="s">
        <v>2391</v>
      </c>
      <c r="J140" s="134" t="s">
        <v>2384</v>
      </c>
      <c r="K140" s="134" t="s">
        <v>2392</v>
      </c>
      <c r="L140" s="197" t="s">
        <v>1367</v>
      </c>
      <c r="M140" s="21" t="s">
        <v>1415</v>
      </c>
      <c r="N140" s="21" t="s">
        <v>1369</v>
      </c>
      <c r="R140" s="2"/>
      <c r="W140" s="6"/>
      <c r="X140" s="6"/>
    </row>
    <row r="141" spans="1:33" s="21" customFormat="1" ht="57.6">
      <c r="A141" s="246" t="s">
        <v>2393</v>
      </c>
      <c r="B141" s="289"/>
      <c r="C141" s="2" t="s">
        <v>2377</v>
      </c>
      <c r="D141" s="134" t="s">
        <v>2394</v>
      </c>
      <c r="E141" s="134" t="s">
        <v>2395</v>
      </c>
      <c r="F141" s="134" t="s">
        <v>2380</v>
      </c>
      <c r="G141" s="134" t="s">
        <v>2396</v>
      </c>
      <c r="H141" s="134" t="s">
        <v>2397</v>
      </c>
      <c r="I141" s="134" t="s">
        <v>2398</v>
      </c>
      <c r="J141" s="134" t="s">
        <v>2384</v>
      </c>
      <c r="K141" s="134" t="s">
        <v>2399</v>
      </c>
      <c r="L141" s="197" t="s">
        <v>1367</v>
      </c>
      <c r="M141" s="21" t="s">
        <v>1415</v>
      </c>
      <c r="N141" s="21" t="s">
        <v>1369</v>
      </c>
      <c r="R141" s="2"/>
      <c r="W141" s="6"/>
      <c r="X141" s="6"/>
    </row>
    <row r="142" spans="1:33" s="21" customFormat="1" ht="57.6">
      <c r="A142" s="246" t="s">
        <v>2400</v>
      </c>
      <c r="B142" s="289"/>
      <c r="C142" s="2" t="s">
        <v>2377</v>
      </c>
      <c r="D142" s="134" t="s">
        <v>2401</v>
      </c>
      <c r="E142" s="134" t="s">
        <v>2402</v>
      </c>
      <c r="F142" s="134" t="s">
        <v>2380</v>
      </c>
      <c r="G142" s="134" t="s">
        <v>2403</v>
      </c>
      <c r="H142" s="134" t="s">
        <v>2404</v>
      </c>
      <c r="I142" s="134" t="s">
        <v>2405</v>
      </c>
      <c r="J142" s="134" t="s">
        <v>2384</v>
      </c>
      <c r="K142" s="134" t="s">
        <v>2406</v>
      </c>
      <c r="L142" s="197" t="s">
        <v>1367</v>
      </c>
      <c r="M142" s="21" t="s">
        <v>1415</v>
      </c>
      <c r="N142" s="21" t="s">
        <v>1369</v>
      </c>
      <c r="R142" s="2"/>
      <c r="W142" s="6"/>
      <c r="X142" s="6"/>
    </row>
    <row r="143" spans="1:33" s="21" customFormat="1" ht="57.6">
      <c r="A143" s="246" t="s">
        <v>2407</v>
      </c>
      <c r="B143" s="289"/>
      <c r="C143" s="2" t="s">
        <v>2377</v>
      </c>
      <c r="D143" s="134" t="s">
        <v>2408</v>
      </c>
      <c r="E143" s="134" t="s">
        <v>2409</v>
      </c>
      <c r="F143" s="134" t="s">
        <v>2380</v>
      </c>
      <c r="G143" s="134" t="s">
        <v>2410</v>
      </c>
      <c r="H143" s="134" t="s">
        <v>2411</v>
      </c>
      <c r="I143" s="134" t="s">
        <v>2412</v>
      </c>
      <c r="J143" s="134" t="s">
        <v>2384</v>
      </c>
      <c r="K143" s="134" t="s">
        <v>2413</v>
      </c>
      <c r="L143" s="197" t="s">
        <v>1367</v>
      </c>
      <c r="M143" s="21" t="s">
        <v>1415</v>
      </c>
      <c r="N143" s="21" t="s">
        <v>1369</v>
      </c>
      <c r="R143" s="2"/>
      <c r="W143" s="6"/>
      <c r="X143" s="6"/>
    </row>
    <row r="144" spans="1:33" s="21" customFormat="1" ht="57.6">
      <c r="A144" s="246" t="s">
        <v>2414</v>
      </c>
      <c r="B144" s="289"/>
      <c r="C144" s="2" t="s">
        <v>2377</v>
      </c>
      <c r="D144" s="134" t="s">
        <v>2415</v>
      </c>
      <c r="E144" s="134" t="s">
        <v>2416</v>
      </c>
      <c r="F144" s="134" t="s">
        <v>2380</v>
      </c>
      <c r="G144" s="134" t="s">
        <v>2298</v>
      </c>
      <c r="H144" s="134" t="s">
        <v>2299</v>
      </c>
      <c r="I144" s="134" t="s">
        <v>2417</v>
      </c>
      <c r="J144" s="134" t="s">
        <v>2384</v>
      </c>
      <c r="K144" s="134" t="s">
        <v>2418</v>
      </c>
      <c r="L144" s="197" t="s">
        <v>1367</v>
      </c>
      <c r="M144" s="21" t="s">
        <v>1415</v>
      </c>
      <c r="N144" s="21" t="s">
        <v>1369</v>
      </c>
      <c r="R144" s="2"/>
      <c r="W144" s="6"/>
      <c r="X144" s="6"/>
    </row>
    <row r="145" spans="1:24" s="21" customFormat="1" ht="57.6">
      <c r="A145" s="246" t="s">
        <v>2419</v>
      </c>
      <c r="B145" s="289"/>
      <c r="C145" s="2" t="s">
        <v>2377</v>
      </c>
      <c r="D145" s="134" t="s">
        <v>2420</v>
      </c>
      <c r="E145" s="134" t="s">
        <v>2421</v>
      </c>
      <c r="F145" s="134" t="s">
        <v>2380</v>
      </c>
      <c r="G145" s="134" t="s">
        <v>2422</v>
      </c>
      <c r="H145" s="134" t="s">
        <v>2161</v>
      </c>
      <c r="I145" s="134" t="s">
        <v>2423</v>
      </c>
      <c r="J145" s="134" t="s">
        <v>2384</v>
      </c>
      <c r="K145" s="134" t="s">
        <v>2424</v>
      </c>
      <c r="L145" s="197" t="s">
        <v>1367</v>
      </c>
      <c r="M145" s="21" t="s">
        <v>1415</v>
      </c>
      <c r="N145" s="21" t="s">
        <v>1369</v>
      </c>
      <c r="R145" s="2"/>
      <c r="W145" s="6"/>
      <c r="X145" s="6"/>
    </row>
    <row r="146" spans="1:24" s="21" customFormat="1" ht="57.6">
      <c r="A146" s="246" t="s">
        <v>2425</v>
      </c>
      <c r="B146" s="289"/>
      <c r="C146" s="2" t="s">
        <v>2377</v>
      </c>
      <c r="D146" s="134" t="s">
        <v>2426</v>
      </c>
      <c r="E146" s="134" t="s">
        <v>2427</v>
      </c>
      <c r="F146" s="134" t="s">
        <v>2380</v>
      </c>
      <c r="G146" s="134" t="s">
        <v>2428</v>
      </c>
      <c r="H146" s="134" t="s">
        <v>2429</v>
      </c>
      <c r="I146" s="134" t="s">
        <v>2430</v>
      </c>
      <c r="J146" s="134" t="s">
        <v>2384</v>
      </c>
      <c r="K146" s="134" t="s">
        <v>2431</v>
      </c>
      <c r="L146" s="197" t="s">
        <v>1367</v>
      </c>
      <c r="M146" s="21" t="s">
        <v>1415</v>
      </c>
      <c r="N146" s="21" t="s">
        <v>1369</v>
      </c>
      <c r="R146" s="2"/>
      <c r="W146" s="6"/>
      <c r="X146" s="6"/>
    </row>
    <row r="147" spans="1:24" s="21" customFormat="1" ht="57.6">
      <c r="A147" s="246" t="s">
        <v>2432</v>
      </c>
      <c r="B147" s="289"/>
      <c r="C147" s="2" t="s">
        <v>2377</v>
      </c>
      <c r="D147" s="134" t="s">
        <v>2433</v>
      </c>
      <c r="E147" s="134" t="s">
        <v>2434</v>
      </c>
      <c r="F147" s="134" t="s">
        <v>2380</v>
      </c>
      <c r="G147" s="134" t="s">
        <v>2435</v>
      </c>
      <c r="H147" s="134" t="s">
        <v>2436</v>
      </c>
      <c r="I147" s="134" t="s">
        <v>2437</v>
      </c>
      <c r="J147" s="134" t="s">
        <v>2384</v>
      </c>
      <c r="K147" s="134" t="s">
        <v>2438</v>
      </c>
      <c r="L147" s="197" t="s">
        <v>1367</v>
      </c>
      <c r="M147" s="21" t="s">
        <v>1415</v>
      </c>
      <c r="N147" s="21" t="s">
        <v>1369</v>
      </c>
      <c r="R147" s="2"/>
      <c r="W147" s="6"/>
      <c r="X147" s="6"/>
    </row>
    <row r="148" spans="1:24" s="21" customFormat="1" ht="57.6">
      <c r="A148" s="246" t="s">
        <v>2439</v>
      </c>
      <c r="B148" s="289"/>
      <c r="C148" s="2" t="s">
        <v>2377</v>
      </c>
      <c r="D148" s="134" t="s">
        <v>2440</v>
      </c>
      <c r="E148" s="134" t="s">
        <v>2441</v>
      </c>
      <c r="F148" s="134" t="s">
        <v>2380</v>
      </c>
      <c r="G148" s="134" t="s">
        <v>2442</v>
      </c>
      <c r="H148" s="134" t="s">
        <v>2443</v>
      </c>
      <c r="I148" s="134" t="s">
        <v>2444</v>
      </c>
      <c r="J148" s="134" t="s">
        <v>2384</v>
      </c>
      <c r="K148" s="134" t="s">
        <v>2445</v>
      </c>
      <c r="L148" s="197" t="s">
        <v>1367</v>
      </c>
      <c r="M148" s="21" t="s">
        <v>1415</v>
      </c>
      <c r="N148" s="21" t="s">
        <v>1369</v>
      </c>
      <c r="Q148" s="21" t="s">
        <v>1404</v>
      </c>
      <c r="R148" s="2" t="s">
        <v>2446</v>
      </c>
      <c r="W148" s="6"/>
      <c r="X148" s="6"/>
    </row>
    <row r="149" spans="1:24" s="21" customFormat="1" ht="72">
      <c r="A149" s="246" t="s">
        <v>2447</v>
      </c>
      <c r="B149" s="289"/>
      <c r="C149" s="2" t="s">
        <v>2377</v>
      </c>
      <c r="D149" s="134" t="s">
        <v>2448</v>
      </c>
      <c r="E149" s="134" t="s">
        <v>2449</v>
      </c>
      <c r="F149" s="134" t="s">
        <v>2380</v>
      </c>
      <c r="G149" s="134" t="s">
        <v>2450</v>
      </c>
      <c r="H149" s="134" t="s">
        <v>2451</v>
      </c>
      <c r="I149" s="134" t="s">
        <v>2452</v>
      </c>
      <c r="J149" s="134" t="s">
        <v>2384</v>
      </c>
      <c r="K149" s="134" t="s">
        <v>2453</v>
      </c>
      <c r="L149" s="196" t="s">
        <v>1381</v>
      </c>
      <c r="M149" s="21" t="s">
        <v>1415</v>
      </c>
      <c r="N149" s="21" t="s">
        <v>1369</v>
      </c>
      <c r="Q149" s="21" t="s">
        <v>1404</v>
      </c>
      <c r="R149" s="2" t="s">
        <v>2454</v>
      </c>
      <c r="W149" s="6"/>
      <c r="X149" s="6"/>
    </row>
    <row r="150" spans="1:24" s="21" customFormat="1" ht="57.6">
      <c r="A150" s="246" t="s">
        <v>2455</v>
      </c>
      <c r="B150" s="289"/>
      <c r="C150" s="2" t="s">
        <v>2377</v>
      </c>
      <c r="D150" s="134" t="s">
        <v>2456</v>
      </c>
      <c r="E150" s="134" t="s">
        <v>2457</v>
      </c>
      <c r="F150" s="134" t="s">
        <v>2380</v>
      </c>
      <c r="G150" s="134" t="s">
        <v>2458</v>
      </c>
      <c r="H150" s="134" t="s">
        <v>2459</v>
      </c>
      <c r="I150" s="134" t="s">
        <v>2460</v>
      </c>
      <c r="J150" s="134" t="s">
        <v>2384</v>
      </c>
      <c r="K150" s="134" t="s">
        <v>2461</v>
      </c>
      <c r="L150" s="197" t="s">
        <v>1367</v>
      </c>
      <c r="M150" s="21" t="s">
        <v>1415</v>
      </c>
      <c r="N150" s="21" t="s">
        <v>1369</v>
      </c>
      <c r="R150" s="2"/>
      <c r="W150" s="6"/>
      <c r="X150" s="6"/>
    </row>
    <row r="151" spans="1:24" s="21" customFormat="1" ht="57.6">
      <c r="A151" s="246" t="s">
        <v>2462</v>
      </c>
      <c r="B151" s="289"/>
      <c r="C151" s="2" t="s">
        <v>2377</v>
      </c>
      <c r="D151" s="134" t="s">
        <v>2463</v>
      </c>
      <c r="E151" s="134" t="s">
        <v>2464</v>
      </c>
      <c r="F151" s="134" t="s">
        <v>2380</v>
      </c>
      <c r="G151" s="134" t="s">
        <v>2465</v>
      </c>
      <c r="H151" s="134" t="s">
        <v>2466</v>
      </c>
      <c r="I151" s="134" t="s">
        <v>2467</v>
      </c>
      <c r="J151" s="134" t="s">
        <v>2384</v>
      </c>
      <c r="K151" s="134" t="s">
        <v>2468</v>
      </c>
      <c r="L151" s="197" t="s">
        <v>1367</v>
      </c>
      <c r="M151" s="21" t="s">
        <v>1415</v>
      </c>
      <c r="N151" s="21" t="s">
        <v>1369</v>
      </c>
      <c r="R151" s="2"/>
      <c r="W151" s="6"/>
      <c r="X151" s="6"/>
    </row>
    <row r="152" spans="1:24" s="21" customFormat="1" ht="57.6">
      <c r="A152" s="246" t="s">
        <v>2469</v>
      </c>
      <c r="B152" s="289"/>
      <c r="C152" s="2" t="s">
        <v>2377</v>
      </c>
      <c r="D152" s="134" t="s">
        <v>2470</v>
      </c>
      <c r="E152" s="134" t="s">
        <v>2471</v>
      </c>
      <c r="F152" s="134" t="s">
        <v>2380</v>
      </c>
      <c r="G152" s="134" t="s">
        <v>2472</v>
      </c>
      <c r="H152" s="134" t="s">
        <v>2473</v>
      </c>
      <c r="I152" s="134" t="s">
        <v>2474</v>
      </c>
      <c r="J152" s="134" t="s">
        <v>2384</v>
      </c>
      <c r="K152" s="134" t="s">
        <v>2475</v>
      </c>
      <c r="L152" s="197" t="s">
        <v>1367</v>
      </c>
      <c r="M152" s="21" t="s">
        <v>1415</v>
      </c>
      <c r="N152" s="21" t="s">
        <v>1369</v>
      </c>
      <c r="R152" s="2"/>
      <c r="W152" s="6"/>
      <c r="X152" s="6"/>
    </row>
    <row r="153" spans="1:24" s="21" customFormat="1" ht="57.6">
      <c r="A153" s="246" t="s">
        <v>2476</v>
      </c>
      <c r="B153" s="289"/>
      <c r="C153" s="2" t="s">
        <v>2377</v>
      </c>
      <c r="D153" s="134" t="s">
        <v>2477</v>
      </c>
      <c r="E153" s="134" t="s">
        <v>2478</v>
      </c>
      <c r="F153" s="134" t="s">
        <v>2380</v>
      </c>
      <c r="G153" s="134" t="s">
        <v>2479</v>
      </c>
      <c r="H153" s="134" t="s">
        <v>2480</v>
      </c>
      <c r="I153" s="134" t="s">
        <v>2481</v>
      </c>
      <c r="J153" s="134" t="s">
        <v>2384</v>
      </c>
      <c r="K153" s="134" t="s">
        <v>2482</v>
      </c>
      <c r="L153" s="197" t="s">
        <v>1367</v>
      </c>
      <c r="M153" s="21" t="s">
        <v>1415</v>
      </c>
      <c r="N153" s="21" t="s">
        <v>1369</v>
      </c>
      <c r="R153" s="2"/>
      <c r="W153" s="6"/>
      <c r="X153" s="6"/>
    </row>
    <row r="154" spans="1:24" s="21" customFormat="1" ht="57.6">
      <c r="A154" s="246" t="s">
        <v>2483</v>
      </c>
      <c r="B154" s="289"/>
      <c r="C154" s="2" t="s">
        <v>2377</v>
      </c>
      <c r="D154" s="134" t="s">
        <v>2484</v>
      </c>
      <c r="E154" s="134" t="s">
        <v>2485</v>
      </c>
      <c r="F154" s="134" t="s">
        <v>2380</v>
      </c>
      <c r="G154" s="134" t="s">
        <v>2486</v>
      </c>
      <c r="H154" s="134" t="s">
        <v>2487</v>
      </c>
      <c r="I154" s="134" t="s">
        <v>2488</v>
      </c>
      <c r="J154" s="134" t="s">
        <v>2384</v>
      </c>
      <c r="K154" s="134" t="s">
        <v>2489</v>
      </c>
      <c r="L154" s="197" t="s">
        <v>1367</v>
      </c>
      <c r="M154" s="21" t="s">
        <v>1415</v>
      </c>
      <c r="N154" s="21" t="s">
        <v>1369</v>
      </c>
      <c r="R154" s="2"/>
      <c r="W154" s="6"/>
      <c r="X154" s="6"/>
    </row>
    <row r="155" spans="1:24" s="21" customFormat="1" ht="57.6">
      <c r="A155" s="246" t="s">
        <v>2490</v>
      </c>
      <c r="B155" s="289"/>
      <c r="C155" s="2" t="s">
        <v>2377</v>
      </c>
      <c r="D155" s="134" t="s">
        <v>2491</v>
      </c>
      <c r="E155" s="134" t="s">
        <v>2492</v>
      </c>
      <c r="F155" s="134" t="s">
        <v>2380</v>
      </c>
      <c r="G155" s="134" t="s">
        <v>2493</v>
      </c>
      <c r="H155" s="134" t="s">
        <v>2161</v>
      </c>
      <c r="I155" s="134" t="s">
        <v>2494</v>
      </c>
      <c r="J155" s="134" t="s">
        <v>2384</v>
      </c>
      <c r="K155" s="134" t="s">
        <v>2495</v>
      </c>
      <c r="L155" s="197" t="s">
        <v>1367</v>
      </c>
      <c r="M155" s="21" t="s">
        <v>1415</v>
      </c>
      <c r="N155" s="21" t="s">
        <v>1369</v>
      </c>
      <c r="R155" s="2"/>
      <c r="W155" s="6"/>
      <c r="X155" s="6"/>
    </row>
    <row r="156" spans="1:24" s="21" customFormat="1" ht="57.6">
      <c r="A156" s="246" t="s">
        <v>2496</v>
      </c>
      <c r="B156" s="289"/>
      <c r="C156" s="2" t="s">
        <v>2377</v>
      </c>
      <c r="D156" s="134" t="s">
        <v>2497</v>
      </c>
      <c r="E156" s="134" t="s">
        <v>2498</v>
      </c>
      <c r="F156" s="134" t="s">
        <v>2380</v>
      </c>
      <c r="G156" s="134" t="s">
        <v>2499</v>
      </c>
      <c r="H156" s="134" t="s">
        <v>2500</v>
      </c>
      <c r="I156" s="134" t="s">
        <v>2501</v>
      </c>
      <c r="J156" s="134" t="s">
        <v>2028</v>
      </c>
      <c r="K156" s="134" t="s">
        <v>2502</v>
      </c>
      <c r="L156" s="197" t="s">
        <v>1367</v>
      </c>
      <c r="M156" s="21" t="s">
        <v>1415</v>
      </c>
      <c r="N156" s="21" t="s">
        <v>1369</v>
      </c>
      <c r="R156" s="2"/>
      <c r="W156" s="6"/>
      <c r="X156" s="6"/>
    </row>
    <row r="157" spans="1:24" s="21" customFormat="1" ht="57.6">
      <c r="A157" s="246" t="s">
        <v>2503</v>
      </c>
      <c r="B157" s="289"/>
      <c r="C157" s="2" t="s">
        <v>2377</v>
      </c>
      <c r="D157" s="134" t="s">
        <v>2504</v>
      </c>
      <c r="E157" s="134" t="s">
        <v>2505</v>
      </c>
      <c r="F157" s="134" t="s">
        <v>2380</v>
      </c>
      <c r="G157" s="134" t="s">
        <v>2506</v>
      </c>
      <c r="H157" s="134" t="s">
        <v>2507</v>
      </c>
      <c r="I157" s="134" t="s">
        <v>2508</v>
      </c>
      <c r="J157" s="134" t="s">
        <v>2028</v>
      </c>
      <c r="K157" s="134" t="s">
        <v>2509</v>
      </c>
      <c r="L157" s="197" t="s">
        <v>1367</v>
      </c>
      <c r="M157" s="21" t="s">
        <v>1415</v>
      </c>
      <c r="N157" s="21" t="s">
        <v>1369</v>
      </c>
      <c r="R157" s="2"/>
      <c r="W157" s="6"/>
      <c r="X157" s="6"/>
    </row>
    <row r="158" spans="1:24" s="21" customFormat="1" ht="57.6">
      <c r="A158" s="246" t="s">
        <v>2510</v>
      </c>
      <c r="B158" s="289"/>
      <c r="C158" s="2" t="s">
        <v>2377</v>
      </c>
      <c r="D158" s="134" t="s">
        <v>2511</v>
      </c>
      <c r="E158" s="134" t="s">
        <v>2512</v>
      </c>
      <c r="F158" s="134" t="s">
        <v>2380</v>
      </c>
      <c r="G158" s="134" t="s">
        <v>2513</v>
      </c>
      <c r="H158" s="134" t="s">
        <v>2176</v>
      </c>
      <c r="I158" s="134" t="s">
        <v>2514</v>
      </c>
      <c r="J158" s="134" t="s">
        <v>2384</v>
      </c>
      <c r="K158" s="134" t="s">
        <v>2515</v>
      </c>
      <c r="L158" s="197" t="s">
        <v>1367</v>
      </c>
      <c r="M158" s="21" t="s">
        <v>1415</v>
      </c>
      <c r="N158" s="21" t="s">
        <v>1369</v>
      </c>
      <c r="R158" s="2"/>
      <c r="W158" s="6"/>
      <c r="X158" s="6"/>
    </row>
    <row r="159" spans="1:24" s="21" customFormat="1" ht="72">
      <c r="A159" s="246" t="s">
        <v>2516</v>
      </c>
      <c r="B159" s="289"/>
      <c r="C159" s="2" t="s">
        <v>2377</v>
      </c>
      <c r="D159" s="134" t="s">
        <v>2517</v>
      </c>
      <c r="E159" s="134" t="s">
        <v>2518</v>
      </c>
      <c r="F159" s="134" t="s">
        <v>2380</v>
      </c>
      <c r="G159" s="134" t="s">
        <v>2519</v>
      </c>
      <c r="H159" s="134" t="s">
        <v>2161</v>
      </c>
      <c r="I159" s="134" t="s">
        <v>2520</v>
      </c>
      <c r="J159" s="134" t="s">
        <v>2384</v>
      </c>
      <c r="K159" s="134" t="s">
        <v>2521</v>
      </c>
      <c r="L159" s="196" t="s">
        <v>1381</v>
      </c>
      <c r="M159" s="21" t="s">
        <v>1415</v>
      </c>
      <c r="N159" s="21" t="s">
        <v>1369</v>
      </c>
      <c r="R159" s="2"/>
      <c r="W159" s="6"/>
      <c r="X159" s="6"/>
    </row>
    <row r="160" spans="1:24" s="21" customFormat="1" ht="57.6">
      <c r="A160" s="246" t="s">
        <v>2522</v>
      </c>
      <c r="B160" s="289"/>
      <c r="C160" s="2" t="s">
        <v>2377</v>
      </c>
      <c r="D160" s="134" t="s">
        <v>2523</v>
      </c>
      <c r="E160" s="134" t="s">
        <v>2524</v>
      </c>
      <c r="F160" s="134" t="s">
        <v>2380</v>
      </c>
      <c r="G160" s="134" t="s">
        <v>2525</v>
      </c>
      <c r="H160" s="134" t="s">
        <v>2526</v>
      </c>
      <c r="I160" s="134" t="s">
        <v>2527</v>
      </c>
      <c r="J160" s="134" t="s">
        <v>2384</v>
      </c>
      <c r="K160" s="134" t="s">
        <v>2528</v>
      </c>
      <c r="L160" s="197" t="s">
        <v>1367</v>
      </c>
      <c r="M160" s="21" t="s">
        <v>1415</v>
      </c>
      <c r="N160" s="21" t="s">
        <v>1369</v>
      </c>
      <c r="R160" s="2"/>
      <c r="W160" s="6"/>
      <c r="X160" s="6"/>
    </row>
    <row r="161" spans="1:33" s="21" customFormat="1" ht="57.6">
      <c r="A161" s="246" t="s">
        <v>2529</v>
      </c>
      <c r="B161" s="289"/>
      <c r="C161" s="2" t="s">
        <v>2377</v>
      </c>
      <c r="D161" s="134" t="s">
        <v>2530</v>
      </c>
      <c r="E161" s="134" t="s">
        <v>2531</v>
      </c>
      <c r="F161" s="134" t="s">
        <v>2380</v>
      </c>
      <c r="G161" s="134" t="s">
        <v>2532</v>
      </c>
      <c r="H161" s="134" t="s">
        <v>2533</v>
      </c>
      <c r="I161" s="134" t="s">
        <v>2534</v>
      </c>
      <c r="J161" s="134" t="s">
        <v>2384</v>
      </c>
      <c r="K161" s="134" t="s">
        <v>2535</v>
      </c>
      <c r="L161" s="197" t="s">
        <v>1367</v>
      </c>
      <c r="M161" s="21" t="s">
        <v>1415</v>
      </c>
      <c r="N161" s="21" t="s">
        <v>1369</v>
      </c>
      <c r="R161" s="2"/>
      <c r="W161" s="6"/>
      <c r="X161" s="6"/>
    </row>
    <row r="162" spans="1:33" s="21" customFormat="1" ht="57.6">
      <c r="A162" s="246" t="s">
        <v>2536</v>
      </c>
      <c r="B162" s="289"/>
      <c r="C162" s="2" t="s">
        <v>2377</v>
      </c>
      <c r="D162" s="134" t="s">
        <v>2537</v>
      </c>
      <c r="E162" s="134" t="s">
        <v>2538</v>
      </c>
      <c r="F162" s="134" t="s">
        <v>2380</v>
      </c>
      <c r="G162" s="134" t="s">
        <v>2539</v>
      </c>
      <c r="H162" s="134" t="s">
        <v>2540</v>
      </c>
      <c r="I162" s="134" t="s">
        <v>2541</v>
      </c>
      <c r="J162" s="134" t="s">
        <v>2384</v>
      </c>
      <c r="K162" s="134" t="s">
        <v>2542</v>
      </c>
      <c r="L162" s="197" t="s">
        <v>1367</v>
      </c>
      <c r="M162" s="21" t="s">
        <v>1415</v>
      </c>
      <c r="R162" s="2"/>
      <c r="W162" s="6"/>
      <c r="X162" s="6"/>
    </row>
    <row r="163" spans="1:33" s="21" customFormat="1" ht="57.6">
      <c r="A163" s="246" t="s">
        <v>2543</v>
      </c>
      <c r="B163" s="289"/>
      <c r="C163" s="2" t="s">
        <v>2377</v>
      </c>
      <c r="D163" s="134" t="s">
        <v>2544</v>
      </c>
      <c r="E163" s="134" t="s">
        <v>2545</v>
      </c>
      <c r="F163" s="134" t="s">
        <v>2380</v>
      </c>
      <c r="G163" s="134" t="s">
        <v>2546</v>
      </c>
      <c r="H163" s="134" t="s">
        <v>2373</v>
      </c>
      <c r="I163" s="134" t="s">
        <v>2547</v>
      </c>
      <c r="J163" s="134" t="s">
        <v>2028</v>
      </c>
      <c r="K163" s="134" t="s">
        <v>2548</v>
      </c>
      <c r="L163" s="197" t="s">
        <v>1367</v>
      </c>
      <c r="M163" s="21" t="s">
        <v>1415</v>
      </c>
      <c r="R163" s="2"/>
      <c r="W163" s="6"/>
      <c r="X163" s="6"/>
      <c r="AG163" s="78"/>
    </row>
    <row r="164" spans="1:33" s="78" customFormat="1">
      <c r="A164" s="83"/>
      <c r="B164" s="289"/>
      <c r="D164" s="44"/>
      <c r="E164" s="44"/>
      <c r="F164" s="44"/>
      <c r="G164" s="44"/>
      <c r="H164" s="44"/>
      <c r="I164" s="44"/>
      <c r="J164" s="44"/>
      <c r="K164" s="44"/>
      <c r="L164" s="81"/>
      <c r="R164" s="44"/>
      <c r="W164" s="6"/>
      <c r="X164" s="6"/>
      <c r="AG164" s="21"/>
    </row>
    <row r="165" spans="1:33" ht="43.15">
      <c r="A165" s="253" t="s">
        <v>2549</v>
      </c>
      <c r="B165" s="289"/>
      <c r="C165" s="21" t="s">
        <v>2550</v>
      </c>
      <c r="D165" s="2" t="s">
        <v>2551</v>
      </c>
      <c r="E165" s="2" t="s">
        <v>2552</v>
      </c>
      <c r="F165" s="2" t="s">
        <v>2553</v>
      </c>
      <c r="G165" s="2" t="s">
        <v>2554</v>
      </c>
      <c r="H165" s="2" t="s">
        <v>1442</v>
      </c>
      <c r="I165" s="2" t="s">
        <v>2555</v>
      </c>
      <c r="J165" s="2" t="s">
        <v>2556</v>
      </c>
      <c r="K165" s="2" t="s">
        <v>2557</v>
      </c>
      <c r="L165" s="6" t="s">
        <v>1367</v>
      </c>
      <c r="M165" s="21" t="s">
        <v>1368</v>
      </c>
      <c r="N165" s="21" t="s">
        <v>1369</v>
      </c>
      <c r="P165" s="21" t="s">
        <v>22</v>
      </c>
      <c r="W165" s="81"/>
      <c r="X165" s="81"/>
    </row>
    <row r="166" spans="1:33" ht="28.9">
      <c r="A166" s="253" t="s">
        <v>2558</v>
      </c>
      <c r="B166" s="289"/>
      <c r="C166" s="21" t="s">
        <v>2550</v>
      </c>
      <c r="D166" s="2" t="s">
        <v>2559</v>
      </c>
      <c r="E166" s="2" t="s">
        <v>2560</v>
      </c>
      <c r="F166" s="2" t="s">
        <v>2561</v>
      </c>
      <c r="G166" s="2" t="s">
        <v>2562</v>
      </c>
      <c r="H166" s="2" t="s">
        <v>1442</v>
      </c>
      <c r="I166" s="2" t="s">
        <v>2563</v>
      </c>
      <c r="J166" s="2" t="s">
        <v>2564</v>
      </c>
      <c r="K166" s="2" t="s">
        <v>2563</v>
      </c>
      <c r="L166" s="6" t="s">
        <v>1367</v>
      </c>
      <c r="M166" s="21" t="s">
        <v>1368</v>
      </c>
      <c r="N166" s="21" t="s">
        <v>1369</v>
      </c>
      <c r="P166" s="21" t="s">
        <v>22</v>
      </c>
    </row>
    <row r="167" spans="1:33" ht="43.15">
      <c r="A167" s="253" t="s">
        <v>2565</v>
      </c>
      <c r="B167" s="289"/>
      <c r="C167" s="21" t="s">
        <v>2550</v>
      </c>
      <c r="D167" s="2" t="s">
        <v>2566</v>
      </c>
      <c r="E167" s="2" t="s">
        <v>2567</v>
      </c>
      <c r="F167" s="2" t="s">
        <v>2568</v>
      </c>
      <c r="G167" s="2" t="s">
        <v>2569</v>
      </c>
      <c r="H167" s="2" t="s">
        <v>1442</v>
      </c>
      <c r="I167" s="2" t="s">
        <v>2570</v>
      </c>
      <c r="J167" s="2" t="s">
        <v>2571</v>
      </c>
      <c r="K167" s="2" t="s">
        <v>2572</v>
      </c>
      <c r="L167" s="6" t="s">
        <v>1367</v>
      </c>
      <c r="M167" s="21" t="s">
        <v>1368</v>
      </c>
      <c r="N167" s="21" t="s">
        <v>1369</v>
      </c>
      <c r="P167" s="21" t="s">
        <v>1371</v>
      </c>
    </row>
    <row r="168" spans="1:33" ht="57.6">
      <c r="A168" s="253" t="s">
        <v>2573</v>
      </c>
      <c r="B168" s="289"/>
      <c r="C168" s="21" t="s">
        <v>2550</v>
      </c>
      <c r="D168" s="2" t="s">
        <v>2574</v>
      </c>
      <c r="E168" s="2" t="s">
        <v>2575</v>
      </c>
      <c r="F168" s="2" t="s">
        <v>2576</v>
      </c>
      <c r="G168" s="2" t="s">
        <v>2577</v>
      </c>
      <c r="H168" s="2" t="s">
        <v>2578</v>
      </c>
      <c r="I168" s="2" t="s">
        <v>2579</v>
      </c>
      <c r="J168" s="2" t="s">
        <v>2580</v>
      </c>
      <c r="K168" s="2" t="s">
        <v>2581</v>
      </c>
      <c r="L168" s="6" t="s">
        <v>1367</v>
      </c>
      <c r="M168" s="21" t="s">
        <v>1368</v>
      </c>
      <c r="N168" s="21" t="s">
        <v>1369</v>
      </c>
      <c r="P168" s="21" t="s">
        <v>22</v>
      </c>
    </row>
    <row r="169" spans="1:33" ht="28.9">
      <c r="A169" s="253" t="s">
        <v>2582</v>
      </c>
      <c r="B169" s="289"/>
      <c r="C169" s="21" t="s">
        <v>2550</v>
      </c>
      <c r="D169" s="2" t="s">
        <v>2583</v>
      </c>
      <c r="E169" s="2" t="s">
        <v>2584</v>
      </c>
      <c r="F169" s="2" t="s">
        <v>2585</v>
      </c>
      <c r="G169" s="2" t="s">
        <v>2586</v>
      </c>
      <c r="H169" s="2" t="s">
        <v>1442</v>
      </c>
      <c r="I169" s="2" t="s">
        <v>2587</v>
      </c>
      <c r="J169" s="2" t="s">
        <v>2588</v>
      </c>
      <c r="K169" s="2" t="s">
        <v>2589</v>
      </c>
      <c r="L169" s="6" t="s">
        <v>1367</v>
      </c>
      <c r="M169" s="21" t="s">
        <v>1368</v>
      </c>
      <c r="N169" s="21" t="s">
        <v>1369</v>
      </c>
      <c r="P169" s="21" t="s">
        <v>22</v>
      </c>
    </row>
    <row r="170" spans="1:33" ht="28.9">
      <c r="A170" s="253" t="s">
        <v>2590</v>
      </c>
      <c r="B170" s="289"/>
      <c r="C170" s="21" t="s">
        <v>2550</v>
      </c>
      <c r="D170" s="2" t="s">
        <v>2591</v>
      </c>
      <c r="E170" s="2" t="s">
        <v>2592</v>
      </c>
      <c r="F170" s="2" t="s">
        <v>2593</v>
      </c>
      <c r="G170" s="2" t="s">
        <v>2594</v>
      </c>
      <c r="H170" s="2" t="s">
        <v>2595</v>
      </c>
      <c r="I170" s="2" t="s">
        <v>2596</v>
      </c>
      <c r="J170" s="2" t="s">
        <v>2597</v>
      </c>
      <c r="K170" s="2" t="s">
        <v>2598</v>
      </c>
      <c r="L170" s="6" t="s">
        <v>1367</v>
      </c>
      <c r="M170" s="21" t="s">
        <v>1368</v>
      </c>
      <c r="N170" s="21" t="s">
        <v>1369</v>
      </c>
      <c r="P170" s="21" t="s">
        <v>22</v>
      </c>
    </row>
    <row r="171" spans="1:33" ht="43.15">
      <c r="A171" s="253" t="s">
        <v>2599</v>
      </c>
      <c r="B171" s="289"/>
      <c r="C171" s="21" t="s">
        <v>2550</v>
      </c>
      <c r="D171" s="2" t="s">
        <v>2600</v>
      </c>
      <c r="E171" s="2" t="s">
        <v>2601</v>
      </c>
      <c r="F171" s="2" t="s">
        <v>2602</v>
      </c>
      <c r="G171" s="2" t="s">
        <v>2603</v>
      </c>
      <c r="H171" s="2" t="s">
        <v>2604</v>
      </c>
      <c r="I171" s="2" t="s">
        <v>2605</v>
      </c>
      <c r="J171" s="2" t="s">
        <v>2606</v>
      </c>
      <c r="K171" s="2" t="s">
        <v>2607</v>
      </c>
      <c r="L171" s="6" t="s">
        <v>1367</v>
      </c>
      <c r="M171" s="21" t="s">
        <v>1368</v>
      </c>
      <c r="N171" s="21" t="s">
        <v>1369</v>
      </c>
      <c r="P171" s="21" t="s">
        <v>1371</v>
      </c>
    </row>
    <row r="172" spans="1:33" ht="28.9">
      <c r="A172" s="253" t="s">
        <v>2608</v>
      </c>
      <c r="B172" s="289"/>
      <c r="C172" s="21" t="s">
        <v>2550</v>
      </c>
      <c r="D172" s="2" t="s">
        <v>2609</v>
      </c>
      <c r="E172" s="2" t="s">
        <v>2610</v>
      </c>
      <c r="F172" s="2" t="s">
        <v>2593</v>
      </c>
      <c r="G172" s="2" t="s">
        <v>2611</v>
      </c>
      <c r="H172" s="2" t="s">
        <v>2612</v>
      </c>
      <c r="I172" s="2" t="s">
        <v>2613</v>
      </c>
      <c r="J172" s="2" t="s">
        <v>2614</v>
      </c>
      <c r="K172" s="2" t="s">
        <v>2615</v>
      </c>
      <c r="L172" s="6" t="s">
        <v>1367</v>
      </c>
      <c r="M172" s="21" t="s">
        <v>1368</v>
      </c>
      <c r="N172" s="21" t="s">
        <v>1369</v>
      </c>
      <c r="P172" s="21" t="s">
        <v>1393</v>
      </c>
    </row>
    <row r="173" spans="1:33" ht="28.9">
      <c r="A173" s="253" t="s">
        <v>2616</v>
      </c>
      <c r="B173" s="289"/>
      <c r="C173" s="21" t="s">
        <v>2550</v>
      </c>
      <c r="D173" s="2" t="s">
        <v>2617</v>
      </c>
      <c r="E173" s="2" t="s">
        <v>2618</v>
      </c>
      <c r="F173" s="2" t="s">
        <v>2613</v>
      </c>
      <c r="G173" s="2" t="s">
        <v>2619</v>
      </c>
      <c r="H173" s="2" t="s">
        <v>2620</v>
      </c>
      <c r="I173" s="2" t="s">
        <v>2621</v>
      </c>
      <c r="J173" s="2" t="s">
        <v>2622</v>
      </c>
      <c r="K173" s="2" t="s">
        <v>2623</v>
      </c>
      <c r="L173" s="6" t="s">
        <v>1367</v>
      </c>
      <c r="M173" s="21" t="s">
        <v>1368</v>
      </c>
      <c r="N173" s="21" t="s">
        <v>1369</v>
      </c>
      <c r="P173" s="21" t="s">
        <v>22</v>
      </c>
    </row>
    <row r="174" spans="1:33" ht="28.9">
      <c r="A174" s="253" t="s">
        <v>2624</v>
      </c>
      <c r="B174" s="289"/>
      <c r="C174" s="21" t="s">
        <v>2550</v>
      </c>
      <c r="D174" s="2" t="s">
        <v>2625</v>
      </c>
      <c r="E174" s="2" t="s">
        <v>2626</v>
      </c>
      <c r="F174" s="2" t="s">
        <v>2627</v>
      </c>
      <c r="G174" s="2" t="s">
        <v>2628</v>
      </c>
      <c r="H174" s="2" t="s">
        <v>2629</v>
      </c>
      <c r="I174" s="2" t="s">
        <v>2630</v>
      </c>
      <c r="J174" s="2" t="s">
        <v>2631</v>
      </c>
      <c r="K174" s="2" t="s">
        <v>2630</v>
      </c>
      <c r="L174" s="6" t="s">
        <v>1367</v>
      </c>
      <c r="M174" s="21" t="s">
        <v>1368</v>
      </c>
      <c r="N174" s="21" t="s">
        <v>1369</v>
      </c>
      <c r="P174" s="21" t="s">
        <v>1371</v>
      </c>
    </row>
    <row r="175" spans="1:33" ht="57.6">
      <c r="A175" s="253" t="s">
        <v>2632</v>
      </c>
      <c r="B175" s="289"/>
      <c r="C175" s="21" t="s">
        <v>2550</v>
      </c>
      <c r="D175" s="2" t="s">
        <v>2633</v>
      </c>
      <c r="E175" s="2" t="s">
        <v>2634</v>
      </c>
      <c r="F175" s="2" t="s">
        <v>2635</v>
      </c>
      <c r="G175" s="2" t="s">
        <v>2636</v>
      </c>
      <c r="H175" s="2" t="s">
        <v>2637</v>
      </c>
      <c r="I175" s="2" t="s">
        <v>2638</v>
      </c>
      <c r="J175" s="2" t="s">
        <v>2639</v>
      </c>
      <c r="K175" s="2" t="s">
        <v>2640</v>
      </c>
      <c r="L175" s="6" t="s">
        <v>1381</v>
      </c>
      <c r="M175" s="21" t="s">
        <v>1368</v>
      </c>
      <c r="N175" s="21" t="s">
        <v>1369</v>
      </c>
      <c r="P175" s="21" t="s">
        <v>1371</v>
      </c>
      <c r="Q175" s="21" t="s">
        <v>1404</v>
      </c>
    </row>
    <row r="176" spans="1:33" ht="43.15">
      <c r="A176" s="253" t="s">
        <v>2641</v>
      </c>
      <c r="B176" s="289"/>
      <c r="C176" s="21" t="s">
        <v>2550</v>
      </c>
      <c r="D176" s="2" t="s">
        <v>2642</v>
      </c>
      <c r="E176" s="2" t="s">
        <v>2643</v>
      </c>
      <c r="F176" s="2" t="s">
        <v>2644</v>
      </c>
      <c r="G176" s="2" t="s">
        <v>2645</v>
      </c>
      <c r="H176" s="2" t="s">
        <v>2646</v>
      </c>
      <c r="I176" s="2" t="s">
        <v>2647</v>
      </c>
      <c r="J176" s="2" t="s">
        <v>2648</v>
      </c>
      <c r="K176" s="2" t="s">
        <v>2649</v>
      </c>
      <c r="L176" s="6" t="s">
        <v>1367</v>
      </c>
      <c r="M176" s="21" t="s">
        <v>1368</v>
      </c>
      <c r="N176" s="21" t="s">
        <v>1369</v>
      </c>
      <c r="P176" s="21" t="s">
        <v>22</v>
      </c>
    </row>
    <row r="177" spans="1:17" ht="43.15">
      <c r="A177" s="253" t="s">
        <v>2650</v>
      </c>
      <c r="B177" s="289"/>
      <c r="C177" s="21" t="s">
        <v>2550</v>
      </c>
      <c r="D177" s="2" t="s">
        <v>2651</v>
      </c>
      <c r="E177" s="2" t="s">
        <v>2652</v>
      </c>
      <c r="F177" s="2" t="s">
        <v>2653</v>
      </c>
      <c r="G177" s="2" t="s">
        <v>2654</v>
      </c>
      <c r="H177" s="2" t="s">
        <v>2655</v>
      </c>
      <c r="I177" s="2" t="s">
        <v>2656</v>
      </c>
      <c r="J177" s="2" t="s">
        <v>2657</v>
      </c>
      <c r="K177" s="2" t="s">
        <v>2658</v>
      </c>
      <c r="L177" s="6" t="s">
        <v>1367</v>
      </c>
      <c r="M177" s="21" t="s">
        <v>1368</v>
      </c>
      <c r="N177" s="21" t="s">
        <v>1369</v>
      </c>
      <c r="P177" s="21" t="s">
        <v>22</v>
      </c>
    </row>
    <row r="178" spans="1:17" ht="43.15">
      <c r="A178" s="253" t="s">
        <v>2659</v>
      </c>
      <c r="B178" s="289"/>
      <c r="C178" s="21" t="s">
        <v>2550</v>
      </c>
      <c r="D178" s="2" t="s">
        <v>2660</v>
      </c>
      <c r="E178" s="2" t="s">
        <v>2661</v>
      </c>
      <c r="F178" s="2" t="s">
        <v>2662</v>
      </c>
      <c r="G178" s="2" t="s">
        <v>2663</v>
      </c>
      <c r="H178" s="2" t="s">
        <v>2664</v>
      </c>
      <c r="I178" s="2" t="s">
        <v>2665</v>
      </c>
      <c r="J178" s="2" t="s">
        <v>2666</v>
      </c>
      <c r="K178" s="2" t="s">
        <v>2667</v>
      </c>
      <c r="L178" s="6" t="s">
        <v>1367</v>
      </c>
      <c r="M178" s="21" t="s">
        <v>1368</v>
      </c>
      <c r="N178" s="21" t="s">
        <v>1369</v>
      </c>
      <c r="P178" s="21" t="s">
        <v>22</v>
      </c>
    </row>
    <row r="179" spans="1:17" ht="28.9">
      <c r="A179" s="253" t="s">
        <v>2668</v>
      </c>
      <c r="B179" s="289"/>
      <c r="C179" s="21" t="s">
        <v>2550</v>
      </c>
      <c r="D179" s="2" t="s">
        <v>2669</v>
      </c>
      <c r="E179" s="2" t="s">
        <v>2670</v>
      </c>
      <c r="F179" s="2" t="s">
        <v>2644</v>
      </c>
      <c r="G179" s="2" t="s">
        <v>2671</v>
      </c>
      <c r="H179" s="2" t="s">
        <v>2672</v>
      </c>
      <c r="I179" s="2" t="s">
        <v>2673</v>
      </c>
      <c r="J179" s="2" t="s">
        <v>2674</v>
      </c>
      <c r="K179" s="2" t="s">
        <v>2675</v>
      </c>
      <c r="L179" s="6" t="s">
        <v>1367</v>
      </c>
      <c r="M179" s="21" t="s">
        <v>1368</v>
      </c>
      <c r="N179" s="21" t="s">
        <v>1369</v>
      </c>
      <c r="P179" s="21" t="s">
        <v>22</v>
      </c>
    </row>
    <row r="180" spans="1:17" ht="28.9">
      <c r="A180" s="253" t="s">
        <v>2676</v>
      </c>
      <c r="B180" s="289"/>
      <c r="C180" s="21" t="s">
        <v>2550</v>
      </c>
      <c r="D180" s="2" t="s">
        <v>2677</v>
      </c>
      <c r="E180" s="2" t="s">
        <v>2678</v>
      </c>
      <c r="F180" s="2" t="s">
        <v>2679</v>
      </c>
      <c r="G180" s="2" t="s">
        <v>2680</v>
      </c>
      <c r="H180" s="2" t="s">
        <v>2681</v>
      </c>
      <c r="I180" s="2" t="s">
        <v>2682</v>
      </c>
      <c r="J180" s="2" t="s">
        <v>2683</v>
      </c>
      <c r="K180" s="2" t="s">
        <v>2684</v>
      </c>
      <c r="L180" s="6" t="s">
        <v>1367</v>
      </c>
      <c r="M180" s="21" t="s">
        <v>1368</v>
      </c>
      <c r="N180" s="21" t="s">
        <v>1369</v>
      </c>
      <c r="P180" s="21" t="s">
        <v>1393</v>
      </c>
    </row>
    <row r="181" spans="1:17" ht="28.9">
      <c r="A181" s="253" t="s">
        <v>2685</v>
      </c>
      <c r="B181" s="289"/>
      <c r="C181" s="21" t="s">
        <v>2550</v>
      </c>
      <c r="D181" s="2" t="s">
        <v>2686</v>
      </c>
      <c r="E181" s="2" t="s">
        <v>2687</v>
      </c>
      <c r="F181" s="2" t="s">
        <v>2684</v>
      </c>
      <c r="G181" s="2" t="s">
        <v>2688</v>
      </c>
      <c r="H181" s="2" t="s">
        <v>2689</v>
      </c>
      <c r="I181" s="2" t="s">
        <v>2690</v>
      </c>
      <c r="J181" s="2" t="s">
        <v>2691</v>
      </c>
      <c r="K181" s="2" t="s">
        <v>2692</v>
      </c>
      <c r="L181" s="6" t="s">
        <v>1367</v>
      </c>
      <c r="M181" s="21" t="s">
        <v>1368</v>
      </c>
      <c r="N181" s="21" t="s">
        <v>1369</v>
      </c>
      <c r="P181" s="21" t="s">
        <v>22</v>
      </c>
    </row>
    <row r="182" spans="1:17" ht="43.15">
      <c r="A182" s="253" t="s">
        <v>2693</v>
      </c>
      <c r="B182" s="289"/>
      <c r="C182" s="21" t="s">
        <v>2550</v>
      </c>
      <c r="D182" s="2" t="s">
        <v>2694</v>
      </c>
      <c r="E182" s="2" t="s">
        <v>2695</v>
      </c>
      <c r="F182" s="2" t="s">
        <v>2696</v>
      </c>
      <c r="G182" s="2" t="s">
        <v>2697</v>
      </c>
      <c r="H182" s="2" t="s">
        <v>2698</v>
      </c>
      <c r="I182" s="2" t="s">
        <v>2630</v>
      </c>
      <c r="J182" s="2" t="s">
        <v>2699</v>
      </c>
      <c r="K182" s="2" t="s">
        <v>2630</v>
      </c>
      <c r="L182" s="6" t="s">
        <v>1367</v>
      </c>
      <c r="M182" s="21" t="s">
        <v>1368</v>
      </c>
      <c r="N182" s="21" t="s">
        <v>1369</v>
      </c>
      <c r="P182" s="21" t="s">
        <v>1371</v>
      </c>
    </row>
    <row r="183" spans="1:17" ht="86.45">
      <c r="A183" s="253" t="s">
        <v>2700</v>
      </c>
      <c r="B183" s="289"/>
      <c r="C183" s="21" t="s">
        <v>2550</v>
      </c>
      <c r="D183" s="2" t="s">
        <v>2701</v>
      </c>
      <c r="E183" s="2" t="s">
        <v>2702</v>
      </c>
      <c r="F183" s="2" t="s">
        <v>2644</v>
      </c>
      <c r="G183" s="2" t="s">
        <v>2703</v>
      </c>
      <c r="H183" s="2" t="s">
        <v>2704</v>
      </c>
      <c r="I183" s="2" t="s">
        <v>2705</v>
      </c>
      <c r="J183" s="2" t="s">
        <v>2706</v>
      </c>
      <c r="K183" s="2" t="s">
        <v>2707</v>
      </c>
      <c r="L183" s="6" t="s">
        <v>1381</v>
      </c>
      <c r="M183" s="21" t="s">
        <v>1368</v>
      </c>
      <c r="N183" s="21" t="s">
        <v>1369</v>
      </c>
      <c r="P183" s="21" t="s">
        <v>22</v>
      </c>
      <c r="Q183" s="21" t="s">
        <v>1404</v>
      </c>
    </row>
    <row r="184" spans="1:17" ht="28.9">
      <c r="A184" s="253" t="s">
        <v>2708</v>
      </c>
      <c r="B184" s="289"/>
      <c r="C184" s="21" t="s">
        <v>2550</v>
      </c>
      <c r="D184" s="2" t="s">
        <v>2709</v>
      </c>
      <c r="E184" s="2" t="s">
        <v>2710</v>
      </c>
      <c r="F184" s="2" t="s">
        <v>2711</v>
      </c>
      <c r="G184" s="2" t="s">
        <v>2712</v>
      </c>
      <c r="H184" s="2" t="s">
        <v>2713</v>
      </c>
      <c r="I184" s="2" t="s">
        <v>2714</v>
      </c>
      <c r="J184" s="2" t="s">
        <v>2715</v>
      </c>
      <c r="K184" s="2" t="s">
        <v>2716</v>
      </c>
      <c r="L184" s="6" t="s">
        <v>1367</v>
      </c>
      <c r="M184" s="21" t="s">
        <v>1368</v>
      </c>
      <c r="N184" s="21" t="s">
        <v>1369</v>
      </c>
      <c r="P184" s="21" t="s">
        <v>1371</v>
      </c>
    </row>
    <row r="185" spans="1:17" ht="28.9">
      <c r="A185" s="253" t="s">
        <v>2717</v>
      </c>
      <c r="B185" s="289"/>
      <c r="C185" s="21" t="s">
        <v>2550</v>
      </c>
      <c r="D185" s="2" t="s">
        <v>2718</v>
      </c>
      <c r="E185" s="2" t="s">
        <v>2719</v>
      </c>
      <c r="F185" s="2" t="s">
        <v>2720</v>
      </c>
      <c r="G185" s="2" t="s">
        <v>2721</v>
      </c>
      <c r="H185" s="2" t="s">
        <v>2722</v>
      </c>
      <c r="I185" s="2" t="s">
        <v>2723</v>
      </c>
      <c r="J185" s="2" t="s">
        <v>2724</v>
      </c>
      <c r="K185" s="2" t="s">
        <v>2723</v>
      </c>
      <c r="L185" s="6" t="s">
        <v>1367</v>
      </c>
      <c r="M185" s="21" t="s">
        <v>1368</v>
      </c>
      <c r="N185" s="21" t="s">
        <v>1369</v>
      </c>
      <c r="P185" s="21" t="s">
        <v>22</v>
      </c>
    </row>
    <row r="186" spans="1:17" ht="28.9">
      <c r="A186" s="253" t="s">
        <v>2725</v>
      </c>
      <c r="B186" s="289"/>
      <c r="C186" s="21" t="s">
        <v>2550</v>
      </c>
      <c r="D186" s="2" t="s">
        <v>2726</v>
      </c>
      <c r="E186" s="2" t="s">
        <v>2727</v>
      </c>
      <c r="F186" s="2" t="s">
        <v>2728</v>
      </c>
      <c r="G186" s="2" t="s">
        <v>2729</v>
      </c>
      <c r="H186" s="2" t="s">
        <v>2722</v>
      </c>
      <c r="I186" s="2" t="s">
        <v>2730</v>
      </c>
      <c r="J186" s="2" t="s">
        <v>2731</v>
      </c>
      <c r="K186" s="2" t="s">
        <v>2732</v>
      </c>
      <c r="L186" s="6" t="s">
        <v>1367</v>
      </c>
      <c r="M186" s="21" t="s">
        <v>1368</v>
      </c>
      <c r="N186" s="21" t="s">
        <v>1369</v>
      </c>
      <c r="P186" s="21" t="s">
        <v>1393</v>
      </c>
    </row>
    <row r="187" spans="1:17" ht="28.9">
      <c r="A187" s="253" t="s">
        <v>2733</v>
      </c>
      <c r="B187" s="289"/>
      <c r="C187" s="21" t="s">
        <v>2550</v>
      </c>
      <c r="D187" s="2" t="s">
        <v>2734</v>
      </c>
      <c r="E187" s="2" t="s">
        <v>2735</v>
      </c>
      <c r="F187" s="2" t="s">
        <v>2732</v>
      </c>
      <c r="G187" s="2" t="s">
        <v>2736</v>
      </c>
      <c r="H187" s="2" t="s">
        <v>2737</v>
      </c>
      <c r="I187" s="2" t="s">
        <v>2738</v>
      </c>
      <c r="J187" s="2" t="s">
        <v>2739</v>
      </c>
      <c r="K187" s="2" t="s">
        <v>2740</v>
      </c>
      <c r="L187" s="6" t="s">
        <v>1367</v>
      </c>
      <c r="M187" s="21" t="s">
        <v>1368</v>
      </c>
      <c r="N187" s="21" t="s">
        <v>1369</v>
      </c>
      <c r="P187" s="21" t="s">
        <v>22</v>
      </c>
    </row>
    <row r="188" spans="1:17" ht="28.9">
      <c r="A188" s="253" t="s">
        <v>2741</v>
      </c>
      <c r="B188" s="289"/>
      <c r="C188" s="21" t="s">
        <v>2550</v>
      </c>
      <c r="D188" s="2" t="s">
        <v>2742</v>
      </c>
      <c r="E188" s="2" t="s">
        <v>2743</v>
      </c>
      <c r="F188" s="2" t="s">
        <v>2732</v>
      </c>
      <c r="G188" s="2" t="s">
        <v>2744</v>
      </c>
      <c r="H188" s="2" t="s">
        <v>2722</v>
      </c>
      <c r="I188" s="2" t="s">
        <v>2630</v>
      </c>
      <c r="J188" s="2" t="s">
        <v>2745</v>
      </c>
      <c r="K188" s="2" t="s">
        <v>2630</v>
      </c>
      <c r="L188" s="6" t="s">
        <v>1367</v>
      </c>
      <c r="M188" s="21" t="s">
        <v>1368</v>
      </c>
      <c r="N188" s="21" t="s">
        <v>1369</v>
      </c>
      <c r="P188" s="21" t="s">
        <v>1371</v>
      </c>
    </row>
    <row r="189" spans="1:17" ht="43.15">
      <c r="A189" s="253" t="s">
        <v>2746</v>
      </c>
      <c r="B189" s="289"/>
      <c r="C189" s="21" t="s">
        <v>2550</v>
      </c>
      <c r="D189" s="2" t="s">
        <v>2747</v>
      </c>
      <c r="E189" s="2" t="s">
        <v>2748</v>
      </c>
      <c r="F189" s="2" t="s">
        <v>2644</v>
      </c>
      <c r="G189" s="2" t="s">
        <v>2749</v>
      </c>
      <c r="H189" s="2" t="s">
        <v>2750</v>
      </c>
      <c r="I189" s="2" t="s">
        <v>2751</v>
      </c>
      <c r="J189" s="2" t="s">
        <v>2752</v>
      </c>
      <c r="K189" s="2" t="s">
        <v>2753</v>
      </c>
      <c r="L189" s="6" t="s">
        <v>1367</v>
      </c>
      <c r="M189" s="21" t="s">
        <v>1368</v>
      </c>
      <c r="N189" s="21" t="s">
        <v>1369</v>
      </c>
      <c r="P189" s="21" t="s">
        <v>22</v>
      </c>
    </row>
    <row r="190" spans="1:17" ht="43.15">
      <c r="A190" s="253" t="s">
        <v>2754</v>
      </c>
      <c r="B190" s="289"/>
      <c r="C190" s="21" t="s">
        <v>2550</v>
      </c>
      <c r="D190" s="2" t="s">
        <v>2755</v>
      </c>
      <c r="E190" s="2" t="s">
        <v>2756</v>
      </c>
      <c r="F190" s="2" t="s">
        <v>2757</v>
      </c>
      <c r="G190" s="2" t="s">
        <v>2758</v>
      </c>
      <c r="H190" s="2" t="s">
        <v>2722</v>
      </c>
      <c r="I190" s="2" t="s">
        <v>2759</v>
      </c>
      <c r="J190" s="2" t="s">
        <v>2760</v>
      </c>
      <c r="K190" s="2" t="s">
        <v>2761</v>
      </c>
      <c r="L190" s="6" t="s">
        <v>1367</v>
      </c>
      <c r="M190" s="21" t="s">
        <v>1368</v>
      </c>
      <c r="N190" s="21" t="s">
        <v>1369</v>
      </c>
      <c r="P190" s="21" t="s">
        <v>22</v>
      </c>
    </row>
    <row r="191" spans="1:17" ht="43.15">
      <c r="A191" s="253" t="s">
        <v>2762</v>
      </c>
      <c r="B191" s="289"/>
      <c r="C191" s="21" t="s">
        <v>2550</v>
      </c>
      <c r="D191" s="2" t="s">
        <v>2763</v>
      </c>
      <c r="E191" s="2" t="s">
        <v>2764</v>
      </c>
      <c r="F191" s="2" t="s">
        <v>2644</v>
      </c>
      <c r="G191" s="2" t="s">
        <v>2765</v>
      </c>
      <c r="H191" s="2" t="s">
        <v>2750</v>
      </c>
      <c r="I191" s="2" t="s">
        <v>2766</v>
      </c>
      <c r="J191" s="2" t="s">
        <v>2767</v>
      </c>
      <c r="K191" s="2" t="s">
        <v>2768</v>
      </c>
      <c r="L191" s="6" t="s">
        <v>1367</v>
      </c>
      <c r="M191" s="21" t="s">
        <v>1368</v>
      </c>
      <c r="N191" s="21" t="s">
        <v>1369</v>
      </c>
      <c r="P191" s="21" t="s">
        <v>1393</v>
      </c>
    </row>
    <row r="192" spans="1:17" ht="43.15">
      <c r="A192" s="253" t="s">
        <v>2769</v>
      </c>
      <c r="B192" s="289"/>
      <c r="C192" s="21" t="s">
        <v>2550</v>
      </c>
      <c r="D192" s="2" t="s">
        <v>2770</v>
      </c>
      <c r="E192" s="2" t="s">
        <v>2771</v>
      </c>
      <c r="F192" s="2" t="s">
        <v>2772</v>
      </c>
      <c r="G192" s="2" t="s">
        <v>2773</v>
      </c>
      <c r="H192" s="2" t="s">
        <v>2774</v>
      </c>
      <c r="I192" s="2" t="s">
        <v>2775</v>
      </c>
      <c r="J192" s="2" t="s">
        <v>2776</v>
      </c>
      <c r="K192" s="2" t="s">
        <v>2777</v>
      </c>
      <c r="L192" s="6" t="s">
        <v>1367</v>
      </c>
      <c r="M192" s="21" t="s">
        <v>1368</v>
      </c>
      <c r="N192" s="21" t="s">
        <v>1369</v>
      </c>
      <c r="P192" s="21" t="s">
        <v>1371</v>
      </c>
    </row>
    <row r="193" spans="1:33" ht="43.15">
      <c r="A193" s="253" t="s">
        <v>2778</v>
      </c>
      <c r="B193" s="289"/>
      <c r="C193" s="21" t="s">
        <v>2550</v>
      </c>
      <c r="D193" s="2" t="s">
        <v>2779</v>
      </c>
      <c r="E193" s="2" t="s">
        <v>2780</v>
      </c>
      <c r="F193" s="2" t="s">
        <v>2781</v>
      </c>
      <c r="G193" s="2" t="s">
        <v>2782</v>
      </c>
      <c r="H193" s="2" t="s">
        <v>1442</v>
      </c>
      <c r="I193" s="2" t="s">
        <v>2783</v>
      </c>
      <c r="J193" s="2" t="s">
        <v>2784</v>
      </c>
      <c r="K193" s="2" t="s">
        <v>2785</v>
      </c>
      <c r="L193" s="6" t="s">
        <v>1367</v>
      </c>
      <c r="M193" s="21" t="s">
        <v>1368</v>
      </c>
      <c r="P193" s="21" t="s">
        <v>1371</v>
      </c>
    </row>
    <row r="194" spans="1:33" ht="28.9">
      <c r="A194" s="253" t="s">
        <v>2786</v>
      </c>
      <c r="B194" s="289"/>
      <c r="C194" s="21" t="s">
        <v>2550</v>
      </c>
      <c r="D194" s="2" t="s">
        <v>2787</v>
      </c>
      <c r="E194" s="2" t="s">
        <v>2788</v>
      </c>
      <c r="F194" s="2" t="s">
        <v>2789</v>
      </c>
      <c r="G194" s="2" t="s">
        <v>2790</v>
      </c>
      <c r="H194" s="2" t="s">
        <v>1442</v>
      </c>
      <c r="I194" s="2" t="s">
        <v>2791</v>
      </c>
      <c r="J194" s="2" t="s">
        <v>2792</v>
      </c>
      <c r="K194" s="2" t="s">
        <v>2793</v>
      </c>
      <c r="L194" s="6" t="s">
        <v>1367</v>
      </c>
      <c r="M194" s="21" t="s">
        <v>1368</v>
      </c>
      <c r="N194" s="21" t="s">
        <v>1369</v>
      </c>
      <c r="P194" s="21" t="s">
        <v>1481</v>
      </c>
      <c r="AG194" s="78"/>
    </row>
    <row r="195" spans="1:33" s="45" customFormat="1">
      <c r="A195" s="83"/>
      <c r="B195" s="289"/>
      <c r="C195" s="78"/>
      <c r="D195" s="44"/>
      <c r="E195" s="44"/>
      <c r="F195" s="44"/>
      <c r="G195" s="44"/>
      <c r="H195" s="44"/>
      <c r="I195" s="44"/>
      <c r="J195" s="44"/>
      <c r="K195" s="44"/>
      <c r="L195" s="81"/>
      <c r="M195" s="78"/>
      <c r="P195" s="78"/>
      <c r="Q195" s="78"/>
      <c r="R195" s="303"/>
      <c r="W195" s="6"/>
      <c r="X195" s="6"/>
      <c r="AG195" s="21"/>
    </row>
    <row r="196" spans="1:33" ht="28.9">
      <c r="A196" s="253" t="s">
        <v>2794</v>
      </c>
      <c r="B196" s="289"/>
      <c r="C196" s="21" t="s">
        <v>2795</v>
      </c>
      <c r="D196" s="2" t="s">
        <v>2796</v>
      </c>
      <c r="E196" s="2" t="s">
        <v>2797</v>
      </c>
      <c r="F196" s="2" t="s">
        <v>2553</v>
      </c>
      <c r="G196" s="2" t="s">
        <v>2798</v>
      </c>
      <c r="H196" s="2" t="s">
        <v>1442</v>
      </c>
      <c r="I196" s="2" t="s">
        <v>2799</v>
      </c>
      <c r="J196" s="2" t="s">
        <v>2800</v>
      </c>
      <c r="K196" s="2" t="s">
        <v>2801</v>
      </c>
      <c r="L196" s="6" t="s">
        <v>1367</v>
      </c>
      <c r="M196" s="21" t="s">
        <v>1368</v>
      </c>
      <c r="P196" s="21" t="s">
        <v>22</v>
      </c>
      <c r="W196" s="81"/>
      <c r="X196" s="81"/>
    </row>
    <row r="197" spans="1:33" ht="28.9">
      <c r="A197" s="253" t="s">
        <v>2802</v>
      </c>
      <c r="B197" s="289"/>
      <c r="C197" s="21" t="s">
        <v>2795</v>
      </c>
      <c r="D197" s="2" t="s">
        <v>2803</v>
      </c>
      <c r="E197" s="2" t="s">
        <v>2804</v>
      </c>
      <c r="F197" s="2" t="s">
        <v>2805</v>
      </c>
      <c r="G197" s="2" t="s">
        <v>2806</v>
      </c>
      <c r="H197" s="2" t="s">
        <v>1442</v>
      </c>
      <c r="I197" s="2" t="s">
        <v>2807</v>
      </c>
      <c r="J197" s="2" t="s">
        <v>2564</v>
      </c>
      <c r="K197" s="2" t="s">
        <v>2807</v>
      </c>
      <c r="L197" s="6" t="s">
        <v>1367</v>
      </c>
      <c r="M197" s="21" t="s">
        <v>1368</v>
      </c>
      <c r="N197" s="21" t="s">
        <v>1369</v>
      </c>
      <c r="P197" s="21" t="s">
        <v>22</v>
      </c>
    </row>
    <row r="198" spans="1:33" ht="28.9">
      <c r="A198" s="253" t="s">
        <v>2808</v>
      </c>
      <c r="B198" s="289"/>
      <c r="C198" s="21" t="s">
        <v>2795</v>
      </c>
      <c r="D198" s="2" t="s">
        <v>2809</v>
      </c>
      <c r="E198" s="2" t="s">
        <v>2810</v>
      </c>
      <c r="F198" s="2" t="s">
        <v>2811</v>
      </c>
      <c r="G198" s="2" t="s">
        <v>2569</v>
      </c>
      <c r="H198" s="2" t="s">
        <v>1442</v>
      </c>
      <c r="I198" s="2" t="s">
        <v>2812</v>
      </c>
      <c r="J198" s="2" t="s">
        <v>2571</v>
      </c>
      <c r="K198" s="2" t="s">
        <v>2813</v>
      </c>
      <c r="L198" s="6" t="s">
        <v>1367</v>
      </c>
      <c r="M198" s="21" t="s">
        <v>1368</v>
      </c>
      <c r="N198" s="21" t="s">
        <v>1369</v>
      </c>
      <c r="P198" s="21" t="s">
        <v>1371</v>
      </c>
    </row>
    <row r="199" spans="1:33" ht="43.15">
      <c r="A199" s="253" t="s">
        <v>2814</v>
      </c>
      <c r="B199" s="289"/>
      <c r="C199" s="21" t="s">
        <v>2795</v>
      </c>
      <c r="D199" s="2" t="s">
        <v>2815</v>
      </c>
      <c r="E199" s="2" t="s">
        <v>2816</v>
      </c>
      <c r="F199" s="2" t="s">
        <v>2817</v>
      </c>
      <c r="G199" s="2" t="s">
        <v>2818</v>
      </c>
      <c r="H199" s="2" t="s">
        <v>2819</v>
      </c>
      <c r="I199" s="2" t="s">
        <v>2820</v>
      </c>
      <c r="J199" s="2" t="s">
        <v>2580</v>
      </c>
      <c r="K199" s="2" t="s">
        <v>2821</v>
      </c>
      <c r="L199" s="6" t="s">
        <v>1367</v>
      </c>
      <c r="M199" s="21" t="s">
        <v>1368</v>
      </c>
      <c r="N199" s="21" t="s">
        <v>1369</v>
      </c>
      <c r="P199" s="21" t="s">
        <v>22</v>
      </c>
    </row>
    <row r="200" spans="1:33" ht="28.9">
      <c r="A200" s="253" t="s">
        <v>2822</v>
      </c>
      <c r="B200" s="289"/>
      <c r="C200" s="21" t="s">
        <v>2795</v>
      </c>
      <c r="D200" s="2" t="s">
        <v>2823</v>
      </c>
      <c r="E200" s="2" t="s">
        <v>2584</v>
      </c>
      <c r="F200" s="2" t="s">
        <v>2824</v>
      </c>
      <c r="G200" s="2" t="s">
        <v>2586</v>
      </c>
      <c r="H200" s="2" t="s">
        <v>1442</v>
      </c>
      <c r="I200" s="2" t="s">
        <v>2825</v>
      </c>
      <c r="J200" s="2" t="s">
        <v>2588</v>
      </c>
      <c r="K200" s="2" t="s">
        <v>2589</v>
      </c>
      <c r="L200" s="6" t="s">
        <v>1367</v>
      </c>
      <c r="M200" s="21" t="s">
        <v>1368</v>
      </c>
      <c r="N200" s="21" t="s">
        <v>1369</v>
      </c>
      <c r="P200" s="21" t="s">
        <v>22</v>
      </c>
    </row>
    <row r="201" spans="1:33" ht="28.9">
      <c r="A201" s="253" t="s">
        <v>2826</v>
      </c>
      <c r="B201" s="289"/>
      <c r="C201" s="21" t="s">
        <v>2795</v>
      </c>
      <c r="D201" s="2" t="s">
        <v>2591</v>
      </c>
      <c r="E201" s="2" t="s">
        <v>2592</v>
      </c>
      <c r="F201" s="2" t="s">
        <v>2593</v>
      </c>
      <c r="G201" s="2" t="s">
        <v>2827</v>
      </c>
      <c r="H201" s="2" t="s">
        <v>2595</v>
      </c>
      <c r="I201" s="2" t="s">
        <v>2596</v>
      </c>
      <c r="J201" s="2" t="s">
        <v>2597</v>
      </c>
      <c r="K201" s="2" t="s">
        <v>2598</v>
      </c>
      <c r="L201" s="6" t="s">
        <v>1367</v>
      </c>
      <c r="M201" s="21" t="s">
        <v>1368</v>
      </c>
      <c r="N201" s="21" t="s">
        <v>1369</v>
      </c>
      <c r="P201" s="21" t="s">
        <v>22</v>
      </c>
    </row>
    <row r="202" spans="1:33" ht="43.15">
      <c r="A202" s="253" t="s">
        <v>2828</v>
      </c>
      <c r="B202" s="289"/>
      <c r="C202" s="21" t="s">
        <v>2795</v>
      </c>
      <c r="D202" s="2" t="s">
        <v>2829</v>
      </c>
      <c r="E202" s="2" t="s">
        <v>2601</v>
      </c>
      <c r="F202" s="2" t="s">
        <v>2602</v>
      </c>
      <c r="G202" s="2" t="s">
        <v>2830</v>
      </c>
      <c r="H202" s="2" t="s">
        <v>2831</v>
      </c>
      <c r="I202" s="2" t="s">
        <v>2605</v>
      </c>
      <c r="J202" s="2" t="s">
        <v>2606</v>
      </c>
      <c r="K202" s="2" t="s">
        <v>2607</v>
      </c>
      <c r="L202" s="6" t="s">
        <v>1367</v>
      </c>
      <c r="M202" s="21" t="s">
        <v>1368</v>
      </c>
      <c r="N202" s="21" t="s">
        <v>1369</v>
      </c>
      <c r="P202" s="21" t="s">
        <v>1371</v>
      </c>
    </row>
    <row r="203" spans="1:33" ht="28.9">
      <c r="A203" s="253" t="s">
        <v>2832</v>
      </c>
      <c r="B203" s="289"/>
      <c r="C203" s="21" t="s">
        <v>2795</v>
      </c>
      <c r="D203" s="2" t="s">
        <v>2833</v>
      </c>
      <c r="E203" s="2" t="s">
        <v>2834</v>
      </c>
      <c r="F203" s="2" t="s">
        <v>2593</v>
      </c>
      <c r="G203" s="2" t="s">
        <v>2611</v>
      </c>
      <c r="H203" s="2" t="s">
        <v>2835</v>
      </c>
      <c r="I203" s="2" t="s">
        <v>2836</v>
      </c>
      <c r="J203" s="2" t="s">
        <v>2614</v>
      </c>
      <c r="K203" s="2" t="s">
        <v>2615</v>
      </c>
      <c r="L203" s="6" t="s">
        <v>1367</v>
      </c>
      <c r="M203" s="21" t="s">
        <v>1368</v>
      </c>
      <c r="N203" s="21" t="s">
        <v>1369</v>
      </c>
      <c r="P203" s="21" t="s">
        <v>1393</v>
      </c>
    </row>
    <row r="204" spans="1:33" ht="28.9">
      <c r="A204" s="253" t="s">
        <v>2837</v>
      </c>
      <c r="B204" s="289"/>
      <c r="C204" s="21" t="s">
        <v>2795</v>
      </c>
      <c r="D204" s="2" t="s">
        <v>2838</v>
      </c>
      <c r="E204" s="2" t="s">
        <v>2618</v>
      </c>
      <c r="F204" s="2" t="s">
        <v>2839</v>
      </c>
      <c r="G204" s="2" t="s">
        <v>2840</v>
      </c>
      <c r="H204" s="2" t="s">
        <v>2620</v>
      </c>
      <c r="I204" s="2" t="s">
        <v>2841</v>
      </c>
      <c r="J204" s="2" t="s">
        <v>2622</v>
      </c>
      <c r="K204" s="2" t="s">
        <v>2623</v>
      </c>
      <c r="L204" s="6" t="s">
        <v>1367</v>
      </c>
      <c r="M204" s="21" t="s">
        <v>1368</v>
      </c>
      <c r="N204" s="21" t="s">
        <v>1369</v>
      </c>
      <c r="P204" s="21" t="s">
        <v>22</v>
      </c>
    </row>
    <row r="205" spans="1:33" ht="28.9">
      <c r="A205" s="253" t="s">
        <v>2842</v>
      </c>
      <c r="B205" s="289"/>
      <c r="C205" s="21" t="s">
        <v>2795</v>
      </c>
      <c r="D205" s="2" t="s">
        <v>2843</v>
      </c>
      <c r="E205" s="2" t="s">
        <v>2626</v>
      </c>
      <c r="F205" s="2" t="s">
        <v>2627</v>
      </c>
      <c r="G205" s="2" t="s">
        <v>2844</v>
      </c>
      <c r="H205" s="2" t="s">
        <v>2845</v>
      </c>
      <c r="I205" s="2" t="s">
        <v>2630</v>
      </c>
      <c r="J205" s="2" t="s">
        <v>2631</v>
      </c>
      <c r="K205" s="2" t="s">
        <v>2630</v>
      </c>
      <c r="L205" s="6" t="s">
        <v>1367</v>
      </c>
      <c r="M205" s="21" t="s">
        <v>1368</v>
      </c>
      <c r="N205" s="21" t="s">
        <v>1369</v>
      </c>
      <c r="P205" s="21" t="s">
        <v>1371</v>
      </c>
    </row>
    <row r="206" spans="1:33" ht="57.6">
      <c r="A206" s="253" t="s">
        <v>2846</v>
      </c>
      <c r="B206" s="289"/>
      <c r="C206" s="21" t="s">
        <v>2795</v>
      </c>
      <c r="D206" s="2" t="s">
        <v>2847</v>
      </c>
      <c r="E206" s="2" t="s">
        <v>2634</v>
      </c>
      <c r="F206" s="2" t="s">
        <v>2848</v>
      </c>
      <c r="G206" s="2" t="s">
        <v>2849</v>
      </c>
      <c r="H206" s="2" t="s">
        <v>2850</v>
      </c>
      <c r="I206" s="2" t="s">
        <v>2638</v>
      </c>
      <c r="J206" s="2" t="s">
        <v>2639</v>
      </c>
      <c r="K206" s="2" t="s">
        <v>2640</v>
      </c>
      <c r="L206" s="6" t="s">
        <v>1381</v>
      </c>
      <c r="M206" s="21" t="s">
        <v>1368</v>
      </c>
      <c r="N206" s="21" t="s">
        <v>1369</v>
      </c>
      <c r="P206" s="21" t="s">
        <v>1371</v>
      </c>
      <c r="Q206" s="21" t="s">
        <v>1404</v>
      </c>
    </row>
    <row r="207" spans="1:33" ht="43.15">
      <c r="A207" s="253" t="s">
        <v>2851</v>
      </c>
      <c r="B207" s="289"/>
      <c r="C207" s="21" t="s">
        <v>2795</v>
      </c>
      <c r="D207" s="2" t="s">
        <v>2852</v>
      </c>
      <c r="E207" s="2" t="s">
        <v>2853</v>
      </c>
      <c r="F207" s="2" t="s">
        <v>2644</v>
      </c>
      <c r="G207" s="2" t="s">
        <v>2854</v>
      </c>
      <c r="H207" s="2" t="s">
        <v>2855</v>
      </c>
      <c r="I207" s="2" t="s">
        <v>2856</v>
      </c>
      <c r="J207" s="2" t="s">
        <v>2648</v>
      </c>
      <c r="K207" s="2" t="s">
        <v>2857</v>
      </c>
      <c r="L207" s="6" t="s">
        <v>1367</v>
      </c>
      <c r="M207" s="21" t="s">
        <v>1368</v>
      </c>
      <c r="N207" s="21" t="s">
        <v>1369</v>
      </c>
      <c r="P207" s="21" t="s">
        <v>22</v>
      </c>
    </row>
    <row r="208" spans="1:33" ht="43.15">
      <c r="A208" s="253" t="s">
        <v>2858</v>
      </c>
      <c r="B208" s="289"/>
      <c r="C208" s="21" t="s">
        <v>2795</v>
      </c>
      <c r="D208" s="2" t="s">
        <v>2859</v>
      </c>
      <c r="E208" s="2" t="s">
        <v>2652</v>
      </c>
      <c r="F208" s="2" t="s">
        <v>2860</v>
      </c>
      <c r="G208" s="2" t="s">
        <v>2861</v>
      </c>
      <c r="H208" s="2" t="s">
        <v>2862</v>
      </c>
      <c r="I208" s="2" t="s">
        <v>2863</v>
      </c>
      <c r="J208" s="2" t="s">
        <v>2657</v>
      </c>
      <c r="K208" s="2" t="s">
        <v>2864</v>
      </c>
      <c r="L208" s="6" t="s">
        <v>1367</v>
      </c>
      <c r="M208" s="21" t="s">
        <v>1368</v>
      </c>
      <c r="N208" s="21" t="s">
        <v>1369</v>
      </c>
      <c r="P208" s="21" t="s">
        <v>22</v>
      </c>
    </row>
    <row r="209" spans="1:17" ht="43.15">
      <c r="A209" s="253" t="s">
        <v>2865</v>
      </c>
      <c r="B209" s="289"/>
      <c r="C209" s="21" t="s">
        <v>2795</v>
      </c>
      <c r="D209" s="2" t="s">
        <v>2866</v>
      </c>
      <c r="E209" s="2" t="s">
        <v>2867</v>
      </c>
      <c r="F209" s="2" t="s">
        <v>2662</v>
      </c>
      <c r="G209" s="2" t="s">
        <v>2868</v>
      </c>
      <c r="H209" s="2" t="s">
        <v>2869</v>
      </c>
      <c r="I209" s="2" t="s">
        <v>2870</v>
      </c>
      <c r="J209" s="2" t="s">
        <v>2666</v>
      </c>
      <c r="K209" s="2" t="s">
        <v>2667</v>
      </c>
      <c r="L209" s="6" t="s">
        <v>1367</v>
      </c>
      <c r="M209" s="21" t="s">
        <v>1368</v>
      </c>
      <c r="N209" s="21" t="s">
        <v>1369</v>
      </c>
      <c r="P209" s="21" t="s">
        <v>22</v>
      </c>
    </row>
    <row r="210" spans="1:17" ht="28.9">
      <c r="A210" s="253" t="s">
        <v>2871</v>
      </c>
      <c r="B210" s="289"/>
      <c r="C210" s="21" t="s">
        <v>2795</v>
      </c>
      <c r="D210" s="2" t="s">
        <v>2669</v>
      </c>
      <c r="E210" s="2" t="s">
        <v>2670</v>
      </c>
      <c r="F210" s="2" t="s">
        <v>2644</v>
      </c>
      <c r="G210" s="2" t="s">
        <v>2671</v>
      </c>
      <c r="H210" s="2" t="s">
        <v>2672</v>
      </c>
      <c r="I210" s="2" t="s">
        <v>2673</v>
      </c>
      <c r="J210" s="2" t="s">
        <v>2674</v>
      </c>
      <c r="K210" s="2" t="s">
        <v>2675</v>
      </c>
      <c r="L210" s="6" t="s">
        <v>1367</v>
      </c>
      <c r="M210" s="21" t="s">
        <v>1368</v>
      </c>
      <c r="N210" s="21" t="s">
        <v>1369</v>
      </c>
      <c r="P210" s="21" t="s">
        <v>22</v>
      </c>
    </row>
    <row r="211" spans="1:17" ht="28.9">
      <c r="A211" s="253" t="s">
        <v>2872</v>
      </c>
      <c r="B211" s="289"/>
      <c r="C211" s="21" t="s">
        <v>2795</v>
      </c>
      <c r="D211" s="2" t="s">
        <v>2873</v>
      </c>
      <c r="E211" s="2" t="s">
        <v>2678</v>
      </c>
      <c r="F211" s="2" t="s">
        <v>2679</v>
      </c>
      <c r="G211" s="2" t="s">
        <v>2874</v>
      </c>
      <c r="H211" s="2" t="s">
        <v>2681</v>
      </c>
      <c r="I211" s="2" t="s">
        <v>2682</v>
      </c>
      <c r="J211" s="2" t="s">
        <v>2683</v>
      </c>
      <c r="K211" s="2" t="s">
        <v>2684</v>
      </c>
      <c r="L211" s="6" t="s">
        <v>1367</v>
      </c>
      <c r="M211" s="21" t="s">
        <v>1368</v>
      </c>
      <c r="N211" s="21" t="s">
        <v>1369</v>
      </c>
      <c r="P211" s="21" t="s">
        <v>1393</v>
      </c>
    </row>
    <row r="212" spans="1:17" ht="28.9">
      <c r="A212" s="253" t="s">
        <v>2875</v>
      </c>
      <c r="B212" s="289"/>
      <c r="C212" s="21" t="s">
        <v>2795</v>
      </c>
      <c r="D212" s="2" t="s">
        <v>2876</v>
      </c>
      <c r="E212" s="2" t="s">
        <v>2687</v>
      </c>
      <c r="F212" s="2" t="s">
        <v>2684</v>
      </c>
      <c r="G212" s="2" t="s">
        <v>2877</v>
      </c>
      <c r="H212" s="2" t="s">
        <v>2878</v>
      </c>
      <c r="I212" s="2" t="s">
        <v>2690</v>
      </c>
      <c r="J212" s="2" t="s">
        <v>2691</v>
      </c>
      <c r="K212" s="2" t="s">
        <v>2692</v>
      </c>
      <c r="L212" s="6" t="s">
        <v>1367</v>
      </c>
      <c r="M212" s="21" t="s">
        <v>1368</v>
      </c>
      <c r="N212" s="21" t="s">
        <v>1369</v>
      </c>
      <c r="P212" s="21" t="s">
        <v>22</v>
      </c>
    </row>
    <row r="213" spans="1:17" ht="43.15">
      <c r="A213" s="253" t="s">
        <v>2879</v>
      </c>
      <c r="B213" s="289"/>
      <c r="C213" s="21" t="s">
        <v>2795</v>
      </c>
      <c r="D213" s="2" t="s">
        <v>2880</v>
      </c>
      <c r="E213" s="2" t="s">
        <v>2695</v>
      </c>
      <c r="F213" s="2" t="s">
        <v>2696</v>
      </c>
      <c r="G213" s="2" t="s">
        <v>2881</v>
      </c>
      <c r="H213" s="2" t="s">
        <v>2698</v>
      </c>
      <c r="I213" s="2" t="s">
        <v>2630</v>
      </c>
      <c r="J213" s="2" t="s">
        <v>2699</v>
      </c>
      <c r="K213" s="2" t="s">
        <v>2630</v>
      </c>
      <c r="L213" s="6" t="s">
        <v>1367</v>
      </c>
      <c r="M213" s="21" t="s">
        <v>1368</v>
      </c>
      <c r="N213" s="21" t="s">
        <v>1369</v>
      </c>
      <c r="P213" s="21" t="s">
        <v>1371</v>
      </c>
    </row>
    <row r="214" spans="1:17" ht="86.45">
      <c r="A214" s="253" t="s">
        <v>2882</v>
      </c>
      <c r="B214" s="289"/>
      <c r="C214" s="21" t="s">
        <v>2795</v>
      </c>
      <c r="D214" s="2" t="s">
        <v>2701</v>
      </c>
      <c r="E214" s="2" t="s">
        <v>2883</v>
      </c>
      <c r="F214" s="2" t="s">
        <v>2644</v>
      </c>
      <c r="G214" s="2" t="s">
        <v>2884</v>
      </c>
      <c r="H214" s="2" t="s">
        <v>2704</v>
      </c>
      <c r="I214" s="2" t="s">
        <v>2705</v>
      </c>
      <c r="J214" s="2" t="s">
        <v>2706</v>
      </c>
      <c r="K214" s="2" t="s">
        <v>2885</v>
      </c>
      <c r="L214" s="6" t="s">
        <v>1381</v>
      </c>
      <c r="M214" s="21" t="s">
        <v>1368</v>
      </c>
      <c r="N214" s="21" t="s">
        <v>1369</v>
      </c>
      <c r="P214" s="21" t="s">
        <v>22</v>
      </c>
      <c r="Q214" s="21" t="s">
        <v>1404</v>
      </c>
    </row>
    <row r="215" spans="1:17" ht="28.9">
      <c r="A215" s="253" t="s">
        <v>2886</v>
      </c>
      <c r="B215" s="289"/>
      <c r="C215" s="21" t="s">
        <v>2795</v>
      </c>
      <c r="D215" s="2" t="s">
        <v>2887</v>
      </c>
      <c r="E215" s="2" t="s">
        <v>2710</v>
      </c>
      <c r="F215" s="2" t="s">
        <v>2888</v>
      </c>
      <c r="G215" s="2" t="s">
        <v>2712</v>
      </c>
      <c r="H215" s="2" t="s">
        <v>2713</v>
      </c>
      <c r="I215" s="2" t="s">
        <v>2714</v>
      </c>
      <c r="J215" s="2" t="s">
        <v>2715</v>
      </c>
      <c r="K215" s="2" t="s">
        <v>2716</v>
      </c>
      <c r="L215" s="6" t="s">
        <v>1367</v>
      </c>
      <c r="M215" s="21" t="s">
        <v>1368</v>
      </c>
      <c r="N215" s="21" t="s">
        <v>1369</v>
      </c>
      <c r="P215" s="21" t="s">
        <v>1371</v>
      </c>
    </row>
    <row r="216" spans="1:17" ht="28.9">
      <c r="A216" s="253" t="s">
        <v>2889</v>
      </c>
      <c r="B216" s="289"/>
      <c r="C216" s="21" t="s">
        <v>2795</v>
      </c>
      <c r="D216" s="2" t="s">
        <v>2718</v>
      </c>
      <c r="E216" s="2" t="s">
        <v>2719</v>
      </c>
      <c r="F216" s="2" t="s">
        <v>2720</v>
      </c>
      <c r="G216" s="2" t="s">
        <v>2890</v>
      </c>
      <c r="H216" s="2" t="s">
        <v>2891</v>
      </c>
      <c r="I216" s="2" t="s">
        <v>2723</v>
      </c>
      <c r="J216" s="2" t="s">
        <v>2724</v>
      </c>
      <c r="K216" s="2" t="s">
        <v>2723</v>
      </c>
      <c r="L216" s="6" t="s">
        <v>1367</v>
      </c>
      <c r="M216" s="21" t="s">
        <v>1368</v>
      </c>
      <c r="N216" s="21" t="s">
        <v>1369</v>
      </c>
      <c r="P216" s="21" t="s">
        <v>22</v>
      </c>
    </row>
    <row r="217" spans="1:17" ht="28.9">
      <c r="A217" s="253" t="s">
        <v>2892</v>
      </c>
      <c r="B217" s="289"/>
      <c r="C217" s="21" t="s">
        <v>2795</v>
      </c>
      <c r="D217" s="2" t="s">
        <v>2893</v>
      </c>
      <c r="E217" s="2" t="s">
        <v>2727</v>
      </c>
      <c r="F217" s="2" t="s">
        <v>2728</v>
      </c>
      <c r="G217" s="2" t="s">
        <v>2729</v>
      </c>
      <c r="H217" s="2" t="s">
        <v>2891</v>
      </c>
      <c r="I217" s="2" t="s">
        <v>2894</v>
      </c>
      <c r="J217" s="2" t="s">
        <v>2731</v>
      </c>
      <c r="K217" s="2" t="s">
        <v>2732</v>
      </c>
      <c r="L217" s="6" t="s">
        <v>1367</v>
      </c>
      <c r="M217" s="21" t="s">
        <v>1368</v>
      </c>
      <c r="N217" s="21" t="s">
        <v>1369</v>
      </c>
      <c r="P217" s="21" t="s">
        <v>1393</v>
      </c>
    </row>
    <row r="218" spans="1:17" ht="28.9">
      <c r="A218" s="253" t="s">
        <v>2895</v>
      </c>
      <c r="B218" s="289"/>
      <c r="C218" s="21" t="s">
        <v>2795</v>
      </c>
      <c r="D218" s="2" t="s">
        <v>2896</v>
      </c>
      <c r="E218" s="2" t="s">
        <v>2735</v>
      </c>
      <c r="F218" s="2" t="s">
        <v>2732</v>
      </c>
      <c r="G218" s="2" t="s">
        <v>2897</v>
      </c>
      <c r="H218" s="2" t="s">
        <v>2898</v>
      </c>
      <c r="I218" s="2" t="s">
        <v>2738</v>
      </c>
      <c r="J218" s="2" t="s">
        <v>2739</v>
      </c>
      <c r="K218" s="2" t="s">
        <v>2740</v>
      </c>
      <c r="L218" s="6" t="s">
        <v>1367</v>
      </c>
      <c r="M218" s="21" t="s">
        <v>1368</v>
      </c>
      <c r="N218" s="21" t="s">
        <v>1369</v>
      </c>
      <c r="P218" s="21" t="s">
        <v>22</v>
      </c>
    </row>
    <row r="219" spans="1:17" ht="28.9">
      <c r="A219" s="253" t="s">
        <v>2899</v>
      </c>
      <c r="B219" s="289"/>
      <c r="C219" s="21" t="s">
        <v>2795</v>
      </c>
      <c r="D219" s="2" t="s">
        <v>2900</v>
      </c>
      <c r="E219" s="2" t="s">
        <v>2743</v>
      </c>
      <c r="F219" s="2" t="s">
        <v>2732</v>
      </c>
      <c r="G219" s="2" t="s">
        <v>2901</v>
      </c>
      <c r="H219" s="2" t="s">
        <v>2891</v>
      </c>
      <c r="I219" s="2" t="s">
        <v>2630</v>
      </c>
      <c r="J219" s="2" t="s">
        <v>2745</v>
      </c>
      <c r="K219" s="2" t="s">
        <v>2630</v>
      </c>
      <c r="L219" s="6" t="s">
        <v>1367</v>
      </c>
      <c r="M219" s="21" t="s">
        <v>1368</v>
      </c>
      <c r="N219" s="21" t="s">
        <v>1369</v>
      </c>
      <c r="P219" s="21" t="s">
        <v>1371</v>
      </c>
    </row>
    <row r="220" spans="1:17" ht="43.15">
      <c r="A220" s="253" t="s">
        <v>2902</v>
      </c>
      <c r="B220" s="289"/>
      <c r="C220" s="21" t="s">
        <v>2795</v>
      </c>
      <c r="D220" s="2" t="s">
        <v>2903</v>
      </c>
      <c r="E220" s="2" t="s">
        <v>2748</v>
      </c>
      <c r="F220" s="2" t="s">
        <v>2888</v>
      </c>
      <c r="G220" s="2" t="s">
        <v>2904</v>
      </c>
      <c r="H220" s="2" t="s">
        <v>2905</v>
      </c>
      <c r="I220" s="2" t="s">
        <v>2906</v>
      </c>
      <c r="J220" s="2" t="s">
        <v>2752</v>
      </c>
      <c r="K220" s="2" t="s">
        <v>2907</v>
      </c>
      <c r="L220" s="6" t="s">
        <v>1367</v>
      </c>
      <c r="M220" s="21" t="s">
        <v>1368</v>
      </c>
      <c r="N220" s="21" t="s">
        <v>1369</v>
      </c>
      <c r="P220" s="21" t="s">
        <v>22</v>
      </c>
    </row>
    <row r="221" spans="1:17" ht="43.15">
      <c r="A221" s="253" t="s">
        <v>2908</v>
      </c>
      <c r="B221" s="289"/>
      <c r="C221" s="21" t="s">
        <v>2795</v>
      </c>
      <c r="D221" s="2" t="s">
        <v>2909</v>
      </c>
      <c r="E221" s="2" t="s">
        <v>2756</v>
      </c>
      <c r="F221" s="2" t="s">
        <v>2910</v>
      </c>
      <c r="G221" s="2" t="s">
        <v>2758</v>
      </c>
      <c r="H221" s="2" t="s">
        <v>2891</v>
      </c>
      <c r="I221" s="2" t="s">
        <v>2759</v>
      </c>
      <c r="J221" s="2" t="s">
        <v>2760</v>
      </c>
      <c r="K221" s="2" t="s">
        <v>2761</v>
      </c>
      <c r="L221" s="6" t="s">
        <v>1367</v>
      </c>
      <c r="M221" s="21" t="s">
        <v>1368</v>
      </c>
      <c r="N221" s="21" t="s">
        <v>1369</v>
      </c>
      <c r="P221" s="21" t="s">
        <v>22</v>
      </c>
    </row>
    <row r="222" spans="1:17" ht="43.15">
      <c r="A222" s="253" t="s">
        <v>2911</v>
      </c>
      <c r="B222" s="289"/>
      <c r="C222" s="21" t="s">
        <v>2795</v>
      </c>
      <c r="D222" s="2" t="s">
        <v>2912</v>
      </c>
      <c r="E222" s="2" t="s">
        <v>2913</v>
      </c>
      <c r="F222" s="2" t="s">
        <v>2888</v>
      </c>
      <c r="G222" s="2" t="s">
        <v>2914</v>
      </c>
      <c r="H222" s="2" t="s">
        <v>2915</v>
      </c>
      <c r="I222" s="2" t="s">
        <v>2916</v>
      </c>
      <c r="J222" s="2" t="s">
        <v>2767</v>
      </c>
      <c r="K222" s="2" t="s">
        <v>2894</v>
      </c>
      <c r="L222" s="6" t="s">
        <v>1367</v>
      </c>
      <c r="M222" s="21" t="s">
        <v>1368</v>
      </c>
      <c r="N222" s="21" t="s">
        <v>1369</v>
      </c>
      <c r="P222" s="21" t="s">
        <v>1393</v>
      </c>
    </row>
    <row r="223" spans="1:17" ht="43.15">
      <c r="A223" s="253" t="s">
        <v>2917</v>
      </c>
      <c r="B223" s="289"/>
      <c r="C223" s="21" t="s">
        <v>2795</v>
      </c>
      <c r="D223" s="2" t="s">
        <v>2918</v>
      </c>
      <c r="E223" s="2" t="s">
        <v>2771</v>
      </c>
      <c r="F223" s="2" t="s">
        <v>2919</v>
      </c>
      <c r="G223" s="2" t="s">
        <v>2773</v>
      </c>
      <c r="H223" s="2" t="s">
        <v>2774</v>
      </c>
      <c r="I223" s="2" t="s">
        <v>2920</v>
      </c>
      <c r="J223" s="2" t="s">
        <v>2776</v>
      </c>
      <c r="K223" s="2" t="s">
        <v>2777</v>
      </c>
      <c r="L223" s="6" t="s">
        <v>1367</v>
      </c>
      <c r="M223" s="21" t="s">
        <v>1368</v>
      </c>
      <c r="N223" s="21" t="s">
        <v>1369</v>
      </c>
      <c r="P223" s="21" t="s">
        <v>1371</v>
      </c>
    </row>
    <row r="224" spans="1:17" ht="43.15">
      <c r="A224" s="253" t="s">
        <v>2921</v>
      </c>
      <c r="B224" s="289"/>
      <c r="C224" s="21" t="s">
        <v>2795</v>
      </c>
      <c r="D224" s="2" t="s">
        <v>2779</v>
      </c>
      <c r="E224" s="2" t="s">
        <v>2780</v>
      </c>
      <c r="F224" s="2" t="s">
        <v>2781</v>
      </c>
      <c r="G224" s="2" t="s">
        <v>2782</v>
      </c>
      <c r="H224" s="2" t="s">
        <v>1442</v>
      </c>
      <c r="I224" s="2" t="s">
        <v>2783</v>
      </c>
      <c r="J224" s="2" t="s">
        <v>2784</v>
      </c>
      <c r="K224" s="2" t="s">
        <v>2785</v>
      </c>
      <c r="L224" s="6" t="s">
        <v>1367</v>
      </c>
      <c r="M224" s="21" t="s">
        <v>1368</v>
      </c>
      <c r="P224" s="21" t="s">
        <v>1371</v>
      </c>
    </row>
    <row r="225" spans="1:33" ht="28.9">
      <c r="A225" s="253" t="s">
        <v>2922</v>
      </c>
      <c r="B225" s="289"/>
      <c r="C225" s="21" t="s">
        <v>2795</v>
      </c>
      <c r="D225" s="2" t="s">
        <v>2787</v>
      </c>
      <c r="E225" s="2" t="s">
        <v>2788</v>
      </c>
      <c r="F225" s="2" t="s">
        <v>2923</v>
      </c>
      <c r="G225" s="2" t="s">
        <v>2790</v>
      </c>
      <c r="H225" s="2" t="s">
        <v>1442</v>
      </c>
      <c r="I225" s="2" t="s">
        <v>2791</v>
      </c>
      <c r="J225" s="2" t="s">
        <v>2792</v>
      </c>
      <c r="K225" s="2" t="s">
        <v>2793</v>
      </c>
      <c r="L225" s="6" t="s">
        <v>1367</v>
      </c>
      <c r="M225" s="21" t="s">
        <v>1368</v>
      </c>
      <c r="P225" s="21" t="s">
        <v>1481</v>
      </c>
      <c r="AG225" s="78"/>
    </row>
    <row r="226" spans="1:33" s="45" customFormat="1">
      <c r="A226" s="83"/>
      <c r="B226" s="289"/>
      <c r="C226" s="78"/>
      <c r="D226" s="44"/>
      <c r="E226" s="44"/>
      <c r="F226" s="44"/>
      <c r="G226" s="44"/>
      <c r="H226" s="44"/>
      <c r="I226" s="44"/>
      <c r="J226" s="44"/>
      <c r="K226" s="44"/>
      <c r="L226" s="81"/>
      <c r="M226" s="78"/>
      <c r="P226" s="78"/>
      <c r="Q226" s="78"/>
      <c r="R226" s="303"/>
      <c r="W226" s="6"/>
      <c r="X226" s="6"/>
      <c r="AG226" s="21"/>
    </row>
    <row r="227" spans="1:33" ht="57.6">
      <c r="A227" s="253" t="s">
        <v>2924</v>
      </c>
      <c r="B227" s="289"/>
      <c r="C227" s="21" t="s">
        <v>2925</v>
      </c>
      <c r="D227" s="134" t="s">
        <v>2926</v>
      </c>
      <c r="E227" s="134" t="s">
        <v>2927</v>
      </c>
      <c r="F227" s="134" t="s">
        <v>2928</v>
      </c>
      <c r="G227" s="134" t="s">
        <v>2929</v>
      </c>
      <c r="H227" s="134" t="s">
        <v>2930</v>
      </c>
      <c r="I227" s="134" t="s">
        <v>2931</v>
      </c>
      <c r="J227" s="134" t="s">
        <v>2932</v>
      </c>
      <c r="K227" s="134" t="s">
        <v>2933</v>
      </c>
      <c r="L227" s="191" t="s">
        <v>1367</v>
      </c>
      <c r="M227" s="21" t="s">
        <v>1415</v>
      </c>
      <c r="O227" s="180" t="s">
        <v>1649</v>
      </c>
      <c r="P227" s="306" t="s">
        <v>1481</v>
      </c>
      <c r="W227" s="81"/>
      <c r="X227" s="81"/>
    </row>
    <row r="228" spans="1:33" ht="57.6">
      <c r="A228" s="253" t="s">
        <v>2934</v>
      </c>
      <c r="B228" s="289"/>
      <c r="C228" s="21" t="s">
        <v>2925</v>
      </c>
      <c r="D228" s="134" t="s">
        <v>2935</v>
      </c>
      <c r="E228" s="134" t="s">
        <v>2388</v>
      </c>
      <c r="F228" s="134" t="s">
        <v>2928</v>
      </c>
      <c r="G228" s="134" t="s">
        <v>2389</v>
      </c>
      <c r="H228" s="134" t="s">
        <v>2936</v>
      </c>
      <c r="I228" s="134" t="s">
        <v>2937</v>
      </c>
      <c r="J228" s="134" t="s">
        <v>2932</v>
      </c>
      <c r="K228" s="134" t="s">
        <v>2938</v>
      </c>
      <c r="L228" s="191" t="s">
        <v>1367</v>
      </c>
      <c r="M228" s="21" t="s">
        <v>1415</v>
      </c>
      <c r="O228" s="180" t="s">
        <v>1649</v>
      </c>
      <c r="P228" s="306" t="s">
        <v>1371</v>
      </c>
    </row>
    <row r="229" spans="1:33" ht="57.6">
      <c r="A229" s="253" t="s">
        <v>2939</v>
      </c>
      <c r="B229" s="289"/>
      <c r="C229" s="21" t="s">
        <v>2925</v>
      </c>
      <c r="D229" s="134" t="s">
        <v>2940</v>
      </c>
      <c r="E229" s="134" t="s">
        <v>2941</v>
      </c>
      <c r="F229" s="134" t="s">
        <v>2928</v>
      </c>
      <c r="G229" s="134" t="s">
        <v>2396</v>
      </c>
      <c r="H229" s="134" t="s">
        <v>2942</v>
      </c>
      <c r="I229" s="134" t="s">
        <v>2943</v>
      </c>
      <c r="J229" s="134" t="s">
        <v>2932</v>
      </c>
      <c r="K229" s="134" t="s">
        <v>2944</v>
      </c>
      <c r="L229" s="191" t="s">
        <v>1367</v>
      </c>
      <c r="M229" s="21" t="s">
        <v>1415</v>
      </c>
      <c r="O229" s="180" t="s">
        <v>1649</v>
      </c>
      <c r="P229" s="306" t="s">
        <v>1481</v>
      </c>
    </row>
    <row r="230" spans="1:33" ht="57.6">
      <c r="A230" s="253" t="s">
        <v>2945</v>
      </c>
      <c r="B230" s="289"/>
      <c r="C230" s="21" t="s">
        <v>2925</v>
      </c>
      <c r="D230" s="134" t="s">
        <v>2946</v>
      </c>
      <c r="E230" s="134" t="s">
        <v>2947</v>
      </c>
      <c r="F230" s="134" t="s">
        <v>2928</v>
      </c>
      <c r="G230" s="134" t="s">
        <v>2948</v>
      </c>
      <c r="H230" s="134" t="s">
        <v>2949</v>
      </c>
      <c r="I230" s="134" t="s">
        <v>2950</v>
      </c>
      <c r="J230" s="134" t="s">
        <v>2028</v>
      </c>
      <c r="K230" s="134" t="s">
        <v>2951</v>
      </c>
      <c r="L230" s="191" t="s">
        <v>1367</v>
      </c>
      <c r="M230" s="21" t="s">
        <v>1415</v>
      </c>
      <c r="O230" s="180" t="s">
        <v>1649</v>
      </c>
      <c r="P230" s="306" t="s">
        <v>22</v>
      </c>
    </row>
    <row r="231" spans="1:33" ht="72">
      <c r="A231" s="253" t="s">
        <v>2952</v>
      </c>
      <c r="B231" s="289"/>
      <c r="C231" s="21" t="s">
        <v>2925</v>
      </c>
      <c r="D231" s="134" t="s">
        <v>2953</v>
      </c>
      <c r="E231" s="134" t="s">
        <v>2954</v>
      </c>
      <c r="F231" s="134" t="s">
        <v>2928</v>
      </c>
      <c r="G231" s="134" t="s">
        <v>2955</v>
      </c>
      <c r="H231" s="134" t="s">
        <v>2956</v>
      </c>
      <c r="I231" s="134" t="s">
        <v>2957</v>
      </c>
      <c r="J231" s="134" t="s">
        <v>2932</v>
      </c>
      <c r="K231" s="134" t="s">
        <v>2958</v>
      </c>
      <c r="L231" s="190" t="s">
        <v>1381</v>
      </c>
      <c r="M231" s="21" t="s">
        <v>1415</v>
      </c>
      <c r="O231" s="180" t="s">
        <v>1649</v>
      </c>
      <c r="P231" s="306" t="s">
        <v>22</v>
      </c>
      <c r="Q231" s="21" t="s">
        <v>1404</v>
      </c>
      <c r="R231" s="5" t="s">
        <v>2959</v>
      </c>
    </row>
    <row r="232" spans="1:33" ht="57.6">
      <c r="A232" s="253" t="s">
        <v>2960</v>
      </c>
      <c r="B232" s="289"/>
      <c r="C232" s="21" t="s">
        <v>2925</v>
      </c>
      <c r="D232" s="134" t="s">
        <v>2961</v>
      </c>
      <c r="E232" s="134" t="s">
        <v>2962</v>
      </c>
      <c r="F232" s="134" t="s">
        <v>2928</v>
      </c>
      <c r="G232" s="134" t="s">
        <v>2963</v>
      </c>
      <c r="H232" s="134" t="s">
        <v>2964</v>
      </c>
      <c r="I232" s="134" t="s">
        <v>2965</v>
      </c>
      <c r="J232" s="134" t="s">
        <v>2028</v>
      </c>
      <c r="K232" s="134" t="s">
        <v>2966</v>
      </c>
      <c r="L232" s="191" t="s">
        <v>1367</v>
      </c>
      <c r="M232" s="21" t="s">
        <v>1415</v>
      </c>
      <c r="O232" s="180" t="s">
        <v>1649</v>
      </c>
      <c r="P232" s="306" t="s">
        <v>22</v>
      </c>
    </row>
    <row r="233" spans="1:33" ht="57.6">
      <c r="A233" s="253" t="s">
        <v>2967</v>
      </c>
      <c r="B233" s="289"/>
      <c r="C233" s="21" t="s">
        <v>2925</v>
      </c>
      <c r="D233" s="134" t="s">
        <v>2968</v>
      </c>
      <c r="E233" s="134" t="s">
        <v>2969</v>
      </c>
      <c r="F233" s="134" t="s">
        <v>2928</v>
      </c>
      <c r="G233" s="134" t="s">
        <v>2970</v>
      </c>
      <c r="H233" s="134" t="s">
        <v>2971</v>
      </c>
      <c r="I233" s="134" t="s">
        <v>2972</v>
      </c>
      <c r="J233" s="134" t="s">
        <v>2028</v>
      </c>
      <c r="K233" s="134" t="s">
        <v>2973</v>
      </c>
      <c r="L233" s="191" t="s">
        <v>1367</v>
      </c>
      <c r="M233" s="21" t="s">
        <v>1415</v>
      </c>
      <c r="O233" s="180" t="s">
        <v>1649</v>
      </c>
      <c r="P233" s="306" t="s">
        <v>1371</v>
      </c>
    </row>
    <row r="234" spans="1:33" ht="57.6">
      <c r="A234" s="253" t="s">
        <v>2974</v>
      </c>
      <c r="B234" s="289"/>
      <c r="C234" s="21" t="s">
        <v>2925</v>
      </c>
      <c r="D234" s="134" t="s">
        <v>2975</v>
      </c>
      <c r="E234" s="134" t="s">
        <v>2976</v>
      </c>
      <c r="F234" s="134" t="s">
        <v>2928</v>
      </c>
      <c r="G234" s="134" t="s">
        <v>2977</v>
      </c>
      <c r="H234" s="134" t="s">
        <v>2978</v>
      </c>
      <c r="I234" s="134" t="s">
        <v>2979</v>
      </c>
      <c r="J234" s="134" t="s">
        <v>2028</v>
      </c>
      <c r="K234" s="134" t="s">
        <v>2980</v>
      </c>
      <c r="L234" s="191" t="s">
        <v>1367</v>
      </c>
      <c r="M234" s="21" t="s">
        <v>1415</v>
      </c>
      <c r="O234" s="180" t="s">
        <v>1649</v>
      </c>
      <c r="P234" s="306" t="s">
        <v>1371</v>
      </c>
    </row>
    <row r="235" spans="1:33" ht="57.6">
      <c r="A235" s="253" t="s">
        <v>2981</v>
      </c>
      <c r="B235" s="289"/>
      <c r="C235" s="21" t="s">
        <v>2925</v>
      </c>
      <c r="D235" s="134" t="s">
        <v>2982</v>
      </c>
      <c r="E235" s="134" t="s">
        <v>2983</v>
      </c>
      <c r="F235" s="134" t="s">
        <v>2928</v>
      </c>
      <c r="G235" s="134" t="s">
        <v>2984</v>
      </c>
      <c r="H235" s="134" t="s">
        <v>2985</v>
      </c>
      <c r="I235" s="134" t="s">
        <v>2986</v>
      </c>
      <c r="J235" s="134" t="s">
        <v>2028</v>
      </c>
      <c r="K235" s="134" t="s">
        <v>2987</v>
      </c>
      <c r="L235" s="191" t="s">
        <v>1367</v>
      </c>
      <c r="M235" s="21" t="s">
        <v>1415</v>
      </c>
      <c r="O235" s="180" t="s">
        <v>1649</v>
      </c>
      <c r="P235" s="306" t="s">
        <v>22</v>
      </c>
    </row>
    <row r="236" spans="1:33" ht="57.6">
      <c r="A236" s="253" t="s">
        <v>2988</v>
      </c>
      <c r="B236" s="289"/>
      <c r="C236" s="21" t="s">
        <v>2925</v>
      </c>
      <c r="D236" s="134" t="s">
        <v>2989</v>
      </c>
      <c r="E236" s="134" t="s">
        <v>2990</v>
      </c>
      <c r="F236" s="134" t="s">
        <v>2928</v>
      </c>
      <c r="G236" s="189" t="s">
        <v>2991</v>
      </c>
      <c r="H236" s="134" t="s">
        <v>2992</v>
      </c>
      <c r="I236" s="134" t="s">
        <v>2993</v>
      </c>
      <c r="J236" s="134" t="s">
        <v>2028</v>
      </c>
      <c r="K236" s="134" t="s">
        <v>2994</v>
      </c>
      <c r="L236" s="191" t="s">
        <v>1367</v>
      </c>
      <c r="M236" s="21" t="s">
        <v>1415</v>
      </c>
      <c r="O236" s="180" t="s">
        <v>1649</v>
      </c>
      <c r="P236" s="306" t="s">
        <v>1481</v>
      </c>
    </row>
    <row r="237" spans="1:33" ht="57.6">
      <c r="A237" s="253" t="s">
        <v>2995</v>
      </c>
      <c r="B237" s="289"/>
      <c r="C237" s="21" t="s">
        <v>2925</v>
      </c>
      <c r="D237" s="134" t="s">
        <v>2996</v>
      </c>
      <c r="E237" s="134" t="s">
        <v>2997</v>
      </c>
      <c r="F237" s="134" t="s">
        <v>2928</v>
      </c>
      <c r="G237" s="134" t="s">
        <v>2998</v>
      </c>
      <c r="H237" s="134" t="s">
        <v>2999</v>
      </c>
      <c r="I237" s="134" t="s">
        <v>3000</v>
      </c>
      <c r="J237" s="134" t="s">
        <v>2028</v>
      </c>
      <c r="K237" s="134" t="s">
        <v>3001</v>
      </c>
      <c r="L237" s="191" t="s">
        <v>1367</v>
      </c>
      <c r="M237" s="21" t="s">
        <v>1415</v>
      </c>
      <c r="O237" s="180" t="s">
        <v>1649</v>
      </c>
      <c r="P237" s="306" t="s">
        <v>1371</v>
      </c>
    </row>
    <row r="238" spans="1:33" ht="57.6">
      <c r="A238" s="253" t="s">
        <v>3002</v>
      </c>
      <c r="B238" s="289"/>
      <c r="C238" s="21" t="s">
        <v>2925</v>
      </c>
      <c r="D238" s="134" t="s">
        <v>3003</v>
      </c>
      <c r="E238" s="134" t="s">
        <v>3004</v>
      </c>
      <c r="F238" s="134" t="s">
        <v>2928</v>
      </c>
      <c r="G238" s="134" t="s">
        <v>3005</v>
      </c>
      <c r="H238" s="134" t="s">
        <v>3006</v>
      </c>
      <c r="I238" s="134" t="s">
        <v>3007</v>
      </c>
      <c r="J238" s="134" t="s">
        <v>2932</v>
      </c>
      <c r="K238" s="134" t="s">
        <v>3008</v>
      </c>
      <c r="L238" s="191" t="s">
        <v>1367</v>
      </c>
      <c r="M238" s="21" t="s">
        <v>1415</v>
      </c>
      <c r="O238" s="180" t="s">
        <v>1649</v>
      </c>
      <c r="P238" s="306" t="s">
        <v>22</v>
      </c>
    </row>
    <row r="239" spans="1:33" ht="57.6">
      <c r="A239" s="253" t="s">
        <v>3009</v>
      </c>
      <c r="B239" s="289"/>
      <c r="C239" s="21" t="s">
        <v>2925</v>
      </c>
      <c r="D239" s="134" t="s">
        <v>3010</v>
      </c>
      <c r="E239" s="134" t="s">
        <v>3011</v>
      </c>
      <c r="F239" s="134" t="s">
        <v>2928</v>
      </c>
      <c r="G239" s="134" t="s">
        <v>3012</v>
      </c>
      <c r="H239" s="134" t="s">
        <v>3013</v>
      </c>
      <c r="I239" s="134" t="s">
        <v>3014</v>
      </c>
      <c r="J239" s="134" t="s">
        <v>2932</v>
      </c>
      <c r="K239" s="134" t="s">
        <v>3015</v>
      </c>
      <c r="L239" s="191" t="s">
        <v>1367</v>
      </c>
      <c r="M239" s="21" t="s">
        <v>1415</v>
      </c>
      <c r="O239" s="180" t="s">
        <v>1649</v>
      </c>
      <c r="P239" s="306" t="s">
        <v>1481</v>
      </c>
    </row>
    <row r="240" spans="1:33" ht="57.6">
      <c r="A240" s="253" t="s">
        <v>3016</v>
      </c>
      <c r="B240" s="289"/>
      <c r="C240" s="21" t="s">
        <v>2925</v>
      </c>
      <c r="D240" s="134" t="s">
        <v>3017</v>
      </c>
      <c r="E240" s="134" t="s">
        <v>3018</v>
      </c>
      <c r="F240" s="134" t="s">
        <v>2928</v>
      </c>
      <c r="G240" s="134" t="s">
        <v>2422</v>
      </c>
      <c r="H240" s="134" t="s">
        <v>2161</v>
      </c>
      <c r="I240" s="134" t="s">
        <v>3019</v>
      </c>
      <c r="J240" s="134" t="s">
        <v>2932</v>
      </c>
      <c r="K240" s="134" t="s">
        <v>3020</v>
      </c>
      <c r="L240" s="191" t="s">
        <v>1367</v>
      </c>
      <c r="M240" s="21" t="s">
        <v>1415</v>
      </c>
      <c r="O240" s="180" t="s">
        <v>1649</v>
      </c>
      <c r="P240" s="306" t="s">
        <v>22</v>
      </c>
    </row>
    <row r="241" spans="1:33" ht="57.6">
      <c r="A241" s="253" t="s">
        <v>3021</v>
      </c>
      <c r="B241" s="289"/>
      <c r="C241" s="21" t="s">
        <v>2925</v>
      </c>
      <c r="D241" s="134" t="s">
        <v>3022</v>
      </c>
      <c r="E241" s="134" t="s">
        <v>2512</v>
      </c>
      <c r="F241" s="134" t="s">
        <v>2928</v>
      </c>
      <c r="G241" s="134" t="s">
        <v>3023</v>
      </c>
      <c r="H241" s="134" t="s">
        <v>2176</v>
      </c>
      <c r="I241" s="134" t="s">
        <v>3024</v>
      </c>
      <c r="J241" s="134" t="s">
        <v>2932</v>
      </c>
      <c r="K241" s="134" t="s">
        <v>3025</v>
      </c>
      <c r="L241" s="191" t="s">
        <v>1367</v>
      </c>
      <c r="M241" s="21" t="s">
        <v>1415</v>
      </c>
      <c r="O241" s="180" t="s">
        <v>1649</v>
      </c>
      <c r="P241" s="306" t="s">
        <v>22</v>
      </c>
    </row>
    <row r="242" spans="1:33" ht="57.6">
      <c r="A242" s="253" t="s">
        <v>3026</v>
      </c>
      <c r="B242" s="289"/>
      <c r="C242" s="21" t="s">
        <v>2925</v>
      </c>
      <c r="D242" s="134" t="s">
        <v>3027</v>
      </c>
      <c r="E242" s="134" t="s">
        <v>3028</v>
      </c>
      <c r="F242" s="134" t="s">
        <v>2928</v>
      </c>
      <c r="G242" s="189" t="s">
        <v>3029</v>
      </c>
      <c r="H242" s="134" t="s">
        <v>2161</v>
      </c>
      <c r="I242" s="134" t="s">
        <v>3030</v>
      </c>
      <c r="J242" s="134" t="s">
        <v>2932</v>
      </c>
      <c r="K242" s="134" t="s">
        <v>3031</v>
      </c>
      <c r="L242" s="191" t="s">
        <v>1367</v>
      </c>
      <c r="M242" s="21" t="s">
        <v>1415</v>
      </c>
      <c r="O242" s="180" t="s">
        <v>1649</v>
      </c>
      <c r="P242" s="306" t="s">
        <v>1481</v>
      </c>
    </row>
    <row r="243" spans="1:33" ht="57.6">
      <c r="A243" s="253" t="s">
        <v>3032</v>
      </c>
      <c r="B243" s="289"/>
      <c r="C243" s="21" t="s">
        <v>2925</v>
      </c>
      <c r="D243" s="134" t="s">
        <v>3033</v>
      </c>
      <c r="E243" s="134" t="s">
        <v>3034</v>
      </c>
      <c r="F243" s="134" t="s">
        <v>2928</v>
      </c>
      <c r="G243" s="134" t="s">
        <v>3035</v>
      </c>
      <c r="H243" s="134" t="s">
        <v>2299</v>
      </c>
      <c r="I243" s="134" t="s">
        <v>3036</v>
      </c>
      <c r="J243" s="134" t="s">
        <v>2932</v>
      </c>
      <c r="K243" s="134" t="s">
        <v>3037</v>
      </c>
      <c r="L243" s="191" t="s">
        <v>1367</v>
      </c>
      <c r="M243" s="21" t="s">
        <v>1415</v>
      </c>
      <c r="O243" s="180" t="s">
        <v>1649</v>
      </c>
      <c r="P243" s="306" t="s">
        <v>1481</v>
      </c>
    </row>
    <row r="244" spans="1:33" ht="57.6">
      <c r="A244" s="253" t="s">
        <v>3038</v>
      </c>
      <c r="B244" s="289"/>
      <c r="C244" s="21" t="s">
        <v>2925</v>
      </c>
      <c r="D244" s="134" t="s">
        <v>3039</v>
      </c>
      <c r="E244" s="134" t="s">
        <v>3040</v>
      </c>
      <c r="F244" s="134" t="s">
        <v>2928</v>
      </c>
      <c r="G244" s="189" t="s">
        <v>3041</v>
      </c>
      <c r="H244" s="134" t="s">
        <v>3042</v>
      </c>
      <c r="I244" s="134" t="s">
        <v>3043</v>
      </c>
      <c r="J244" s="134" t="s">
        <v>2028</v>
      </c>
      <c r="K244" s="134" t="s">
        <v>3044</v>
      </c>
      <c r="L244" s="191" t="s">
        <v>1367</v>
      </c>
      <c r="M244" s="21" t="s">
        <v>1415</v>
      </c>
      <c r="O244" s="180" t="s">
        <v>1649</v>
      </c>
      <c r="P244" s="306" t="s">
        <v>22</v>
      </c>
    </row>
    <row r="245" spans="1:33" ht="72">
      <c r="A245" s="253" t="s">
        <v>3045</v>
      </c>
      <c r="B245" s="289"/>
      <c r="C245" s="21" t="s">
        <v>2925</v>
      </c>
      <c r="D245" s="134" t="s">
        <v>3046</v>
      </c>
      <c r="E245" s="134" t="s">
        <v>3047</v>
      </c>
      <c r="F245" s="134" t="s">
        <v>2928</v>
      </c>
      <c r="G245" s="189" t="s">
        <v>3048</v>
      </c>
      <c r="H245" s="134" t="s">
        <v>3049</v>
      </c>
      <c r="I245" s="134" t="s">
        <v>3050</v>
      </c>
      <c r="J245" s="134" t="s">
        <v>2932</v>
      </c>
      <c r="K245" s="134" t="s">
        <v>3051</v>
      </c>
      <c r="L245" s="190" t="s">
        <v>1381</v>
      </c>
      <c r="M245" s="21" t="s">
        <v>1415</v>
      </c>
      <c r="O245" s="180" t="s">
        <v>1649</v>
      </c>
      <c r="P245" s="306" t="s">
        <v>22</v>
      </c>
      <c r="R245" s="5" t="s">
        <v>3052</v>
      </c>
    </row>
    <row r="246" spans="1:33" ht="57.6">
      <c r="A246" s="253" t="s">
        <v>3053</v>
      </c>
      <c r="B246" s="289"/>
      <c r="C246" s="21" t="s">
        <v>2925</v>
      </c>
      <c r="D246" s="134" t="s">
        <v>3054</v>
      </c>
      <c r="E246" s="134" t="s">
        <v>3055</v>
      </c>
      <c r="F246" s="134" t="s">
        <v>2928</v>
      </c>
      <c r="G246" s="189" t="s">
        <v>3056</v>
      </c>
      <c r="H246" s="134" t="s">
        <v>2197</v>
      </c>
      <c r="I246" s="134" t="s">
        <v>3057</v>
      </c>
      <c r="J246" s="134" t="s">
        <v>2932</v>
      </c>
      <c r="K246" s="134" t="s">
        <v>3058</v>
      </c>
      <c r="L246" s="191" t="s">
        <v>1367</v>
      </c>
      <c r="M246" s="21" t="s">
        <v>1415</v>
      </c>
      <c r="O246" s="180" t="s">
        <v>1649</v>
      </c>
      <c r="P246" s="306" t="s">
        <v>1481</v>
      </c>
    </row>
    <row r="247" spans="1:33" ht="57.6">
      <c r="A247" s="253" t="s">
        <v>3059</v>
      </c>
      <c r="B247" s="289"/>
      <c r="C247" s="21" t="s">
        <v>2925</v>
      </c>
      <c r="D247" s="134" t="s">
        <v>3060</v>
      </c>
      <c r="E247" s="134" t="s">
        <v>3061</v>
      </c>
      <c r="F247" s="134" t="s">
        <v>2928</v>
      </c>
      <c r="G247" s="189" t="s">
        <v>2525</v>
      </c>
      <c r="H247" s="134" t="s">
        <v>2526</v>
      </c>
      <c r="I247" s="134" t="s">
        <v>3062</v>
      </c>
      <c r="J247" s="134" t="s">
        <v>2932</v>
      </c>
      <c r="K247" s="134" t="s">
        <v>3063</v>
      </c>
      <c r="L247" s="191" t="s">
        <v>1367</v>
      </c>
      <c r="M247" s="21" t="s">
        <v>1415</v>
      </c>
      <c r="O247" s="180" t="s">
        <v>1649</v>
      </c>
      <c r="P247" s="306" t="s">
        <v>22</v>
      </c>
    </row>
    <row r="248" spans="1:33" ht="57.6">
      <c r="A248" s="253" t="s">
        <v>3064</v>
      </c>
      <c r="B248" s="289"/>
      <c r="C248" s="21" t="s">
        <v>2925</v>
      </c>
      <c r="D248" s="134" t="s">
        <v>3065</v>
      </c>
      <c r="E248" s="134" t="s">
        <v>3066</v>
      </c>
      <c r="F248" s="134" t="s">
        <v>2928</v>
      </c>
      <c r="G248" s="189" t="s">
        <v>3067</v>
      </c>
      <c r="H248" s="134" t="s">
        <v>2526</v>
      </c>
      <c r="I248" s="134" t="s">
        <v>3068</v>
      </c>
      <c r="J248" s="134" t="s">
        <v>2932</v>
      </c>
      <c r="K248" s="134" t="s">
        <v>3069</v>
      </c>
      <c r="L248" s="191" t="s">
        <v>1367</v>
      </c>
      <c r="M248" s="21" t="s">
        <v>1415</v>
      </c>
      <c r="O248" s="180" t="s">
        <v>1649</v>
      </c>
      <c r="P248" s="306" t="s">
        <v>1371</v>
      </c>
    </row>
    <row r="249" spans="1:33" ht="57.6">
      <c r="A249" s="253" t="s">
        <v>3070</v>
      </c>
      <c r="B249" s="289"/>
      <c r="C249" s="21" t="s">
        <v>2925</v>
      </c>
      <c r="D249" s="134" t="s">
        <v>3071</v>
      </c>
      <c r="E249" s="134" t="s">
        <v>3072</v>
      </c>
      <c r="F249" s="134" t="s">
        <v>2928</v>
      </c>
      <c r="G249" s="189" t="s">
        <v>3073</v>
      </c>
      <c r="H249" s="134" t="s">
        <v>3074</v>
      </c>
      <c r="I249" s="134" t="s">
        <v>3075</v>
      </c>
      <c r="J249" s="134" t="s">
        <v>2028</v>
      </c>
      <c r="K249" s="134" t="s">
        <v>3076</v>
      </c>
      <c r="L249" s="191" t="s">
        <v>1367</v>
      </c>
      <c r="M249" s="21" t="s">
        <v>1415</v>
      </c>
      <c r="O249" s="180" t="s">
        <v>1649</v>
      </c>
      <c r="P249" s="306" t="s">
        <v>22</v>
      </c>
    </row>
    <row r="250" spans="1:33" ht="57.6">
      <c r="A250" s="253" t="s">
        <v>3077</v>
      </c>
      <c r="B250" s="289"/>
      <c r="C250" s="21" t="s">
        <v>2925</v>
      </c>
      <c r="D250" s="134" t="s">
        <v>3078</v>
      </c>
      <c r="E250" s="134" t="s">
        <v>3079</v>
      </c>
      <c r="F250" s="134" t="s">
        <v>2928</v>
      </c>
      <c r="G250" s="189" t="s">
        <v>3080</v>
      </c>
      <c r="H250" s="134" t="s">
        <v>3081</v>
      </c>
      <c r="I250" s="134" t="s">
        <v>3082</v>
      </c>
      <c r="J250" s="134" t="s">
        <v>2932</v>
      </c>
      <c r="K250" s="134" t="s">
        <v>3083</v>
      </c>
      <c r="L250" s="191" t="s">
        <v>1367</v>
      </c>
      <c r="M250" s="21" t="s">
        <v>1415</v>
      </c>
      <c r="O250" s="180" t="s">
        <v>1649</v>
      </c>
      <c r="P250" s="306" t="s">
        <v>1371</v>
      </c>
    </row>
    <row r="251" spans="1:33" ht="57.6">
      <c r="A251" s="253" t="s">
        <v>3084</v>
      </c>
      <c r="B251" s="289"/>
      <c r="C251" s="21" t="s">
        <v>2925</v>
      </c>
      <c r="D251" s="134" t="s">
        <v>3085</v>
      </c>
      <c r="E251" s="134" t="s">
        <v>3086</v>
      </c>
      <c r="F251" s="134" t="s">
        <v>2928</v>
      </c>
      <c r="G251" s="189" t="s">
        <v>3087</v>
      </c>
      <c r="H251" s="134" t="s">
        <v>2373</v>
      </c>
      <c r="I251" s="134" t="s">
        <v>3088</v>
      </c>
      <c r="J251" s="134" t="s">
        <v>2932</v>
      </c>
      <c r="K251" s="134" t="s">
        <v>3089</v>
      </c>
      <c r="L251" s="191" t="s">
        <v>1367</v>
      </c>
      <c r="M251" s="21" t="s">
        <v>1415</v>
      </c>
      <c r="O251" s="180" t="s">
        <v>1649</v>
      </c>
      <c r="P251" s="306" t="s">
        <v>1481</v>
      </c>
    </row>
    <row r="252" spans="1:33" s="45" customFormat="1">
      <c r="A252" s="83"/>
      <c r="B252" s="289"/>
      <c r="C252" s="78"/>
      <c r="D252" s="188"/>
      <c r="E252" s="188"/>
      <c r="F252" s="188"/>
      <c r="G252" s="186"/>
      <c r="H252" s="188"/>
      <c r="I252" s="188"/>
      <c r="J252" s="188"/>
      <c r="K252" s="188"/>
      <c r="L252" s="187"/>
      <c r="M252" s="186"/>
      <c r="O252" s="180"/>
      <c r="P252" s="186"/>
      <c r="Q252" s="21"/>
      <c r="R252" s="303"/>
      <c r="S252"/>
      <c r="W252" s="6"/>
      <c r="X252" s="6"/>
      <c r="AG252" s="21"/>
    </row>
    <row r="253" spans="1:33" s="15" customFormat="1" ht="28.9">
      <c r="A253" s="246" t="s">
        <v>3090</v>
      </c>
      <c r="B253" s="289"/>
      <c r="C253" s="2" t="s">
        <v>3091</v>
      </c>
      <c r="D253" s="134" t="s">
        <v>3092</v>
      </c>
      <c r="E253" s="134" t="s">
        <v>3093</v>
      </c>
      <c r="F253" s="134" t="s">
        <v>3094</v>
      </c>
      <c r="G253" s="134" t="s">
        <v>3095</v>
      </c>
      <c r="H253" s="2" t="s">
        <v>3096</v>
      </c>
      <c r="I253" s="2" t="s">
        <v>3097</v>
      </c>
      <c r="J253" s="134" t="s">
        <v>3098</v>
      </c>
      <c r="K253" s="2" t="s">
        <v>3097</v>
      </c>
      <c r="L253" s="185" t="s">
        <v>1367</v>
      </c>
      <c r="M253" s="21" t="s">
        <v>1425</v>
      </c>
      <c r="O253" s="178"/>
      <c r="P253" s="307" t="s">
        <v>1371</v>
      </c>
      <c r="Q253" s="21"/>
      <c r="W253" s="6"/>
      <c r="X253" s="6"/>
      <c r="AG253" s="21"/>
    </row>
    <row r="254" spans="1:33" s="15" customFormat="1" ht="28.9">
      <c r="A254" s="246" t="s">
        <v>3099</v>
      </c>
      <c r="B254" s="289"/>
      <c r="C254" s="2" t="s">
        <v>3091</v>
      </c>
      <c r="D254" s="134" t="s">
        <v>3100</v>
      </c>
      <c r="E254" s="2" t="s">
        <v>3101</v>
      </c>
      <c r="F254" s="2" t="s">
        <v>3102</v>
      </c>
      <c r="G254" s="2" t="s">
        <v>3103</v>
      </c>
      <c r="H254" s="2" t="s">
        <v>3104</v>
      </c>
      <c r="I254" s="2" t="s">
        <v>3105</v>
      </c>
      <c r="J254" s="134" t="s">
        <v>3098</v>
      </c>
      <c r="K254" s="134" t="s">
        <v>3105</v>
      </c>
      <c r="L254" s="185" t="s">
        <v>1367</v>
      </c>
      <c r="M254" s="21" t="s">
        <v>1425</v>
      </c>
      <c r="O254" s="178"/>
      <c r="P254" s="307" t="s">
        <v>1371</v>
      </c>
      <c r="Q254" s="21"/>
      <c r="W254" s="1"/>
      <c r="X254" s="1"/>
      <c r="AG254" s="21"/>
    </row>
    <row r="255" spans="1:33" ht="28.9">
      <c r="A255" s="246" t="s">
        <v>3106</v>
      </c>
      <c r="B255" s="289"/>
      <c r="C255" s="2" t="s">
        <v>3091</v>
      </c>
      <c r="D255" s="2" t="s">
        <v>3107</v>
      </c>
      <c r="E255" s="134" t="s">
        <v>3108</v>
      </c>
      <c r="F255" s="2" t="s">
        <v>3102</v>
      </c>
      <c r="G255" s="2" t="s">
        <v>3109</v>
      </c>
      <c r="H255" s="2" t="s">
        <v>3110</v>
      </c>
      <c r="I255" s="2" t="s">
        <v>3111</v>
      </c>
      <c r="J255" s="134" t="s">
        <v>3098</v>
      </c>
      <c r="K255" s="134" t="s">
        <v>3111</v>
      </c>
      <c r="L255" s="185" t="s">
        <v>1367</v>
      </c>
      <c r="M255" s="21" t="s">
        <v>1425</v>
      </c>
      <c r="N255" s="21" t="s">
        <v>1369</v>
      </c>
      <c r="O255" s="180"/>
      <c r="P255" s="307" t="s">
        <v>1371</v>
      </c>
      <c r="W255" s="1"/>
      <c r="X255" s="1"/>
    </row>
    <row r="256" spans="1:33">
      <c r="A256" s="246" t="s">
        <v>3112</v>
      </c>
      <c r="B256" s="289"/>
      <c r="C256" s="2" t="s">
        <v>3091</v>
      </c>
      <c r="D256" s="2" t="s">
        <v>3113</v>
      </c>
      <c r="E256" s="2" t="s">
        <v>3114</v>
      </c>
      <c r="F256" s="2" t="s">
        <v>3102</v>
      </c>
      <c r="G256" s="2" t="s">
        <v>3115</v>
      </c>
      <c r="H256" s="2" t="s">
        <v>3110</v>
      </c>
      <c r="I256" s="134" t="s">
        <v>3116</v>
      </c>
      <c r="J256" s="134" t="s">
        <v>3098</v>
      </c>
      <c r="K256" s="134" t="s">
        <v>3116</v>
      </c>
      <c r="L256" s="185" t="s">
        <v>1367</v>
      </c>
      <c r="M256" s="21" t="s">
        <v>1425</v>
      </c>
      <c r="N256" s="21" t="s">
        <v>1369</v>
      </c>
      <c r="O256" s="180"/>
      <c r="P256" s="307" t="s">
        <v>1371</v>
      </c>
    </row>
    <row r="257" spans="1:33">
      <c r="A257" s="246" t="s">
        <v>3117</v>
      </c>
      <c r="B257" s="289"/>
      <c r="C257" s="2" t="s">
        <v>3091</v>
      </c>
      <c r="D257" s="2" t="s">
        <v>3118</v>
      </c>
      <c r="E257" s="2" t="s">
        <v>3119</v>
      </c>
      <c r="F257" s="2" t="s">
        <v>3102</v>
      </c>
      <c r="G257" s="2" t="s">
        <v>3120</v>
      </c>
      <c r="H257" s="2" t="s">
        <v>3110</v>
      </c>
      <c r="I257" s="2" t="s">
        <v>3121</v>
      </c>
      <c r="J257" s="134" t="s">
        <v>3098</v>
      </c>
      <c r="K257" s="134"/>
      <c r="L257" s="185" t="s">
        <v>1367</v>
      </c>
      <c r="M257" s="21" t="s">
        <v>1425</v>
      </c>
      <c r="N257" s="21" t="s">
        <v>1369</v>
      </c>
      <c r="O257" s="180"/>
      <c r="P257" s="307" t="s">
        <v>1371</v>
      </c>
    </row>
    <row r="258" spans="1:33">
      <c r="A258" s="246" t="s">
        <v>3122</v>
      </c>
      <c r="B258" s="289"/>
      <c r="C258" s="2" t="s">
        <v>3091</v>
      </c>
      <c r="D258" s="2" t="s">
        <v>3123</v>
      </c>
      <c r="E258" s="2" t="s">
        <v>3124</v>
      </c>
      <c r="F258" s="2" t="s">
        <v>3102</v>
      </c>
      <c r="G258" s="2" t="s">
        <v>3125</v>
      </c>
      <c r="H258" s="2" t="s">
        <v>3126</v>
      </c>
      <c r="I258" s="2" t="s">
        <v>3127</v>
      </c>
      <c r="J258" s="134"/>
      <c r="K258" s="134"/>
      <c r="L258" s="185" t="s">
        <v>1367</v>
      </c>
      <c r="M258" s="21" t="s">
        <v>1425</v>
      </c>
      <c r="N258" s="21" t="s">
        <v>1369</v>
      </c>
      <c r="O258" s="180"/>
      <c r="P258" s="307" t="s">
        <v>1371</v>
      </c>
    </row>
    <row r="259" spans="1:33">
      <c r="A259" s="246" t="s">
        <v>3128</v>
      </c>
      <c r="B259" s="289"/>
      <c r="C259" s="2" t="s">
        <v>3091</v>
      </c>
      <c r="D259" s="134" t="s">
        <v>3129</v>
      </c>
      <c r="E259" s="134" t="s">
        <v>3129</v>
      </c>
      <c r="F259" s="2" t="s">
        <v>3102</v>
      </c>
      <c r="G259" s="2" t="s">
        <v>3130</v>
      </c>
      <c r="H259" s="2" t="s">
        <v>3110</v>
      </c>
      <c r="I259" s="2" t="s">
        <v>3131</v>
      </c>
      <c r="J259" s="134"/>
      <c r="K259" s="2" t="s">
        <v>3131</v>
      </c>
      <c r="L259" s="185" t="s">
        <v>1367</v>
      </c>
      <c r="M259" s="21" t="s">
        <v>1425</v>
      </c>
      <c r="N259" s="21" t="s">
        <v>1369</v>
      </c>
      <c r="O259" s="180"/>
      <c r="P259" s="307" t="s">
        <v>1371</v>
      </c>
    </row>
    <row r="260" spans="1:33" s="15" customFormat="1" ht="28.9">
      <c r="A260" s="246" t="s">
        <v>3132</v>
      </c>
      <c r="B260" s="289"/>
      <c r="C260" s="2" t="s">
        <v>3091</v>
      </c>
      <c r="D260" s="134" t="s">
        <v>3133</v>
      </c>
      <c r="E260" s="134" t="s">
        <v>3134</v>
      </c>
      <c r="F260" s="184" t="s">
        <v>3135</v>
      </c>
      <c r="G260" s="2" t="s">
        <v>3136</v>
      </c>
      <c r="H260" s="134"/>
      <c r="I260" s="2" t="s">
        <v>3137</v>
      </c>
      <c r="J260" s="2" t="s">
        <v>3138</v>
      </c>
      <c r="K260" s="134"/>
      <c r="L260" s="185" t="s">
        <v>1367</v>
      </c>
      <c r="M260" s="21" t="s">
        <v>1425</v>
      </c>
      <c r="N260" s="21" t="s">
        <v>1369</v>
      </c>
      <c r="O260" s="178"/>
      <c r="P260" s="307" t="s">
        <v>1371</v>
      </c>
      <c r="Q260" s="21"/>
      <c r="W260" s="6"/>
      <c r="X260" s="6"/>
      <c r="AG260" s="21"/>
    </row>
    <row r="261" spans="1:33" s="15" customFormat="1" ht="28.9">
      <c r="A261" s="246" t="s">
        <v>3139</v>
      </c>
      <c r="B261" s="289"/>
      <c r="C261" s="2" t="s">
        <v>3091</v>
      </c>
      <c r="D261" s="134" t="s">
        <v>3140</v>
      </c>
      <c r="E261" s="2" t="s">
        <v>3141</v>
      </c>
      <c r="F261" s="184" t="s">
        <v>3142</v>
      </c>
      <c r="G261" s="2" t="s">
        <v>3136</v>
      </c>
      <c r="H261" s="134" t="s">
        <v>1442</v>
      </c>
      <c r="I261" s="134" t="s">
        <v>3143</v>
      </c>
      <c r="J261" s="134" t="s">
        <v>1442</v>
      </c>
      <c r="K261" s="134" t="s">
        <v>3143</v>
      </c>
      <c r="L261" s="185" t="s">
        <v>1367</v>
      </c>
      <c r="M261" s="21" t="s">
        <v>1425</v>
      </c>
      <c r="N261" s="21" t="s">
        <v>1369</v>
      </c>
      <c r="O261" s="178"/>
      <c r="P261" s="307" t="s">
        <v>1371</v>
      </c>
      <c r="Q261" s="21"/>
      <c r="W261" s="1"/>
      <c r="X261" s="1"/>
      <c r="AG261" s="21"/>
    </row>
    <row r="262" spans="1:33" s="15" customFormat="1" ht="28.9">
      <c r="A262" s="246" t="s">
        <v>3144</v>
      </c>
      <c r="B262" s="289"/>
      <c r="C262" s="2" t="s">
        <v>3091</v>
      </c>
      <c r="D262" s="134" t="s">
        <v>3145</v>
      </c>
      <c r="E262" s="2" t="s">
        <v>3146</v>
      </c>
      <c r="F262" s="184" t="s">
        <v>3147</v>
      </c>
      <c r="G262" s="134" t="s">
        <v>3148</v>
      </c>
      <c r="H262" s="134"/>
      <c r="I262" s="2" t="s">
        <v>3149</v>
      </c>
      <c r="J262" s="2" t="s">
        <v>3150</v>
      </c>
      <c r="K262" s="134" t="s">
        <v>3149</v>
      </c>
      <c r="L262" s="185" t="s">
        <v>1367</v>
      </c>
      <c r="M262" s="21" t="s">
        <v>1425</v>
      </c>
      <c r="N262" s="21" t="s">
        <v>1369</v>
      </c>
      <c r="O262" s="180"/>
      <c r="P262" s="307" t="s">
        <v>1371</v>
      </c>
      <c r="Q262" s="21"/>
      <c r="R262" s="5"/>
      <c r="S262"/>
      <c r="T262"/>
      <c r="W262" s="1"/>
      <c r="X262" s="1"/>
      <c r="AG262" s="21"/>
    </row>
    <row r="263" spans="1:33" ht="28.9">
      <c r="A263" s="246" t="s">
        <v>3151</v>
      </c>
      <c r="B263" s="289"/>
      <c r="C263" s="2" t="s">
        <v>3091</v>
      </c>
      <c r="D263" s="134" t="s">
        <v>3152</v>
      </c>
      <c r="E263" s="134" t="s">
        <v>3153</v>
      </c>
      <c r="F263" s="2" t="s">
        <v>3154</v>
      </c>
      <c r="G263" s="2" t="s">
        <v>3155</v>
      </c>
      <c r="H263" s="134" t="s">
        <v>3156</v>
      </c>
      <c r="I263" s="134" t="s">
        <v>3157</v>
      </c>
      <c r="J263" s="134" t="s">
        <v>3158</v>
      </c>
      <c r="K263" s="134" t="s">
        <v>3157</v>
      </c>
      <c r="L263" s="185" t="s">
        <v>1367</v>
      </c>
      <c r="M263" s="21" t="s">
        <v>1425</v>
      </c>
      <c r="N263" s="21" t="s">
        <v>1369</v>
      </c>
      <c r="O263" s="180"/>
      <c r="P263" s="307" t="s">
        <v>1371</v>
      </c>
      <c r="W263" s="1"/>
      <c r="X263" s="1"/>
    </row>
    <row r="264" spans="1:33" ht="28.9">
      <c r="A264" s="246" t="s">
        <v>3159</v>
      </c>
      <c r="B264" s="289"/>
      <c r="C264" s="2" t="s">
        <v>3091</v>
      </c>
      <c r="D264" s="134" t="s">
        <v>3160</v>
      </c>
      <c r="E264" s="134" t="s">
        <v>3161</v>
      </c>
      <c r="F264" s="2" t="s">
        <v>3154</v>
      </c>
      <c r="G264" s="2" t="s">
        <v>3162</v>
      </c>
      <c r="H264" s="134" t="s">
        <v>3163</v>
      </c>
      <c r="I264" s="134" t="s">
        <v>3157</v>
      </c>
      <c r="J264" s="134" t="s">
        <v>3164</v>
      </c>
      <c r="K264" s="134" t="s">
        <v>3157</v>
      </c>
      <c r="L264" s="185" t="s">
        <v>1367</v>
      </c>
      <c r="M264" s="21" t="s">
        <v>1425</v>
      </c>
      <c r="N264" s="21" t="s">
        <v>1369</v>
      </c>
      <c r="O264" s="180"/>
      <c r="P264" s="307" t="s">
        <v>1371</v>
      </c>
    </row>
    <row r="265" spans="1:33" ht="28.9">
      <c r="A265" s="246" t="s">
        <v>3165</v>
      </c>
      <c r="B265" s="289"/>
      <c r="C265" s="2" t="s">
        <v>3091</v>
      </c>
      <c r="D265" s="134" t="s">
        <v>3152</v>
      </c>
      <c r="E265" s="134" t="s">
        <v>3153</v>
      </c>
      <c r="F265" s="2" t="s">
        <v>3154</v>
      </c>
      <c r="G265" s="2" t="s">
        <v>3155</v>
      </c>
      <c r="H265" s="134" t="s">
        <v>3156</v>
      </c>
      <c r="I265" s="134" t="s">
        <v>3157</v>
      </c>
      <c r="J265" s="134" t="s">
        <v>3158</v>
      </c>
      <c r="K265" s="134" t="s">
        <v>3157</v>
      </c>
      <c r="L265" s="185" t="s">
        <v>1367</v>
      </c>
      <c r="M265" s="21" t="s">
        <v>1425</v>
      </c>
      <c r="N265" s="21" t="s">
        <v>1369</v>
      </c>
      <c r="O265" s="180"/>
      <c r="P265" s="307" t="s">
        <v>1371</v>
      </c>
    </row>
    <row r="266" spans="1:33" ht="28.9">
      <c r="A266" s="246" t="s">
        <v>3166</v>
      </c>
      <c r="B266" s="289"/>
      <c r="C266" s="2" t="s">
        <v>3091</v>
      </c>
      <c r="D266" s="2" t="s">
        <v>3167</v>
      </c>
      <c r="E266" s="2" t="s">
        <v>3168</v>
      </c>
      <c r="F266" s="2" t="s">
        <v>3154</v>
      </c>
      <c r="G266" s="134" t="s">
        <v>3169</v>
      </c>
      <c r="H266" s="2" t="s">
        <v>3170</v>
      </c>
      <c r="I266" s="2" t="s">
        <v>3171</v>
      </c>
      <c r="J266" s="134" t="s">
        <v>3172</v>
      </c>
      <c r="K266" s="2" t="s">
        <v>3171</v>
      </c>
      <c r="L266" s="185" t="s">
        <v>1367</v>
      </c>
      <c r="M266" s="21" t="s">
        <v>1425</v>
      </c>
      <c r="N266" s="21" t="s">
        <v>1369</v>
      </c>
      <c r="O266" s="180"/>
      <c r="P266" s="307" t="s">
        <v>1371</v>
      </c>
    </row>
    <row r="267" spans="1:33" ht="28.9">
      <c r="A267" s="246" t="s">
        <v>3173</v>
      </c>
      <c r="B267" s="289"/>
      <c r="C267" s="2" t="s">
        <v>3091</v>
      </c>
      <c r="D267" s="2" t="s">
        <v>3174</v>
      </c>
      <c r="E267" s="2" t="s">
        <v>3175</v>
      </c>
      <c r="F267" s="2" t="s">
        <v>3154</v>
      </c>
      <c r="G267" s="134" t="s">
        <v>3176</v>
      </c>
      <c r="H267" s="2">
        <v>1234567890</v>
      </c>
      <c r="I267" s="2" t="s">
        <v>3177</v>
      </c>
      <c r="J267" s="134" t="s">
        <v>3172</v>
      </c>
      <c r="K267" s="2" t="s">
        <v>3177</v>
      </c>
      <c r="L267" s="185" t="s">
        <v>1367</v>
      </c>
      <c r="M267" s="21" t="s">
        <v>1425</v>
      </c>
      <c r="N267" s="21" t="s">
        <v>1369</v>
      </c>
      <c r="O267" s="180"/>
      <c r="P267" s="307" t="s">
        <v>1371</v>
      </c>
    </row>
    <row r="268" spans="1:33" ht="28.9">
      <c r="A268" s="246" t="s">
        <v>3178</v>
      </c>
      <c r="B268" s="289"/>
      <c r="C268" s="2" t="s">
        <v>3091</v>
      </c>
      <c r="D268" s="2" t="s">
        <v>3179</v>
      </c>
      <c r="E268" s="2" t="s">
        <v>3180</v>
      </c>
      <c r="F268" s="2" t="s">
        <v>3154</v>
      </c>
      <c r="G268" s="134" t="s">
        <v>3181</v>
      </c>
      <c r="H268" s="2">
        <v>12334</v>
      </c>
      <c r="I268" s="2" t="s">
        <v>3182</v>
      </c>
      <c r="J268" s="134" t="s">
        <v>3172</v>
      </c>
      <c r="K268" s="2" t="s">
        <v>3182</v>
      </c>
      <c r="L268" s="185" t="s">
        <v>1367</v>
      </c>
      <c r="M268" s="21" t="s">
        <v>1425</v>
      </c>
      <c r="N268" s="21" t="s">
        <v>1369</v>
      </c>
      <c r="O268" s="180"/>
      <c r="P268" s="307" t="s">
        <v>1371</v>
      </c>
    </row>
    <row r="269" spans="1:33" ht="28.9">
      <c r="A269" s="246" t="s">
        <v>3183</v>
      </c>
      <c r="B269" s="289"/>
      <c r="C269" s="2" t="s">
        <v>3091</v>
      </c>
      <c r="D269" s="2" t="s">
        <v>3184</v>
      </c>
      <c r="E269" s="2" t="s">
        <v>3185</v>
      </c>
      <c r="F269" s="2" t="s">
        <v>3154</v>
      </c>
      <c r="G269" s="134" t="s">
        <v>3186</v>
      </c>
      <c r="H269" s="3" t="s">
        <v>3187</v>
      </c>
      <c r="I269" s="2" t="s">
        <v>3188</v>
      </c>
      <c r="J269" s="134" t="s">
        <v>3172</v>
      </c>
      <c r="K269" s="2" t="s">
        <v>3188</v>
      </c>
      <c r="L269" s="185" t="s">
        <v>1367</v>
      </c>
      <c r="M269" s="21" t="s">
        <v>1425</v>
      </c>
      <c r="N269" s="21" t="s">
        <v>1369</v>
      </c>
      <c r="O269" s="180"/>
      <c r="P269" s="307" t="s">
        <v>1371</v>
      </c>
    </row>
    <row r="270" spans="1:33" ht="28.9">
      <c r="A270" s="246" t="s">
        <v>3189</v>
      </c>
      <c r="B270" s="289"/>
      <c r="C270" s="2" t="s">
        <v>3091</v>
      </c>
      <c r="D270" s="2" t="s">
        <v>3190</v>
      </c>
      <c r="E270" s="2" t="s">
        <v>3191</v>
      </c>
      <c r="F270" s="2" t="s">
        <v>3154</v>
      </c>
      <c r="G270" s="134" t="s">
        <v>3192</v>
      </c>
      <c r="H270" s="2" t="s">
        <v>3193</v>
      </c>
      <c r="I270" s="2" t="s">
        <v>3194</v>
      </c>
      <c r="J270" s="134" t="s">
        <v>3172</v>
      </c>
      <c r="K270" s="2" t="s">
        <v>3194</v>
      </c>
      <c r="L270" s="185" t="s">
        <v>1367</v>
      </c>
      <c r="M270" s="21" t="s">
        <v>1425</v>
      </c>
      <c r="N270" s="21" t="s">
        <v>1369</v>
      </c>
      <c r="O270" s="180"/>
      <c r="P270" s="307" t="s">
        <v>1371</v>
      </c>
    </row>
    <row r="271" spans="1:33" ht="28.9">
      <c r="A271" s="246" t="s">
        <v>3195</v>
      </c>
      <c r="B271" s="289"/>
      <c r="C271" s="2" t="s">
        <v>3091</v>
      </c>
      <c r="D271" s="2" t="s">
        <v>3196</v>
      </c>
      <c r="E271" s="2" t="s">
        <v>3197</v>
      </c>
      <c r="F271" s="2" t="s">
        <v>3154</v>
      </c>
      <c r="G271" s="134" t="s">
        <v>3198</v>
      </c>
      <c r="H271" s="2" t="s">
        <v>3199</v>
      </c>
      <c r="I271" s="2" t="s">
        <v>3200</v>
      </c>
      <c r="J271" s="134" t="s">
        <v>3172</v>
      </c>
      <c r="K271" s="2" t="s">
        <v>3200</v>
      </c>
      <c r="L271" s="185" t="s">
        <v>1367</v>
      </c>
      <c r="M271" s="21" t="s">
        <v>1425</v>
      </c>
      <c r="N271" s="21" t="s">
        <v>1369</v>
      </c>
      <c r="O271" s="180"/>
      <c r="P271" s="307" t="s">
        <v>1371</v>
      </c>
    </row>
    <row r="272" spans="1:33" ht="28.9">
      <c r="A272" s="246" t="s">
        <v>3201</v>
      </c>
      <c r="B272" s="289"/>
      <c r="C272" s="2" t="s">
        <v>3091</v>
      </c>
      <c r="D272" s="2" t="s">
        <v>3202</v>
      </c>
      <c r="E272" s="2" t="s">
        <v>3203</v>
      </c>
      <c r="F272" s="2" t="s">
        <v>3154</v>
      </c>
      <c r="G272" s="134" t="s">
        <v>3204</v>
      </c>
      <c r="H272" s="2" t="s">
        <v>3205</v>
      </c>
      <c r="I272" s="2" t="s">
        <v>3206</v>
      </c>
      <c r="J272" s="134" t="s">
        <v>3172</v>
      </c>
      <c r="K272" s="2" t="s">
        <v>3206</v>
      </c>
      <c r="L272" s="185" t="s">
        <v>1367</v>
      </c>
      <c r="M272" s="21" t="s">
        <v>1425</v>
      </c>
      <c r="N272" s="21" t="s">
        <v>1369</v>
      </c>
      <c r="O272" s="180"/>
      <c r="P272" s="307" t="s">
        <v>1371</v>
      </c>
    </row>
    <row r="273" spans="1:33" ht="28.9">
      <c r="A273" s="246" t="s">
        <v>3207</v>
      </c>
      <c r="B273" s="289"/>
      <c r="C273" s="2" t="s">
        <v>3091</v>
      </c>
      <c r="D273" s="2" t="s">
        <v>3208</v>
      </c>
      <c r="E273" s="2" t="s">
        <v>3209</v>
      </c>
      <c r="F273" s="2" t="s">
        <v>3154</v>
      </c>
      <c r="G273" s="134" t="s">
        <v>3210</v>
      </c>
      <c r="H273" s="2" t="s">
        <v>3211</v>
      </c>
      <c r="I273" s="2" t="s">
        <v>3212</v>
      </c>
      <c r="J273" s="134" t="s">
        <v>3172</v>
      </c>
      <c r="K273" s="2" t="s">
        <v>3212</v>
      </c>
      <c r="L273" s="185" t="s">
        <v>1367</v>
      </c>
      <c r="M273" s="21" t="s">
        <v>1425</v>
      </c>
      <c r="N273" s="21" t="s">
        <v>1369</v>
      </c>
      <c r="O273" s="180"/>
      <c r="P273" s="307" t="s">
        <v>1371</v>
      </c>
    </row>
    <row r="274" spans="1:33" ht="28.9">
      <c r="A274" s="246" t="s">
        <v>3213</v>
      </c>
      <c r="B274" s="289"/>
      <c r="C274" s="2" t="s">
        <v>3091</v>
      </c>
      <c r="D274" s="2" t="s">
        <v>3214</v>
      </c>
      <c r="E274" s="2" t="s">
        <v>3215</v>
      </c>
      <c r="F274" s="2" t="s">
        <v>3154</v>
      </c>
      <c r="G274" s="134" t="s">
        <v>3216</v>
      </c>
      <c r="H274" s="2" t="s">
        <v>3217</v>
      </c>
      <c r="I274" s="2" t="s">
        <v>3218</v>
      </c>
      <c r="J274" s="134" t="s">
        <v>3172</v>
      </c>
      <c r="K274" s="2" t="s">
        <v>3218</v>
      </c>
      <c r="L274" s="185" t="s">
        <v>1367</v>
      </c>
      <c r="M274" s="21" t="s">
        <v>1425</v>
      </c>
      <c r="N274" s="21" t="s">
        <v>1369</v>
      </c>
      <c r="O274" s="180"/>
      <c r="P274" s="307" t="s">
        <v>1371</v>
      </c>
    </row>
    <row r="275" spans="1:33" ht="28.9">
      <c r="A275" s="246" t="s">
        <v>3219</v>
      </c>
      <c r="B275" s="289"/>
      <c r="C275" s="2" t="s">
        <v>3091</v>
      </c>
      <c r="D275" s="2" t="s">
        <v>3220</v>
      </c>
      <c r="E275" s="2" t="s">
        <v>3221</v>
      </c>
      <c r="F275" s="2" t="s">
        <v>3154</v>
      </c>
      <c r="G275" s="134" t="s">
        <v>3222</v>
      </c>
      <c r="H275" s="2" t="s">
        <v>3217</v>
      </c>
      <c r="I275" s="2" t="s">
        <v>3223</v>
      </c>
      <c r="J275" s="134" t="s">
        <v>3172</v>
      </c>
      <c r="K275" s="2" t="s">
        <v>3223</v>
      </c>
      <c r="L275" s="185" t="s">
        <v>1367</v>
      </c>
      <c r="M275" s="21" t="s">
        <v>1425</v>
      </c>
      <c r="N275" s="21" t="s">
        <v>1369</v>
      </c>
      <c r="O275" s="180"/>
      <c r="P275" s="307" t="s">
        <v>1371</v>
      </c>
    </row>
    <row r="276" spans="1:33" ht="28.9">
      <c r="A276" s="246" t="s">
        <v>3224</v>
      </c>
      <c r="B276" s="289"/>
      <c r="C276" s="2" t="s">
        <v>3091</v>
      </c>
      <c r="D276" s="2" t="s">
        <v>3225</v>
      </c>
      <c r="E276" s="2" t="s">
        <v>3226</v>
      </c>
      <c r="F276" s="2" t="s">
        <v>3154</v>
      </c>
      <c r="G276" s="134" t="s">
        <v>3227</v>
      </c>
      <c r="H276" s="2" t="s">
        <v>1355</v>
      </c>
      <c r="I276" s="2" t="s">
        <v>3228</v>
      </c>
      <c r="J276" s="134" t="s">
        <v>3172</v>
      </c>
      <c r="K276" s="2" t="s">
        <v>3228</v>
      </c>
      <c r="L276" s="185" t="s">
        <v>1367</v>
      </c>
      <c r="M276" s="21" t="s">
        <v>1425</v>
      </c>
      <c r="N276" s="21" t="s">
        <v>1369</v>
      </c>
      <c r="O276" s="180"/>
      <c r="P276" s="307" t="s">
        <v>1371</v>
      </c>
    </row>
    <row r="277" spans="1:33" ht="28.9">
      <c r="A277" s="246" t="s">
        <v>3229</v>
      </c>
      <c r="B277" s="289"/>
      <c r="C277" s="2" t="s">
        <v>3091</v>
      </c>
      <c r="D277" s="134" t="s">
        <v>3230</v>
      </c>
      <c r="E277" s="134" t="s">
        <v>3231</v>
      </c>
      <c r="F277" s="2" t="s">
        <v>3154</v>
      </c>
      <c r="G277" s="2" t="s">
        <v>3232</v>
      </c>
      <c r="H277" s="134" t="s">
        <v>3233</v>
      </c>
      <c r="I277" s="134" t="s">
        <v>3234</v>
      </c>
      <c r="J277" s="134"/>
      <c r="K277" s="134" t="s">
        <v>3234</v>
      </c>
      <c r="L277" s="185" t="s">
        <v>1367</v>
      </c>
      <c r="M277" s="21" t="s">
        <v>1425</v>
      </c>
      <c r="N277" s="21" t="s">
        <v>1369</v>
      </c>
      <c r="O277" s="180"/>
      <c r="P277" s="307" t="s">
        <v>1371</v>
      </c>
    </row>
    <row r="278" spans="1:33" ht="28.9">
      <c r="A278" s="246" t="s">
        <v>3235</v>
      </c>
      <c r="B278" s="289"/>
      <c r="C278" s="2" t="s">
        <v>3091</v>
      </c>
      <c r="D278" s="2" t="s">
        <v>3236</v>
      </c>
      <c r="E278" s="2" t="s">
        <v>3237</v>
      </c>
      <c r="F278" s="2" t="s">
        <v>3154</v>
      </c>
      <c r="G278" s="2" t="s">
        <v>3238</v>
      </c>
      <c r="H278" s="2" t="s">
        <v>3239</v>
      </c>
      <c r="I278" s="134" t="s">
        <v>3240</v>
      </c>
      <c r="J278" s="2" t="s">
        <v>3241</v>
      </c>
      <c r="K278" s="134" t="s">
        <v>3240</v>
      </c>
      <c r="L278" s="185" t="s">
        <v>1367</v>
      </c>
      <c r="M278" s="21" t="s">
        <v>1425</v>
      </c>
      <c r="N278" s="21" t="s">
        <v>1369</v>
      </c>
      <c r="O278" s="180"/>
      <c r="P278" s="307" t="s">
        <v>1371</v>
      </c>
    </row>
    <row r="279" spans="1:33" ht="28.9">
      <c r="A279" s="246" t="s">
        <v>3242</v>
      </c>
      <c r="B279" s="289"/>
      <c r="C279" s="2" t="s">
        <v>3091</v>
      </c>
      <c r="D279" s="2" t="s">
        <v>3243</v>
      </c>
      <c r="E279" s="2" t="s">
        <v>3244</v>
      </c>
      <c r="F279" s="2" t="s">
        <v>3154</v>
      </c>
      <c r="G279" s="2" t="s">
        <v>3238</v>
      </c>
      <c r="H279" s="2" t="s">
        <v>3245</v>
      </c>
      <c r="I279" s="2" t="s">
        <v>3246</v>
      </c>
      <c r="J279" s="2" t="s">
        <v>3241</v>
      </c>
      <c r="K279" s="2" t="s">
        <v>3246</v>
      </c>
      <c r="L279" s="185" t="s">
        <v>1367</v>
      </c>
      <c r="M279" s="21" t="s">
        <v>1425</v>
      </c>
      <c r="N279" s="21" t="s">
        <v>1369</v>
      </c>
      <c r="O279" s="180"/>
      <c r="P279" s="307" t="s">
        <v>1371</v>
      </c>
    </row>
    <row r="280" spans="1:33" ht="28.9">
      <c r="A280" s="246" t="s">
        <v>3247</v>
      </c>
      <c r="B280" s="289"/>
      <c r="C280" s="2" t="s">
        <v>3091</v>
      </c>
      <c r="D280" s="2" t="s">
        <v>3248</v>
      </c>
      <c r="E280" s="2" t="s">
        <v>3249</v>
      </c>
      <c r="F280" s="2" t="s">
        <v>3154</v>
      </c>
      <c r="G280" s="2" t="s">
        <v>3238</v>
      </c>
      <c r="H280" s="134" t="s">
        <v>3250</v>
      </c>
      <c r="I280" s="2" t="s">
        <v>3246</v>
      </c>
      <c r="J280" s="2" t="s">
        <v>3241</v>
      </c>
      <c r="K280" s="2" t="s">
        <v>3246</v>
      </c>
      <c r="L280" s="185" t="s">
        <v>1367</v>
      </c>
      <c r="M280" s="21" t="s">
        <v>1425</v>
      </c>
      <c r="N280" s="21" t="s">
        <v>1369</v>
      </c>
      <c r="O280" s="180"/>
      <c r="P280" s="307" t="s">
        <v>1371</v>
      </c>
    </row>
    <row r="281" spans="1:33" ht="28.9">
      <c r="A281" s="246" t="s">
        <v>3251</v>
      </c>
      <c r="B281" s="289"/>
      <c r="C281" s="2" t="s">
        <v>3091</v>
      </c>
      <c r="D281" s="134" t="s">
        <v>3252</v>
      </c>
      <c r="E281" s="134" t="s">
        <v>3253</v>
      </c>
      <c r="F281" s="2" t="s">
        <v>3154</v>
      </c>
      <c r="G281" s="2" t="s">
        <v>3254</v>
      </c>
      <c r="H281" s="3" t="s">
        <v>3255</v>
      </c>
      <c r="I281" s="134" t="s">
        <v>3256</v>
      </c>
      <c r="J281" s="134" t="s">
        <v>3257</v>
      </c>
      <c r="K281" s="134" t="s">
        <v>3256</v>
      </c>
      <c r="L281" s="185" t="s">
        <v>1367</v>
      </c>
      <c r="M281" s="21" t="s">
        <v>1425</v>
      </c>
      <c r="N281" s="21" t="s">
        <v>1369</v>
      </c>
      <c r="O281" s="180"/>
      <c r="P281" s="307" t="s">
        <v>1371</v>
      </c>
    </row>
    <row r="282" spans="1:33" s="15" customFormat="1" ht="43.15">
      <c r="A282" s="246" t="s">
        <v>3258</v>
      </c>
      <c r="B282" s="289"/>
      <c r="C282" s="2" t="s">
        <v>3091</v>
      </c>
      <c r="D282" s="134" t="s">
        <v>3259</v>
      </c>
      <c r="E282" s="134" t="s">
        <v>3260</v>
      </c>
      <c r="F282" s="15" t="s">
        <v>3154</v>
      </c>
      <c r="G282" s="15" t="s">
        <v>3261</v>
      </c>
      <c r="H282" s="80" t="s">
        <v>3262</v>
      </c>
      <c r="I282" s="178" t="s">
        <v>3263</v>
      </c>
      <c r="J282" s="178" t="s">
        <v>3257</v>
      </c>
      <c r="K282" s="178" t="s">
        <v>3263</v>
      </c>
      <c r="L282" s="185" t="s">
        <v>1367</v>
      </c>
      <c r="M282" s="21" t="s">
        <v>1425</v>
      </c>
      <c r="N282" s="21" t="s">
        <v>1369</v>
      </c>
      <c r="O282" s="178"/>
      <c r="P282" s="307" t="s">
        <v>1371</v>
      </c>
      <c r="Q282" s="21"/>
      <c r="W282" s="6"/>
      <c r="X282" s="6"/>
      <c r="AG282" s="21"/>
    </row>
    <row r="283" spans="1:33" ht="30">
      <c r="A283" s="246" t="s">
        <v>3264</v>
      </c>
      <c r="B283" s="289"/>
      <c r="C283" s="2" t="s">
        <v>3091</v>
      </c>
      <c r="D283" s="134" t="s">
        <v>3265</v>
      </c>
      <c r="E283" s="134" t="s">
        <v>3266</v>
      </c>
      <c r="F283" s="2" t="s">
        <v>3154</v>
      </c>
      <c r="G283" s="134" t="s">
        <v>3267</v>
      </c>
      <c r="H283" s="134" t="s">
        <v>3268</v>
      </c>
      <c r="I283" s="134" t="s">
        <v>3269</v>
      </c>
      <c r="J283" s="134" t="s">
        <v>3241</v>
      </c>
      <c r="K283" s="183" t="s">
        <v>3269</v>
      </c>
      <c r="L283" s="185" t="s">
        <v>1367</v>
      </c>
      <c r="M283" s="21" t="s">
        <v>1425</v>
      </c>
      <c r="N283" s="21" t="s">
        <v>1369</v>
      </c>
      <c r="O283" s="180"/>
      <c r="P283" s="307" t="s">
        <v>1371</v>
      </c>
      <c r="W283" s="1"/>
      <c r="X283" s="1"/>
    </row>
    <row r="284" spans="1:33" ht="28.9">
      <c r="A284" s="246" t="s">
        <v>3270</v>
      </c>
      <c r="B284" s="289"/>
      <c r="C284" s="2" t="s">
        <v>3091</v>
      </c>
      <c r="D284" s="134" t="s">
        <v>3271</v>
      </c>
      <c r="E284" s="134" t="s">
        <v>3272</v>
      </c>
      <c r="F284" s="134" t="s">
        <v>3147</v>
      </c>
      <c r="G284" s="134" t="s">
        <v>3273</v>
      </c>
      <c r="H284" s="134">
        <v>1</v>
      </c>
      <c r="I284" s="134" t="s">
        <v>3274</v>
      </c>
      <c r="J284" s="134" t="s">
        <v>3241</v>
      </c>
      <c r="K284" s="134" t="s">
        <v>3275</v>
      </c>
      <c r="L284" s="185" t="s">
        <v>1367</v>
      </c>
      <c r="M284" s="21" t="s">
        <v>1425</v>
      </c>
      <c r="N284" s="21" t="s">
        <v>1369</v>
      </c>
      <c r="O284" s="180"/>
      <c r="P284" s="307" t="s">
        <v>1371</v>
      </c>
    </row>
    <row r="285" spans="1:33" ht="28.9">
      <c r="A285" s="246" t="s">
        <v>3276</v>
      </c>
      <c r="B285" s="289"/>
      <c r="C285" s="2" t="s">
        <v>3091</v>
      </c>
      <c r="D285" s="2" t="s">
        <v>3277</v>
      </c>
      <c r="E285" s="134" t="s">
        <v>3277</v>
      </c>
      <c r="F285" s="134" t="s">
        <v>3147</v>
      </c>
      <c r="G285" s="134" t="s">
        <v>3278</v>
      </c>
      <c r="H285" s="134">
        <v>1112131415</v>
      </c>
      <c r="I285" s="2" t="s">
        <v>3279</v>
      </c>
      <c r="J285" s="2" t="s">
        <v>3280</v>
      </c>
      <c r="K285" s="2" t="s">
        <v>3279</v>
      </c>
      <c r="L285" s="185" t="s">
        <v>1367</v>
      </c>
      <c r="M285" s="21" t="s">
        <v>1425</v>
      </c>
      <c r="N285" s="21" t="s">
        <v>1369</v>
      </c>
      <c r="O285" s="180"/>
      <c r="P285" s="307" t="s">
        <v>1371</v>
      </c>
    </row>
    <row r="286" spans="1:33" ht="43.15">
      <c r="A286" s="246" t="s">
        <v>3281</v>
      </c>
      <c r="B286" s="289"/>
      <c r="C286" s="2" t="s">
        <v>3091</v>
      </c>
      <c r="D286" s="134" t="s">
        <v>3282</v>
      </c>
      <c r="E286" s="134" t="s">
        <v>3283</v>
      </c>
      <c r="F286" s="2" t="s">
        <v>3284</v>
      </c>
      <c r="G286" s="134" t="s">
        <v>3285</v>
      </c>
      <c r="H286" s="2" t="s">
        <v>3286</v>
      </c>
      <c r="I286" s="2" t="s">
        <v>3287</v>
      </c>
      <c r="J286" s="2" t="s">
        <v>3288</v>
      </c>
      <c r="K286" s="2" t="s">
        <v>3287</v>
      </c>
      <c r="L286" s="185" t="s">
        <v>1367</v>
      </c>
      <c r="M286" s="21" t="s">
        <v>1425</v>
      </c>
      <c r="N286" s="21" t="s">
        <v>1369</v>
      </c>
      <c r="O286" s="180"/>
      <c r="P286" s="307" t="s">
        <v>1371</v>
      </c>
    </row>
    <row r="287" spans="1:33" ht="57.6">
      <c r="A287" s="246" t="s">
        <v>3289</v>
      </c>
      <c r="B287" s="289"/>
      <c r="C287" s="2" t="s">
        <v>3091</v>
      </c>
      <c r="D287" s="134" t="s">
        <v>3290</v>
      </c>
      <c r="E287" s="134" t="s">
        <v>3290</v>
      </c>
      <c r="F287" s="2" t="s">
        <v>3284</v>
      </c>
      <c r="G287" s="134" t="s">
        <v>3291</v>
      </c>
      <c r="H287" s="2" t="s">
        <v>3286</v>
      </c>
      <c r="I287" s="2" t="s">
        <v>3287</v>
      </c>
      <c r="J287" s="2" t="s">
        <v>3288</v>
      </c>
      <c r="K287" s="2" t="s">
        <v>3287</v>
      </c>
      <c r="L287" s="185" t="s">
        <v>1367</v>
      </c>
      <c r="M287" s="21" t="s">
        <v>1425</v>
      </c>
      <c r="N287" s="21" t="s">
        <v>1369</v>
      </c>
      <c r="O287" s="180"/>
      <c r="P287" s="307" t="s">
        <v>1371</v>
      </c>
    </row>
    <row r="288" spans="1:33" ht="28.9">
      <c r="A288" s="246" t="s">
        <v>3292</v>
      </c>
      <c r="B288" s="289"/>
      <c r="C288" s="2" t="s">
        <v>3091</v>
      </c>
      <c r="D288" s="134" t="s">
        <v>3293</v>
      </c>
      <c r="E288" s="2" t="s">
        <v>3294</v>
      </c>
      <c r="F288" s="2" t="s">
        <v>3154</v>
      </c>
      <c r="G288" s="2" t="s">
        <v>3295</v>
      </c>
      <c r="H288" s="2" t="s">
        <v>3296</v>
      </c>
      <c r="I288" s="2" t="s">
        <v>3297</v>
      </c>
      <c r="J288" s="2" t="s">
        <v>3298</v>
      </c>
      <c r="K288" s="2" t="s">
        <v>3299</v>
      </c>
      <c r="L288" s="185" t="s">
        <v>1367</v>
      </c>
      <c r="M288" s="21" t="s">
        <v>1425</v>
      </c>
      <c r="O288" s="180"/>
      <c r="P288" s="307" t="s">
        <v>1371</v>
      </c>
    </row>
    <row r="289" spans="1:33" s="15" customFormat="1" ht="28.9">
      <c r="A289" s="246" t="s">
        <v>3300</v>
      </c>
      <c r="B289" s="289"/>
      <c r="C289" s="2" t="s">
        <v>3091</v>
      </c>
      <c r="D289" s="134" t="s">
        <v>3301</v>
      </c>
      <c r="E289" s="2" t="s">
        <v>3302</v>
      </c>
      <c r="F289" s="15" t="s">
        <v>3303</v>
      </c>
      <c r="G289" s="15" t="s">
        <v>3304</v>
      </c>
      <c r="H289" s="15" t="s">
        <v>3305</v>
      </c>
      <c r="I289" s="15" t="s">
        <v>3306</v>
      </c>
      <c r="J289" s="15" t="s">
        <v>1442</v>
      </c>
      <c r="K289" s="15" t="s">
        <v>3307</v>
      </c>
      <c r="L289" s="182" t="s">
        <v>1381</v>
      </c>
      <c r="M289" s="21" t="s">
        <v>1425</v>
      </c>
      <c r="O289" s="178"/>
      <c r="P289" s="178" t="s">
        <v>1371</v>
      </c>
      <c r="Q289" s="21"/>
      <c r="W289" s="6"/>
      <c r="X289" s="6"/>
      <c r="AG289" s="21"/>
    </row>
    <row r="290" spans="1:33" s="45" customFormat="1">
      <c r="A290" s="83"/>
      <c r="B290" s="289"/>
      <c r="C290" s="44"/>
      <c r="D290" s="188"/>
      <c r="E290" s="44"/>
      <c r="F290" s="44"/>
      <c r="G290" s="44"/>
      <c r="H290" s="44"/>
      <c r="I290" s="44"/>
      <c r="J290" s="44"/>
      <c r="K290" s="44"/>
      <c r="L290" s="192"/>
      <c r="M290" s="181"/>
      <c r="O290" s="180"/>
      <c r="P290" s="181"/>
      <c r="Q290" s="21"/>
      <c r="R290" s="303"/>
      <c r="S290"/>
      <c r="W290" s="308"/>
      <c r="X290" s="308"/>
      <c r="AG290" s="21"/>
    </row>
    <row r="291" spans="1:33" ht="43.15">
      <c r="A291" s="253" t="s">
        <v>3308</v>
      </c>
      <c r="B291" s="289"/>
      <c r="C291" s="189" t="s">
        <v>3309</v>
      </c>
      <c r="D291" s="134" t="s">
        <v>3310</v>
      </c>
      <c r="E291" s="134" t="s">
        <v>3311</v>
      </c>
      <c r="F291" s="134" t="s">
        <v>3312</v>
      </c>
      <c r="G291" s="134" t="s">
        <v>3313</v>
      </c>
      <c r="H291" s="134" t="s">
        <v>3314</v>
      </c>
      <c r="I291" s="134" t="s">
        <v>3315</v>
      </c>
      <c r="J291" s="134" t="s">
        <v>3316</v>
      </c>
      <c r="K291" s="134" t="s">
        <v>3317</v>
      </c>
      <c r="L291" s="191" t="s">
        <v>1367</v>
      </c>
      <c r="M291" s="21" t="s">
        <v>1368</v>
      </c>
      <c r="N291" s="21" t="s">
        <v>1369</v>
      </c>
      <c r="O291" s="180"/>
      <c r="P291" s="189" t="s">
        <v>22</v>
      </c>
      <c r="R291" s="176"/>
      <c r="S291" s="180"/>
      <c r="T291" s="180"/>
      <c r="W291" s="81"/>
      <c r="X291" s="81"/>
    </row>
    <row r="292" spans="1:33" ht="28.9">
      <c r="A292" s="253" t="s">
        <v>3318</v>
      </c>
      <c r="B292" s="289"/>
      <c r="C292" s="189" t="s">
        <v>3309</v>
      </c>
      <c r="D292" s="134" t="s">
        <v>3319</v>
      </c>
      <c r="E292" s="134" t="s">
        <v>3320</v>
      </c>
      <c r="F292" s="134" t="s">
        <v>3321</v>
      </c>
      <c r="G292" s="134" t="s">
        <v>3322</v>
      </c>
      <c r="H292" s="134" t="s">
        <v>3323</v>
      </c>
      <c r="I292" s="134" t="s">
        <v>3324</v>
      </c>
      <c r="J292" s="134" t="s">
        <v>3325</v>
      </c>
      <c r="K292" s="134" t="s">
        <v>3326</v>
      </c>
      <c r="L292" s="191" t="s">
        <v>1367</v>
      </c>
      <c r="M292" s="21" t="s">
        <v>1368</v>
      </c>
      <c r="N292" s="21" t="s">
        <v>1369</v>
      </c>
      <c r="O292" s="180"/>
      <c r="P292" s="189" t="s">
        <v>22</v>
      </c>
      <c r="R292" s="176"/>
      <c r="S292" s="180"/>
      <c r="T292" s="180"/>
    </row>
    <row r="293" spans="1:33" ht="28.9">
      <c r="A293" s="253" t="s">
        <v>3327</v>
      </c>
      <c r="B293" s="289"/>
      <c r="C293" s="189" t="s">
        <v>3309</v>
      </c>
      <c r="D293" s="134" t="s">
        <v>3328</v>
      </c>
      <c r="E293" s="134" t="s">
        <v>3329</v>
      </c>
      <c r="F293" s="134" t="s">
        <v>3330</v>
      </c>
      <c r="G293" s="134" t="s">
        <v>3331</v>
      </c>
      <c r="H293" s="134" t="s">
        <v>3332</v>
      </c>
      <c r="I293" s="134" t="s">
        <v>3333</v>
      </c>
      <c r="J293" s="134" t="s">
        <v>3334</v>
      </c>
      <c r="K293" s="134" t="s">
        <v>3335</v>
      </c>
      <c r="L293" s="191" t="s">
        <v>1367</v>
      </c>
      <c r="M293" s="21" t="s">
        <v>1368</v>
      </c>
      <c r="N293" s="21" t="s">
        <v>1369</v>
      </c>
      <c r="O293" s="180"/>
      <c r="P293" s="189" t="s">
        <v>22</v>
      </c>
      <c r="R293" s="176"/>
      <c r="S293" s="180"/>
      <c r="T293" s="180"/>
    </row>
    <row r="294" spans="1:33" ht="28.9">
      <c r="A294" s="253" t="s">
        <v>3336</v>
      </c>
      <c r="B294" s="289"/>
      <c r="C294" s="189" t="s">
        <v>3309</v>
      </c>
      <c r="D294" s="134" t="s">
        <v>3337</v>
      </c>
      <c r="E294" s="134" t="s">
        <v>3338</v>
      </c>
      <c r="F294" s="134" t="s">
        <v>3330</v>
      </c>
      <c r="G294" s="134" t="s">
        <v>3339</v>
      </c>
      <c r="H294" s="134" t="s">
        <v>3340</v>
      </c>
      <c r="I294" s="134" t="s">
        <v>3341</v>
      </c>
      <c r="J294" s="134" t="s">
        <v>3342</v>
      </c>
      <c r="K294" s="134" t="s">
        <v>3343</v>
      </c>
      <c r="L294" s="191" t="s">
        <v>1367</v>
      </c>
      <c r="M294" s="21" t="s">
        <v>1368</v>
      </c>
      <c r="N294" s="21" t="s">
        <v>1369</v>
      </c>
      <c r="O294" s="180"/>
      <c r="P294" s="189" t="s">
        <v>22</v>
      </c>
      <c r="R294" s="176"/>
      <c r="S294" s="180"/>
      <c r="T294" s="180"/>
    </row>
    <row r="295" spans="1:33" ht="28.9">
      <c r="A295" s="253" t="s">
        <v>3344</v>
      </c>
      <c r="B295" s="289"/>
      <c r="C295" s="189" t="s">
        <v>3309</v>
      </c>
      <c r="D295" s="134" t="s">
        <v>3345</v>
      </c>
      <c r="E295" s="134" t="s">
        <v>3346</v>
      </c>
      <c r="F295" s="134" t="s">
        <v>3330</v>
      </c>
      <c r="G295" s="134" t="s">
        <v>3347</v>
      </c>
      <c r="H295" s="134" t="s">
        <v>3348</v>
      </c>
      <c r="I295" s="134" t="s">
        <v>3349</v>
      </c>
      <c r="J295" s="134" t="s">
        <v>3350</v>
      </c>
      <c r="K295" s="134" t="s">
        <v>3351</v>
      </c>
      <c r="L295" s="191" t="s">
        <v>1367</v>
      </c>
      <c r="M295" s="21" t="s">
        <v>1368</v>
      </c>
      <c r="N295" s="21" t="s">
        <v>1369</v>
      </c>
      <c r="O295" s="180"/>
      <c r="P295" s="189" t="s">
        <v>22</v>
      </c>
      <c r="R295" s="176"/>
      <c r="S295" s="180"/>
      <c r="T295" s="180"/>
    </row>
    <row r="296" spans="1:33" ht="28.9">
      <c r="A296" s="253" t="s">
        <v>3352</v>
      </c>
      <c r="B296" s="289"/>
      <c r="C296" s="189" t="s">
        <v>3309</v>
      </c>
      <c r="D296" s="134" t="s">
        <v>3353</v>
      </c>
      <c r="E296" s="134" t="s">
        <v>3354</v>
      </c>
      <c r="F296" s="134" t="s">
        <v>3355</v>
      </c>
      <c r="G296" s="134" t="s">
        <v>3356</v>
      </c>
      <c r="H296" s="134" t="s">
        <v>3357</v>
      </c>
      <c r="I296" s="134" t="s">
        <v>3358</v>
      </c>
      <c r="J296" s="134" t="s">
        <v>3359</v>
      </c>
      <c r="K296" s="134" t="s">
        <v>3360</v>
      </c>
      <c r="L296" s="191" t="s">
        <v>1367</v>
      </c>
      <c r="M296" s="21" t="s">
        <v>1368</v>
      </c>
      <c r="N296" s="21" t="s">
        <v>1369</v>
      </c>
      <c r="O296" s="180"/>
      <c r="P296" s="189" t="s">
        <v>1371</v>
      </c>
      <c r="R296" s="176"/>
      <c r="S296" s="180"/>
      <c r="T296" s="180"/>
    </row>
    <row r="297" spans="1:33" ht="43.15">
      <c r="A297" s="253" t="s">
        <v>3361</v>
      </c>
      <c r="B297" s="289"/>
      <c r="C297" s="189" t="s">
        <v>3309</v>
      </c>
      <c r="D297" s="134" t="s">
        <v>3362</v>
      </c>
      <c r="E297" s="134" t="s">
        <v>3363</v>
      </c>
      <c r="F297" s="134" t="s">
        <v>3364</v>
      </c>
      <c r="G297" s="134" t="s">
        <v>3365</v>
      </c>
      <c r="H297" s="134" t="s">
        <v>3366</v>
      </c>
      <c r="I297" s="134" t="s">
        <v>3367</v>
      </c>
      <c r="J297" s="134" t="s">
        <v>3368</v>
      </c>
      <c r="K297" s="134" t="s">
        <v>3369</v>
      </c>
      <c r="L297" s="191" t="s">
        <v>1367</v>
      </c>
      <c r="M297" s="21" t="s">
        <v>1368</v>
      </c>
      <c r="N297" s="21" t="s">
        <v>1369</v>
      </c>
      <c r="O297" s="180"/>
      <c r="P297" s="189" t="s">
        <v>1371</v>
      </c>
      <c r="R297" s="176"/>
      <c r="S297" s="180"/>
      <c r="T297" s="180"/>
    </row>
    <row r="298" spans="1:33" ht="72">
      <c r="A298" s="253" t="s">
        <v>3370</v>
      </c>
      <c r="B298" s="289"/>
      <c r="C298" s="189" t="s">
        <v>3309</v>
      </c>
      <c r="D298" s="134" t="s">
        <v>3371</v>
      </c>
      <c r="E298" s="134" t="s">
        <v>3372</v>
      </c>
      <c r="F298" s="134" t="s">
        <v>3373</v>
      </c>
      <c r="G298" s="134" t="s">
        <v>3374</v>
      </c>
      <c r="H298" s="134" t="s">
        <v>3375</v>
      </c>
      <c r="I298" s="134" t="s">
        <v>3376</v>
      </c>
      <c r="J298" s="134" t="s">
        <v>3377</v>
      </c>
      <c r="K298" s="134" t="s">
        <v>3376</v>
      </c>
      <c r="L298" s="179" t="s">
        <v>1367</v>
      </c>
      <c r="M298" s="21" t="s">
        <v>1368</v>
      </c>
      <c r="N298" s="21" t="s">
        <v>1369</v>
      </c>
      <c r="O298" s="180"/>
      <c r="P298" s="189" t="s">
        <v>22</v>
      </c>
      <c r="R298" s="176"/>
      <c r="S298" s="180"/>
    </row>
    <row r="299" spans="1:33" ht="43.15">
      <c r="A299" s="253" t="s">
        <v>3378</v>
      </c>
      <c r="B299" s="289"/>
      <c r="C299" s="189" t="s">
        <v>3309</v>
      </c>
      <c r="D299" s="134" t="s">
        <v>3379</v>
      </c>
      <c r="E299" s="134" t="s">
        <v>3380</v>
      </c>
      <c r="F299" s="134" t="s">
        <v>3376</v>
      </c>
      <c r="G299" s="134" t="s">
        <v>3381</v>
      </c>
      <c r="H299" s="134" t="s">
        <v>3382</v>
      </c>
      <c r="I299" s="134" t="s">
        <v>3383</v>
      </c>
      <c r="J299" s="134" t="s">
        <v>3384</v>
      </c>
      <c r="K299" s="134" t="s">
        <v>3385</v>
      </c>
      <c r="L299" s="179" t="s">
        <v>1367</v>
      </c>
      <c r="M299" s="21" t="s">
        <v>1368</v>
      </c>
      <c r="N299" s="21" t="s">
        <v>1369</v>
      </c>
      <c r="O299" s="180"/>
      <c r="P299" s="189" t="s">
        <v>22</v>
      </c>
      <c r="R299" s="176"/>
      <c r="S299" s="180"/>
    </row>
    <row r="300" spans="1:33" ht="57.6">
      <c r="A300" s="253" t="s">
        <v>3386</v>
      </c>
      <c r="B300" s="289"/>
      <c r="C300" s="189" t="s">
        <v>3309</v>
      </c>
      <c r="D300" s="134" t="s">
        <v>3387</v>
      </c>
      <c r="E300" s="134" t="s">
        <v>3388</v>
      </c>
      <c r="F300" s="134" t="s">
        <v>3389</v>
      </c>
      <c r="G300" s="134" t="s">
        <v>3390</v>
      </c>
      <c r="H300" s="134" t="s">
        <v>3391</v>
      </c>
      <c r="I300" s="134" t="s">
        <v>3392</v>
      </c>
      <c r="J300" s="134" t="s">
        <v>3393</v>
      </c>
      <c r="K300" s="134" t="s">
        <v>3394</v>
      </c>
      <c r="L300" s="179" t="s">
        <v>1367</v>
      </c>
      <c r="M300" s="21" t="s">
        <v>1368</v>
      </c>
      <c r="N300" s="21" t="s">
        <v>1369</v>
      </c>
      <c r="O300" s="180"/>
      <c r="P300" s="189" t="s">
        <v>1371</v>
      </c>
      <c r="R300" s="176"/>
      <c r="S300" s="180"/>
    </row>
    <row r="301" spans="1:33" ht="28.9">
      <c r="A301" s="253" t="s">
        <v>3395</v>
      </c>
      <c r="B301" s="289"/>
      <c r="C301" s="189" t="s">
        <v>3309</v>
      </c>
      <c r="D301" s="134" t="s">
        <v>3396</v>
      </c>
      <c r="E301" s="134" t="s">
        <v>3397</v>
      </c>
      <c r="F301" s="134" t="s">
        <v>3389</v>
      </c>
      <c r="G301" s="134" t="s">
        <v>3398</v>
      </c>
      <c r="H301" s="134" t="s">
        <v>3399</v>
      </c>
      <c r="I301" s="134" t="s">
        <v>3400</v>
      </c>
      <c r="J301" s="134" t="s">
        <v>3401</v>
      </c>
      <c r="K301" s="134" t="s">
        <v>3402</v>
      </c>
      <c r="L301" s="179" t="s">
        <v>1367</v>
      </c>
      <c r="M301" s="21" t="s">
        <v>1368</v>
      </c>
      <c r="N301" s="21" t="s">
        <v>1369</v>
      </c>
      <c r="O301" s="180"/>
      <c r="P301" s="189" t="s">
        <v>22</v>
      </c>
      <c r="R301" s="176"/>
      <c r="S301" s="180"/>
    </row>
    <row r="302" spans="1:33" ht="28.9">
      <c r="A302" s="253" t="s">
        <v>3403</v>
      </c>
      <c r="B302" s="289"/>
      <c r="C302" s="189" t="s">
        <v>3309</v>
      </c>
      <c r="D302" s="134" t="s">
        <v>3404</v>
      </c>
      <c r="E302" s="134" t="s">
        <v>3405</v>
      </c>
      <c r="F302" s="134" t="s">
        <v>3389</v>
      </c>
      <c r="G302" s="134" t="s">
        <v>3398</v>
      </c>
      <c r="H302" s="134" t="s">
        <v>3406</v>
      </c>
      <c r="I302" s="134" t="s">
        <v>3407</v>
      </c>
      <c r="J302" s="134" t="s">
        <v>3408</v>
      </c>
      <c r="K302" s="134" t="s">
        <v>3409</v>
      </c>
      <c r="L302" s="179" t="s">
        <v>1367</v>
      </c>
      <c r="M302" s="21" t="s">
        <v>1368</v>
      </c>
      <c r="N302" s="21" t="s">
        <v>1369</v>
      </c>
      <c r="O302" s="180"/>
      <c r="P302" s="189" t="s">
        <v>1371</v>
      </c>
      <c r="R302" s="176"/>
      <c r="S302" s="180"/>
    </row>
    <row r="303" spans="1:33" ht="28.9">
      <c r="A303" s="253" t="s">
        <v>3410</v>
      </c>
      <c r="B303" s="289"/>
      <c r="C303" s="189" t="s">
        <v>3309</v>
      </c>
      <c r="D303" s="134" t="s">
        <v>3411</v>
      </c>
      <c r="E303" s="134" t="s">
        <v>3412</v>
      </c>
      <c r="F303" s="134" t="s">
        <v>3389</v>
      </c>
      <c r="G303" s="134" t="s">
        <v>3398</v>
      </c>
      <c r="H303" s="134" t="s">
        <v>3348</v>
      </c>
      <c r="I303" s="134" t="s">
        <v>3413</v>
      </c>
      <c r="J303" s="134" t="s">
        <v>3414</v>
      </c>
      <c r="K303" s="134" t="s">
        <v>3415</v>
      </c>
      <c r="L303" s="179" t="s">
        <v>1367</v>
      </c>
      <c r="M303" s="21" t="s">
        <v>1368</v>
      </c>
      <c r="N303" s="21" t="s">
        <v>1369</v>
      </c>
      <c r="O303" s="180"/>
      <c r="P303" s="189" t="s">
        <v>1371</v>
      </c>
      <c r="R303" s="176"/>
      <c r="S303" s="180"/>
    </row>
    <row r="304" spans="1:33" ht="28.9">
      <c r="A304" s="253" t="s">
        <v>3416</v>
      </c>
      <c r="B304" s="289"/>
      <c r="C304" s="189" t="s">
        <v>3309</v>
      </c>
      <c r="D304" s="134" t="s">
        <v>3417</v>
      </c>
      <c r="E304" s="134" t="s">
        <v>3418</v>
      </c>
      <c r="F304" s="134" t="s">
        <v>3419</v>
      </c>
      <c r="G304" s="134" t="s">
        <v>3420</v>
      </c>
      <c r="H304" s="134" t="s">
        <v>3421</v>
      </c>
      <c r="I304" s="134" t="s">
        <v>3422</v>
      </c>
      <c r="J304" s="134" t="s">
        <v>1843</v>
      </c>
      <c r="K304" s="134" t="s">
        <v>2630</v>
      </c>
      <c r="L304" s="179" t="s">
        <v>1367</v>
      </c>
      <c r="M304" s="21" t="s">
        <v>1368</v>
      </c>
      <c r="N304" s="21" t="s">
        <v>1369</v>
      </c>
      <c r="O304" s="180"/>
      <c r="P304" s="189" t="s">
        <v>1371</v>
      </c>
      <c r="R304" s="176"/>
      <c r="S304" s="180"/>
    </row>
    <row r="305" spans="1:19" ht="43.15">
      <c r="A305" s="253" t="s">
        <v>3423</v>
      </c>
      <c r="B305" s="289"/>
      <c r="C305" s="189" t="s">
        <v>3309</v>
      </c>
      <c r="D305" s="134" t="s">
        <v>3424</v>
      </c>
      <c r="E305" s="134" t="s">
        <v>3425</v>
      </c>
      <c r="F305" s="134" t="s">
        <v>3376</v>
      </c>
      <c r="G305" s="134" t="s">
        <v>3426</v>
      </c>
      <c r="H305" s="134" t="s">
        <v>3382</v>
      </c>
      <c r="I305" s="134" t="s">
        <v>3427</v>
      </c>
      <c r="J305" s="134" t="s">
        <v>3428</v>
      </c>
      <c r="K305" s="134" t="s">
        <v>3429</v>
      </c>
      <c r="L305" s="179" t="s">
        <v>1367</v>
      </c>
      <c r="M305" s="21" t="s">
        <v>1368</v>
      </c>
      <c r="N305" s="21" t="s">
        <v>1369</v>
      </c>
      <c r="O305" s="180"/>
      <c r="P305" s="189" t="s">
        <v>1371</v>
      </c>
      <c r="R305" s="176"/>
      <c r="S305" s="180"/>
    </row>
    <row r="306" spans="1:19" ht="86.45">
      <c r="A306" s="253" t="s">
        <v>3430</v>
      </c>
      <c r="B306" s="289"/>
      <c r="C306" s="189" t="s">
        <v>3309</v>
      </c>
      <c r="D306" s="2" t="s">
        <v>3431</v>
      </c>
      <c r="E306" s="2" t="s">
        <v>3432</v>
      </c>
      <c r="F306" s="2" t="s">
        <v>3389</v>
      </c>
      <c r="G306" s="2" t="s">
        <v>3433</v>
      </c>
      <c r="H306" s="2" t="s">
        <v>3375</v>
      </c>
      <c r="I306" s="2" t="s">
        <v>3434</v>
      </c>
      <c r="J306" s="2" t="s">
        <v>3435</v>
      </c>
      <c r="K306" s="2" t="s">
        <v>3436</v>
      </c>
      <c r="L306" s="6" t="s">
        <v>1381</v>
      </c>
      <c r="M306" s="21" t="s">
        <v>1368</v>
      </c>
      <c r="N306" s="21" t="s">
        <v>1369</v>
      </c>
      <c r="P306" s="21" t="s">
        <v>22</v>
      </c>
      <c r="S306" s="180"/>
    </row>
    <row r="307" spans="1:19" ht="57.6">
      <c r="A307" s="253" t="s">
        <v>3437</v>
      </c>
      <c r="B307" s="289"/>
      <c r="C307" s="21" t="s">
        <v>3309</v>
      </c>
      <c r="D307" s="2" t="s">
        <v>3438</v>
      </c>
      <c r="E307" s="2" t="s">
        <v>3439</v>
      </c>
      <c r="F307" s="2" t="s">
        <v>3389</v>
      </c>
      <c r="G307" s="2" t="s">
        <v>3440</v>
      </c>
      <c r="H307" s="2" t="s">
        <v>3441</v>
      </c>
      <c r="I307" s="2" t="s">
        <v>3442</v>
      </c>
      <c r="J307" s="2" t="s">
        <v>3443</v>
      </c>
      <c r="K307" s="2" t="s">
        <v>3444</v>
      </c>
      <c r="L307" s="6" t="s">
        <v>1381</v>
      </c>
      <c r="M307" s="21" t="s">
        <v>1368</v>
      </c>
      <c r="N307" s="21" t="s">
        <v>1369</v>
      </c>
      <c r="P307" s="21" t="s">
        <v>1371</v>
      </c>
      <c r="S307" s="180"/>
    </row>
    <row r="308" spans="1:19" ht="28.9">
      <c r="A308" s="253" t="s">
        <v>3445</v>
      </c>
      <c r="B308" s="289"/>
      <c r="C308" s="189" t="s">
        <v>3309</v>
      </c>
      <c r="D308" s="134" t="s">
        <v>3446</v>
      </c>
      <c r="E308" s="134" t="s">
        <v>3447</v>
      </c>
      <c r="F308" s="134" t="s">
        <v>3448</v>
      </c>
      <c r="G308" s="134" t="s">
        <v>3449</v>
      </c>
      <c r="H308" s="134" t="s">
        <v>3450</v>
      </c>
      <c r="I308" s="134" t="s">
        <v>3451</v>
      </c>
      <c r="J308" s="134" t="s">
        <v>3452</v>
      </c>
      <c r="K308" s="134" t="s">
        <v>2675</v>
      </c>
      <c r="L308" s="191" t="s">
        <v>1367</v>
      </c>
      <c r="M308" s="21" t="s">
        <v>1368</v>
      </c>
      <c r="N308" s="21" t="s">
        <v>1369</v>
      </c>
      <c r="O308" s="180"/>
      <c r="P308" s="189" t="s">
        <v>22</v>
      </c>
      <c r="S308" s="180"/>
    </row>
    <row r="309" spans="1:19" ht="43.15">
      <c r="A309" s="253" t="s">
        <v>3453</v>
      </c>
      <c r="B309" s="289"/>
      <c r="C309" s="189" t="s">
        <v>3309</v>
      </c>
      <c r="D309" s="134" t="s">
        <v>3454</v>
      </c>
      <c r="E309" s="134" t="s">
        <v>3455</v>
      </c>
      <c r="F309" s="134" t="s">
        <v>3456</v>
      </c>
      <c r="G309" s="134" t="s">
        <v>3457</v>
      </c>
      <c r="H309" s="134" t="s">
        <v>3458</v>
      </c>
      <c r="I309" s="134" t="s">
        <v>3459</v>
      </c>
      <c r="J309" s="134" t="s">
        <v>3460</v>
      </c>
      <c r="K309" s="134" t="s">
        <v>3459</v>
      </c>
      <c r="L309" s="191" t="s">
        <v>1367</v>
      </c>
      <c r="M309" s="21" t="s">
        <v>1368</v>
      </c>
      <c r="N309" s="21" t="s">
        <v>1369</v>
      </c>
      <c r="O309" s="180"/>
      <c r="P309" s="189" t="s">
        <v>22</v>
      </c>
      <c r="S309" s="180"/>
    </row>
    <row r="310" spans="1:19" ht="43.15">
      <c r="A310" s="253" t="s">
        <v>3461</v>
      </c>
      <c r="B310" s="289"/>
      <c r="C310" s="189" t="s">
        <v>3309</v>
      </c>
      <c r="D310" s="134" t="s">
        <v>3462</v>
      </c>
      <c r="E310" s="134" t="s">
        <v>3463</v>
      </c>
      <c r="F310" s="134" t="s">
        <v>3459</v>
      </c>
      <c r="G310" s="134" t="s">
        <v>3464</v>
      </c>
      <c r="H310" s="134" t="s">
        <v>3465</v>
      </c>
      <c r="I310" s="134" t="s">
        <v>3466</v>
      </c>
      <c r="J310" s="134" t="s">
        <v>3467</v>
      </c>
      <c r="K310" s="134" t="s">
        <v>3468</v>
      </c>
      <c r="L310" s="191" t="s">
        <v>1367</v>
      </c>
      <c r="M310" s="21" t="s">
        <v>1368</v>
      </c>
      <c r="N310" s="21" t="s">
        <v>1369</v>
      </c>
      <c r="O310" s="180"/>
      <c r="P310" s="189" t="s">
        <v>22</v>
      </c>
      <c r="S310" s="180"/>
    </row>
    <row r="311" spans="1:19" ht="28.9">
      <c r="A311" s="253" t="s">
        <v>3469</v>
      </c>
      <c r="B311" s="289"/>
      <c r="C311" s="189" t="s">
        <v>3309</v>
      </c>
      <c r="D311" s="134" t="s">
        <v>3470</v>
      </c>
      <c r="E311" s="134" t="s">
        <v>3471</v>
      </c>
      <c r="F311" s="134" t="s">
        <v>3472</v>
      </c>
      <c r="G311" s="134" t="s">
        <v>3473</v>
      </c>
      <c r="H311" s="134" t="s">
        <v>3474</v>
      </c>
      <c r="I311" s="134" t="s">
        <v>1796</v>
      </c>
      <c r="J311" s="134" t="s">
        <v>1843</v>
      </c>
      <c r="K311" s="134" t="s">
        <v>2630</v>
      </c>
      <c r="L311" s="191" t="s">
        <v>1367</v>
      </c>
      <c r="M311" s="21" t="s">
        <v>1368</v>
      </c>
      <c r="N311" s="21" t="s">
        <v>1369</v>
      </c>
      <c r="O311" s="180"/>
      <c r="P311" s="189" t="s">
        <v>1371</v>
      </c>
      <c r="S311" s="180"/>
    </row>
    <row r="312" spans="1:19" ht="57.6">
      <c r="A312" s="253" t="s">
        <v>3475</v>
      </c>
      <c r="B312" s="289"/>
      <c r="C312" s="189" t="s">
        <v>3309</v>
      </c>
      <c r="D312" s="134" t="s">
        <v>3476</v>
      </c>
      <c r="E312" s="134" t="s">
        <v>3477</v>
      </c>
      <c r="F312" s="134" t="s">
        <v>3459</v>
      </c>
      <c r="G312" s="134" t="s">
        <v>3478</v>
      </c>
      <c r="H312" s="134" t="s">
        <v>3479</v>
      </c>
      <c r="I312" s="134" t="s">
        <v>3480</v>
      </c>
      <c r="J312" s="134" t="s">
        <v>3481</v>
      </c>
      <c r="K312" s="134" t="s">
        <v>3482</v>
      </c>
      <c r="L312" s="191" t="s">
        <v>1367</v>
      </c>
      <c r="M312" s="21" t="s">
        <v>1368</v>
      </c>
      <c r="N312" s="21" t="s">
        <v>1369</v>
      </c>
      <c r="O312" s="180"/>
      <c r="P312" s="189" t="s">
        <v>22</v>
      </c>
      <c r="S312" s="180"/>
    </row>
    <row r="313" spans="1:19" ht="43.15">
      <c r="A313" s="253" t="s">
        <v>3483</v>
      </c>
      <c r="B313" s="289"/>
      <c r="C313" s="189" t="s">
        <v>3309</v>
      </c>
      <c r="D313" s="134" t="s">
        <v>3484</v>
      </c>
      <c r="E313" s="134" t="s">
        <v>3485</v>
      </c>
      <c r="F313" s="134" t="s">
        <v>3486</v>
      </c>
      <c r="G313" s="134" t="s">
        <v>3487</v>
      </c>
      <c r="H313" s="134" t="s">
        <v>3488</v>
      </c>
      <c r="I313" s="134" t="s">
        <v>3489</v>
      </c>
      <c r="J313" s="134" t="s">
        <v>3490</v>
      </c>
      <c r="K313" s="134" t="s">
        <v>3491</v>
      </c>
      <c r="L313" s="191" t="s">
        <v>1367</v>
      </c>
      <c r="M313" s="21" t="s">
        <v>1368</v>
      </c>
      <c r="N313" s="21" t="s">
        <v>1369</v>
      </c>
      <c r="O313" s="180"/>
      <c r="P313" s="189" t="s">
        <v>22</v>
      </c>
      <c r="S313" s="180"/>
    </row>
    <row r="314" spans="1:19" ht="57.6">
      <c r="A314" s="253" t="s">
        <v>3492</v>
      </c>
      <c r="B314" s="289"/>
      <c r="C314" s="189" t="s">
        <v>3309</v>
      </c>
      <c r="D314" s="2" t="s">
        <v>3493</v>
      </c>
      <c r="E314" s="2" t="s">
        <v>3494</v>
      </c>
      <c r="F314" s="2" t="s">
        <v>3495</v>
      </c>
      <c r="G314" s="2" t="s">
        <v>3496</v>
      </c>
      <c r="H314" s="2" t="s">
        <v>3497</v>
      </c>
      <c r="I314" s="2" t="s">
        <v>3498</v>
      </c>
      <c r="J314" s="2" t="s">
        <v>3499</v>
      </c>
      <c r="K314" s="2" t="s">
        <v>3500</v>
      </c>
      <c r="L314" s="6" t="s">
        <v>1381</v>
      </c>
      <c r="M314" s="21" t="s">
        <v>1368</v>
      </c>
      <c r="N314" s="21" t="s">
        <v>1369</v>
      </c>
      <c r="P314" s="21" t="s">
        <v>1371</v>
      </c>
      <c r="S314" s="180"/>
    </row>
    <row r="315" spans="1:19" ht="61.15" customHeight="1">
      <c r="A315" s="253" t="s">
        <v>3501</v>
      </c>
      <c r="B315" s="289"/>
      <c r="C315" s="189" t="s">
        <v>3309</v>
      </c>
      <c r="D315" s="2" t="s">
        <v>3502</v>
      </c>
      <c r="E315" s="2" t="s">
        <v>3503</v>
      </c>
      <c r="F315" s="2" t="s">
        <v>3495</v>
      </c>
      <c r="G315" s="2" t="s">
        <v>3504</v>
      </c>
      <c r="H315" s="2" t="s">
        <v>3505</v>
      </c>
      <c r="I315" s="2" t="s">
        <v>3506</v>
      </c>
      <c r="J315" s="2" t="s">
        <v>3507</v>
      </c>
      <c r="K315" s="2" t="s">
        <v>3508</v>
      </c>
      <c r="L315" s="6" t="s">
        <v>1381</v>
      </c>
      <c r="M315" s="21" t="s">
        <v>1368</v>
      </c>
      <c r="N315" s="21" t="s">
        <v>1369</v>
      </c>
      <c r="P315" s="21" t="s">
        <v>1371</v>
      </c>
      <c r="S315" s="180"/>
    </row>
    <row r="316" spans="1:19" ht="28.9">
      <c r="A316" s="253" t="s">
        <v>3509</v>
      </c>
      <c r="B316" s="289"/>
      <c r="C316" s="189" t="s">
        <v>3309</v>
      </c>
      <c r="D316" s="134" t="s">
        <v>3510</v>
      </c>
      <c r="E316" s="134" t="s">
        <v>3511</v>
      </c>
      <c r="F316" s="134" t="s">
        <v>3456</v>
      </c>
      <c r="G316" s="134" t="s">
        <v>2712</v>
      </c>
      <c r="H316" s="134" t="s">
        <v>3323</v>
      </c>
      <c r="I316" s="134" t="s">
        <v>3512</v>
      </c>
      <c r="J316" s="134" t="s">
        <v>3513</v>
      </c>
      <c r="K316" s="134" t="s">
        <v>3514</v>
      </c>
      <c r="L316" s="191" t="s">
        <v>1367</v>
      </c>
      <c r="M316" s="21" t="s">
        <v>1368</v>
      </c>
      <c r="N316" s="21" t="s">
        <v>1369</v>
      </c>
      <c r="O316" s="180"/>
      <c r="P316" s="189" t="s">
        <v>1371</v>
      </c>
      <c r="S316" s="180"/>
    </row>
    <row r="317" spans="1:19" ht="28.9">
      <c r="A317" s="253" t="s">
        <v>3515</v>
      </c>
      <c r="B317" s="289"/>
      <c r="C317" s="189" t="s">
        <v>3309</v>
      </c>
      <c r="D317" s="134" t="s">
        <v>2718</v>
      </c>
      <c r="E317" s="134" t="s">
        <v>3516</v>
      </c>
      <c r="F317" s="134" t="s">
        <v>3517</v>
      </c>
      <c r="G317" s="134" t="s">
        <v>3518</v>
      </c>
      <c r="H317" s="134" t="s">
        <v>3519</v>
      </c>
      <c r="I317" s="134" t="s">
        <v>2723</v>
      </c>
      <c r="J317" s="134" t="s">
        <v>2724</v>
      </c>
      <c r="K317" s="134" t="s">
        <v>2723</v>
      </c>
      <c r="L317" s="191" t="s">
        <v>1367</v>
      </c>
      <c r="M317" s="21" t="s">
        <v>1368</v>
      </c>
      <c r="N317" s="21" t="s">
        <v>1369</v>
      </c>
      <c r="O317" s="180"/>
      <c r="P317" s="189" t="s">
        <v>22</v>
      </c>
      <c r="S317" s="180"/>
    </row>
    <row r="318" spans="1:19" ht="28.9">
      <c r="A318" s="253" t="s">
        <v>3520</v>
      </c>
      <c r="B318" s="289"/>
      <c r="C318" s="189" t="s">
        <v>3309</v>
      </c>
      <c r="D318" s="134" t="s">
        <v>3521</v>
      </c>
      <c r="E318" s="134" t="s">
        <v>3522</v>
      </c>
      <c r="F318" s="134" t="s">
        <v>2728</v>
      </c>
      <c r="G318" s="134" t="s">
        <v>2729</v>
      </c>
      <c r="H318" s="134" t="s">
        <v>3519</v>
      </c>
      <c r="I318" s="134" t="s">
        <v>3523</v>
      </c>
      <c r="J318" s="134" t="s">
        <v>2731</v>
      </c>
      <c r="K318" s="134" t="s">
        <v>3523</v>
      </c>
      <c r="L318" s="191" t="s">
        <v>1367</v>
      </c>
      <c r="M318" s="21" t="s">
        <v>1368</v>
      </c>
      <c r="N318" s="21" t="s">
        <v>1369</v>
      </c>
      <c r="O318" s="180"/>
      <c r="P318" s="189" t="s">
        <v>1393</v>
      </c>
      <c r="S318" s="180"/>
    </row>
    <row r="319" spans="1:19" ht="28.9">
      <c r="A319" s="253" t="s">
        <v>3524</v>
      </c>
      <c r="B319" s="289"/>
      <c r="C319" s="189" t="s">
        <v>3309</v>
      </c>
      <c r="D319" s="134" t="s">
        <v>3525</v>
      </c>
      <c r="E319" s="134" t="s">
        <v>3526</v>
      </c>
      <c r="F319" s="134" t="s">
        <v>3523</v>
      </c>
      <c r="G319" s="134" t="s">
        <v>3527</v>
      </c>
      <c r="H319" s="134" t="s">
        <v>3528</v>
      </c>
      <c r="I319" s="134" t="s">
        <v>3529</v>
      </c>
      <c r="J319" s="134" t="s">
        <v>2739</v>
      </c>
      <c r="K319" s="134" t="s">
        <v>3530</v>
      </c>
      <c r="L319" s="191" t="s">
        <v>1367</v>
      </c>
      <c r="M319" s="21" t="s">
        <v>1368</v>
      </c>
      <c r="N319" s="21" t="s">
        <v>1369</v>
      </c>
      <c r="O319" s="180"/>
      <c r="P319" s="189" t="s">
        <v>22</v>
      </c>
      <c r="S319" s="180"/>
    </row>
    <row r="320" spans="1:19" ht="28.9">
      <c r="A320" s="253" t="s">
        <v>3531</v>
      </c>
      <c r="B320" s="289"/>
      <c r="C320" s="189" t="s">
        <v>3309</v>
      </c>
      <c r="D320" s="134" t="s">
        <v>3532</v>
      </c>
      <c r="E320" s="134" t="s">
        <v>2743</v>
      </c>
      <c r="F320" s="134" t="s">
        <v>3523</v>
      </c>
      <c r="G320" s="134" t="s">
        <v>3533</v>
      </c>
      <c r="H320" s="134" t="s">
        <v>3519</v>
      </c>
      <c r="I320" s="134" t="s">
        <v>2630</v>
      </c>
      <c r="J320" s="134" t="s">
        <v>2745</v>
      </c>
      <c r="K320" s="134" t="s">
        <v>2630</v>
      </c>
      <c r="L320" s="191" t="s">
        <v>1367</v>
      </c>
      <c r="M320" s="21" t="s">
        <v>1368</v>
      </c>
      <c r="N320" s="21" t="s">
        <v>1369</v>
      </c>
      <c r="O320" s="180"/>
      <c r="P320" s="189" t="s">
        <v>1371</v>
      </c>
      <c r="S320" s="180"/>
    </row>
    <row r="321" spans="1:19" ht="43.15">
      <c r="A321" s="253" t="s">
        <v>3534</v>
      </c>
      <c r="B321" s="289"/>
      <c r="C321" s="189" t="s">
        <v>3309</v>
      </c>
      <c r="D321" s="134" t="s">
        <v>3535</v>
      </c>
      <c r="E321" s="134" t="s">
        <v>3536</v>
      </c>
      <c r="F321" s="134" t="s">
        <v>3456</v>
      </c>
      <c r="G321" s="134" t="s">
        <v>3537</v>
      </c>
      <c r="H321" s="134" t="s">
        <v>3538</v>
      </c>
      <c r="I321" s="134" t="s">
        <v>3539</v>
      </c>
      <c r="J321" s="134" t="s">
        <v>2752</v>
      </c>
      <c r="K321" s="134" t="s">
        <v>3540</v>
      </c>
      <c r="L321" s="191" t="s">
        <v>1367</v>
      </c>
      <c r="M321" s="21" t="s">
        <v>1368</v>
      </c>
      <c r="N321" s="21" t="s">
        <v>1369</v>
      </c>
      <c r="O321" s="180"/>
      <c r="P321" s="189" t="s">
        <v>22</v>
      </c>
      <c r="S321" s="180"/>
    </row>
    <row r="322" spans="1:19" ht="43.15">
      <c r="A322" s="253" t="s">
        <v>3541</v>
      </c>
      <c r="B322" s="289"/>
      <c r="C322" s="189" t="s">
        <v>3309</v>
      </c>
      <c r="D322" s="134" t="s">
        <v>3542</v>
      </c>
      <c r="E322" s="134" t="s">
        <v>2756</v>
      </c>
      <c r="F322" s="134" t="s">
        <v>3543</v>
      </c>
      <c r="G322" s="134" t="s">
        <v>2758</v>
      </c>
      <c r="H322" s="134" t="s">
        <v>3519</v>
      </c>
      <c r="I322" s="134" t="s">
        <v>3544</v>
      </c>
      <c r="J322" s="134" t="s">
        <v>3545</v>
      </c>
      <c r="K322" s="134" t="s">
        <v>3546</v>
      </c>
      <c r="L322" s="191" t="s">
        <v>1367</v>
      </c>
      <c r="M322" s="21" t="s">
        <v>1368</v>
      </c>
      <c r="N322" s="21" t="s">
        <v>1369</v>
      </c>
      <c r="O322" s="180"/>
      <c r="P322" s="189" t="s">
        <v>22</v>
      </c>
      <c r="S322" s="180"/>
    </row>
    <row r="323" spans="1:19" ht="43.15">
      <c r="A323" s="253" t="s">
        <v>3547</v>
      </c>
      <c r="B323" s="289"/>
      <c r="C323" s="189" t="s">
        <v>3309</v>
      </c>
      <c r="D323" s="134" t="s">
        <v>3548</v>
      </c>
      <c r="E323" s="134" t="s">
        <v>3549</v>
      </c>
      <c r="F323" s="134" t="s">
        <v>3456</v>
      </c>
      <c r="G323" s="134" t="s">
        <v>3550</v>
      </c>
      <c r="H323" s="134" t="s">
        <v>3538</v>
      </c>
      <c r="I323" s="134" t="s">
        <v>3551</v>
      </c>
      <c r="J323" s="134" t="s">
        <v>2767</v>
      </c>
      <c r="K323" s="134" t="s">
        <v>3523</v>
      </c>
      <c r="L323" s="191" t="s">
        <v>1367</v>
      </c>
      <c r="M323" s="21" t="s">
        <v>1368</v>
      </c>
      <c r="N323" s="21" t="s">
        <v>1369</v>
      </c>
      <c r="O323" s="180"/>
      <c r="P323" s="189" t="s">
        <v>1393</v>
      </c>
      <c r="S323" s="180"/>
    </row>
    <row r="324" spans="1:19" ht="72">
      <c r="A324" s="253" t="s">
        <v>3552</v>
      </c>
      <c r="B324" s="289"/>
      <c r="C324" s="189" t="s">
        <v>3309</v>
      </c>
      <c r="D324" s="134" t="s">
        <v>3553</v>
      </c>
      <c r="E324" s="134" t="s">
        <v>3554</v>
      </c>
      <c r="F324" s="134" t="s">
        <v>3555</v>
      </c>
      <c r="G324" s="134" t="s">
        <v>2773</v>
      </c>
      <c r="H324" s="134" t="s">
        <v>3556</v>
      </c>
      <c r="I324" s="134" t="s">
        <v>3557</v>
      </c>
      <c r="J324" s="134" t="s">
        <v>2776</v>
      </c>
      <c r="K324" s="134" t="s">
        <v>2777</v>
      </c>
      <c r="L324" s="191" t="s">
        <v>1367</v>
      </c>
      <c r="M324" s="21" t="s">
        <v>1368</v>
      </c>
      <c r="N324" s="21" t="s">
        <v>1369</v>
      </c>
      <c r="O324" s="180"/>
      <c r="P324" s="189" t="s">
        <v>1371</v>
      </c>
      <c r="S324" s="180"/>
    </row>
    <row r="325" spans="1:19" ht="43.15">
      <c r="A325" s="253" t="s">
        <v>3558</v>
      </c>
      <c r="B325" s="289"/>
      <c r="C325" s="21" t="s">
        <v>3309</v>
      </c>
      <c r="D325" s="2" t="s">
        <v>3559</v>
      </c>
      <c r="E325" s="2" t="s">
        <v>3560</v>
      </c>
      <c r="F325" s="2" t="s">
        <v>3561</v>
      </c>
      <c r="G325" s="2" t="s">
        <v>3562</v>
      </c>
      <c r="H325" s="2" t="s">
        <v>3538</v>
      </c>
      <c r="I325" s="2" t="s">
        <v>3563</v>
      </c>
      <c r="J325" s="2" t="s">
        <v>3564</v>
      </c>
      <c r="K325" s="2" t="s">
        <v>3546</v>
      </c>
      <c r="L325" s="6" t="s">
        <v>1367</v>
      </c>
      <c r="M325" s="21" t="s">
        <v>1368</v>
      </c>
      <c r="N325" s="21" t="s">
        <v>1369</v>
      </c>
      <c r="P325" s="21" t="s">
        <v>22</v>
      </c>
    </row>
    <row r="326" spans="1:19" ht="43.15">
      <c r="A326" s="253" t="s">
        <v>3565</v>
      </c>
      <c r="B326" s="289"/>
      <c r="C326" s="21" t="s">
        <v>3309</v>
      </c>
      <c r="D326" s="2" t="s">
        <v>3566</v>
      </c>
      <c r="E326" s="2" t="s">
        <v>3567</v>
      </c>
      <c r="F326" s="2" t="s">
        <v>3568</v>
      </c>
      <c r="G326" s="2" t="s">
        <v>3569</v>
      </c>
      <c r="H326" s="2" t="s">
        <v>3450</v>
      </c>
      <c r="I326" s="2" t="s">
        <v>3570</v>
      </c>
      <c r="J326" s="2" t="s">
        <v>3571</v>
      </c>
      <c r="K326" s="2" t="s">
        <v>3572</v>
      </c>
      <c r="L326" s="6" t="s">
        <v>1367</v>
      </c>
      <c r="M326" s="21" t="s">
        <v>1368</v>
      </c>
      <c r="N326" s="21" t="s">
        <v>1369</v>
      </c>
      <c r="P326" s="21" t="s">
        <v>1371</v>
      </c>
    </row>
    <row r="327" spans="1:19" ht="72">
      <c r="A327" s="253" t="s">
        <v>3573</v>
      </c>
      <c r="B327" s="289"/>
      <c r="C327" s="21" t="s">
        <v>3309</v>
      </c>
      <c r="D327" s="2" t="s">
        <v>3574</v>
      </c>
      <c r="E327" s="2" t="s">
        <v>3575</v>
      </c>
      <c r="F327" s="2" t="s">
        <v>3576</v>
      </c>
      <c r="G327" s="2" t="s">
        <v>3577</v>
      </c>
      <c r="H327" s="2" t="s">
        <v>3538</v>
      </c>
      <c r="I327" s="2" t="s">
        <v>3427</v>
      </c>
      <c r="J327" s="2" t="s">
        <v>3578</v>
      </c>
      <c r="K327" s="2" t="s">
        <v>3546</v>
      </c>
      <c r="L327" s="6" t="s">
        <v>1367</v>
      </c>
      <c r="M327" s="21" t="s">
        <v>1368</v>
      </c>
      <c r="N327" s="21" t="s">
        <v>1369</v>
      </c>
      <c r="P327" s="21" t="s">
        <v>1371</v>
      </c>
    </row>
    <row r="328" spans="1:19" ht="28.9">
      <c r="A328" s="253" t="s">
        <v>3579</v>
      </c>
      <c r="B328" s="289"/>
      <c r="C328" s="21" t="s">
        <v>3309</v>
      </c>
      <c r="D328" s="2" t="s">
        <v>3580</v>
      </c>
      <c r="E328" s="2" t="s">
        <v>3581</v>
      </c>
      <c r="F328" s="2" t="s">
        <v>3582</v>
      </c>
      <c r="G328" s="2" t="s">
        <v>3583</v>
      </c>
      <c r="H328" s="2" t="s">
        <v>3382</v>
      </c>
      <c r="I328" s="2" t="s">
        <v>3584</v>
      </c>
      <c r="J328" s="2" t="s">
        <v>3585</v>
      </c>
      <c r="K328" s="2" t="s">
        <v>3586</v>
      </c>
      <c r="L328" s="6" t="s">
        <v>1367</v>
      </c>
      <c r="M328" s="21" t="s">
        <v>1368</v>
      </c>
      <c r="N328" s="21" t="s">
        <v>1369</v>
      </c>
      <c r="P328" s="21" t="s">
        <v>22</v>
      </c>
    </row>
    <row r="329" spans="1:19" ht="28.9">
      <c r="A329" s="253" t="s">
        <v>3587</v>
      </c>
      <c r="B329" s="289"/>
      <c r="C329" s="21" t="s">
        <v>3309</v>
      </c>
      <c r="D329" s="2" t="s">
        <v>3588</v>
      </c>
      <c r="E329" s="2" t="s">
        <v>3589</v>
      </c>
      <c r="F329" s="2" t="s">
        <v>3330</v>
      </c>
      <c r="G329" s="2" t="s">
        <v>3590</v>
      </c>
      <c r="H329" s="2" t="s">
        <v>3406</v>
      </c>
      <c r="I329" s="2" t="s">
        <v>3591</v>
      </c>
      <c r="J329" s="2" t="s">
        <v>3585</v>
      </c>
      <c r="K329" s="2" t="s">
        <v>3586</v>
      </c>
      <c r="L329" s="6" t="s">
        <v>1367</v>
      </c>
      <c r="M329" s="21" t="s">
        <v>1368</v>
      </c>
      <c r="N329" s="21" t="s">
        <v>1369</v>
      </c>
      <c r="P329" s="21" t="s">
        <v>22</v>
      </c>
    </row>
    <row r="330" spans="1:19" ht="28.9">
      <c r="A330" s="253" t="s">
        <v>3592</v>
      </c>
      <c r="B330" s="289"/>
      <c r="C330" s="21" t="s">
        <v>3309</v>
      </c>
      <c r="D330" s="2" t="s">
        <v>3593</v>
      </c>
      <c r="E330" s="2" t="s">
        <v>3594</v>
      </c>
      <c r="F330" s="2" t="s">
        <v>3330</v>
      </c>
      <c r="G330" s="2" t="s">
        <v>3595</v>
      </c>
      <c r="H330" s="2" t="s">
        <v>3348</v>
      </c>
      <c r="I330" s="2" t="s">
        <v>3596</v>
      </c>
      <c r="J330" s="2" t="s">
        <v>3585</v>
      </c>
      <c r="K330" s="2" t="s">
        <v>3586</v>
      </c>
      <c r="L330" s="6" t="s">
        <v>1367</v>
      </c>
      <c r="M330" s="21" t="s">
        <v>1368</v>
      </c>
      <c r="N330" s="21" t="s">
        <v>1369</v>
      </c>
      <c r="P330" s="21" t="s">
        <v>22</v>
      </c>
    </row>
    <row r="331" spans="1:19" ht="57.6">
      <c r="A331" s="253" t="s">
        <v>3597</v>
      </c>
      <c r="B331" s="289"/>
      <c r="C331" s="21" t="s">
        <v>3309</v>
      </c>
      <c r="D331" s="2" t="s">
        <v>3598</v>
      </c>
      <c r="E331" s="2" t="s">
        <v>3599</v>
      </c>
      <c r="F331" s="2" t="s">
        <v>3330</v>
      </c>
      <c r="G331" s="2" t="s">
        <v>3600</v>
      </c>
      <c r="H331" s="2" t="s">
        <v>3601</v>
      </c>
      <c r="I331" s="2" t="s">
        <v>3602</v>
      </c>
      <c r="J331" s="2" t="s">
        <v>3603</v>
      </c>
      <c r="K331" s="2" t="s">
        <v>3604</v>
      </c>
      <c r="L331" s="6" t="s">
        <v>1367</v>
      </c>
      <c r="M331" s="21" t="s">
        <v>1368</v>
      </c>
      <c r="N331" s="21" t="s">
        <v>1369</v>
      </c>
      <c r="P331" s="21" t="s">
        <v>22</v>
      </c>
    </row>
    <row r="332" spans="1:19" ht="43.15">
      <c r="A332" s="253" t="s">
        <v>3605</v>
      </c>
      <c r="B332" s="289"/>
      <c r="C332" s="21" t="s">
        <v>3309</v>
      </c>
      <c r="D332" s="2" t="s">
        <v>3606</v>
      </c>
      <c r="E332" s="2" t="s">
        <v>3607</v>
      </c>
      <c r="F332" s="2" t="s">
        <v>3608</v>
      </c>
      <c r="G332" s="2" t="s">
        <v>3609</v>
      </c>
      <c r="H332" s="2" t="s">
        <v>3610</v>
      </c>
      <c r="I332" s="2" t="s">
        <v>3611</v>
      </c>
      <c r="J332" s="2" t="s">
        <v>3612</v>
      </c>
      <c r="K332" s="2" t="s">
        <v>3613</v>
      </c>
      <c r="L332" s="6" t="s">
        <v>1367</v>
      </c>
      <c r="M332" s="21" t="s">
        <v>1368</v>
      </c>
      <c r="N332" s="21" t="s">
        <v>1369</v>
      </c>
      <c r="P332" s="21" t="s">
        <v>1371</v>
      </c>
    </row>
    <row r="333" spans="1:19" ht="28.9">
      <c r="A333" s="253" t="s">
        <v>3614</v>
      </c>
      <c r="B333" s="289"/>
      <c r="C333" s="21" t="s">
        <v>3309</v>
      </c>
      <c r="D333" s="2" t="s">
        <v>3615</v>
      </c>
      <c r="E333" s="2" t="s">
        <v>3616</v>
      </c>
      <c r="F333" s="2" t="s">
        <v>3617</v>
      </c>
      <c r="G333" s="2" t="s">
        <v>3618</v>
      </c>
      <c r="H333" s="2" t="s">
        <v>3619</v>
      </c>
      <c r="I333" s="2" t="s">
        <v>3620</v>
      </c>
      <c r="J333" s="2" t="s">
        <v>3621</v>
      </c>
      <c r="K333" s="2" t="s">
        <v>3604</v>
      </c>
      <c r="L333" s="6" t="s">
        <v>1367</v>
      </c>
      <c r="M333" s="21" t="s">
        <v>1368</v>
      </c>
      <c r="P333" s="21" t="s">
        <v>1371</v>
      </c>
    </row>
    <row r="334" spans="1:19" ht="43.15">
      <c r="A334" s="253" t="s">
        <v>3622</v>
      </c>
      <c r="B334" s="289"/>
      <c r="C334" s="21" t="s">
        <v>3309</v>
      </c>
      <c r="D334" s="2" t="s">
        <v>3623</v>
      </c>
      <c r="E334" s="2" t="s">
        <v>3624</v>
      </c>
      <c r="F334" s="2" t="s">
        <v>3625</v>
      </c>
      <c r="G334" s="2" t="s">
        <v>3626</v>
      </c>
      <c r="H334" s="2" t="s">
        <v>3382</v>
      </c>
      <c r="I334" s="2" t="s">
        <v>3627</v>
      </c>
      <c r="J334" s="2" t="s">
        <v>3628</v>
      </c>
      <c r="K334" s="2" t="s">
        <v>3629</v>
      </c>
      <c r="L334" s="6" t="s">
        <v>1367</v>
      </c>
      <c r="M334" s="21" t="s">
        <v>1368</v>
      </c>
      <c r="P334" s="21" t="s">
        <v>22</v>
      </c>
    </row>
    <row r="335" spans="1:19" ht="43.15">
      <c r="A335" s="253" t="s">
        <v>3630</v>
      </c>
      <c r="B335" s="289"/>
      <c r="C335" s="21" t="s">
        <v>3309</v>
      </c>
      <c r="D335" s="2" t="s">
        <v>3631</v>
      </c>
      <c r="E335" s="2" t="s">
        <v>3632</v>
      </c>
      <c r="F335" s="2" t="s">
        <v>3633</v>
      </c>
      <c r="G335" s="2" t="s">
        <v>3634</v>
      </c>
      <c r="H335" s="2" t="s">
        <v>3406</v>
      </c>
      <c r="I335" s="2" t="s">
        <v>3635</v>
      </c>
      <c r="J335" s="2" t="s">
        <v>3636</v>
      </c>
      <c r="K335" s="2" t="s">
        <v>3637</v>
      </c>
      <c r="L335" s="6" t="s">
        <v>1367</v>
      </c>
      <c r="M335" s="21" t="s">
        <v>1368</v>
      </c>
      <c r="P335" s="21" t="s">
        <v>22</v>
      </c>
    </row>
    <row r="336" spans="1:19" ht="72">
      <c r="A336" s="253" t="s">
        <v>3638</v>
      </c>
      <c r="B336" s="289"/>
      <c r="C336" s="21" t="s">
        <v>3309</v>
      </c>
      <c r="D336" s="2" t="s">
        <v>3639</v>
      </c>
      <c r="E336" s="2" t="s">
        <v>3640</v>
      </c>
      <c r="F336" s="2" t="s">
        <v>3641</v>
      </c>
      <c r="G336" s="2" t="s">
        <v>3642</v>
      </c>
      <c r="H336" s="2" t="s">
        <v>3601</v>
      </c>
      <c r="I336" s="2" t="s">
        <v>3643</v>
      </c>
      <c r="J336" s="2" t="s">
        <v>3644</v>
      </c>
      <c r="K336" s="2" t="s">
        <v>3645</v>
      </c>
      <c r="L336" s="6" t="s">
        <v>1367</v>
      </c>
      <c r="M336" s="21" t="s">
        <v>1368</v>
      </c>
      <c r="P336" s="21" t="s">
        <v>1371</v>
      </c>
    </row>
    <row r="337" spans="1:33" ht="28.9">
      <c r="A337" s="253" t="s">
        <v>3646</v>
      </c>
      <c r="B337" s="289"/>
      <c r="C337" s="21" t="s">
        <v>3309</v>
      </c>
      <c r="D337" s="2" t="s">
        <v>3647</v>
      </c>
      <c r="E337" s="2" t="s">
        <v>3648</v>
      </c>
      <c r="F337" s="2" t="s">
        <v>3649</v>
      </c>
      <c r="G337" s="2" t="s">
        <v>3650</v>
      </c>
      <c r="H337" s="2" t="s">
        <v>3348</v>
      </c>
      <c r="I337" s="2" t="s">
        <v>3651</v>
      </c>
      <c r="J337" s="2" t="s">
        <v>3652</v>
      </c>
      <c r="K337" s="2" t="s">
        <v>3653</v>
      </c>
      <c r="L337" s="6" t="s">
        <v>1367</v>
      </c>
      <c r="M337" s="21" t="s">
        <v>1368</v>
      </c>
      <c r="P337" s="21" t="s">
        <v>1371</v>
      </c>
    </row>
    <row r="338" spans="1:33" ht="28.9">
      <c r="A338" s="253" t="s">
        <v>3654</v>
      </c>
      <c r="B338" s="289"/>
      <c r="C338" s="21" t="s">
        <v>3309</v>
      </c>
      <c r="D338" s="2" t="s">
        <v>3655</v>
      </c>
      <c r="E338" s="2" t="s">
        <v>3656</v>
      </c>
      <c r="F338" s="2" t="s">
        <v>3657</v>
      </c>
      <c r="G338" s="2" t="s">
        <v>3658</v>
      </c>
      <c r="H338" s="2" t="s">
        <v>3659</v>
      </c>
      <c r="I338" s="2" t="s">
        <v>3660</v>
      </c>
      <c r="J338" s="2" t="s">
        <v>3661</v>
      </c>
      <c r="K338" s="2" t="s">
        <v>3662</v>
      </c>
      <c r="L338" s="6" t="s">
        <v>1367</v>
      </c>
      <c r="M338" s="21" t="s">
        <v>1368</v>
      </c>
      <c r="P338" s="21" t="s">
        <v>22</v>
      </c>
    </row>
    <row r="339" spans="1:33" ht="43.15">
      <c r="A339" s="253" t="s">
        <v>3663</v>
      </c>
      <c r="B339" s="289"/>
      <c r="C339" s="21" t="s">
        <v>3309</v>
      </c>
      <c r="D339" s="2" t="s">
        <v>3664</v>
      </c>
      <c r="E339" s="2" t="s">
        <v>3665</v>
      </c>
      <c r="F339" s="2" t="s">
        <v>3666</v>
      </c>
      <c r="G339" s="2" t="s">
        <v>3667</v>
      </c>
      <c r="H339" s="2" t="s">
        <v>3668</v>
      </c>
      <c r="I339" s="2" t="s">
        <v>3669</v>
      </c>
      <c r="J339" s="2" t="s">
        <v>3670</v>
      </c>
      <c r="K339" s="2" t="s">
        <v>3671</v>
      </c>
      <c r="L339" s="6" t="s">
        <v>1367</v>
      </c>
      <c r="M339" s="21" t="s">
        <v>1368</v>
      </c>
      <c r="P339" s="21" t="s">
        <v>22</v>
      </c>
    </row>
    <row r="340" spans="1:33" ht="28.9">
      <c r="A340" s="253" t="s">
        <v>3672</v>
      </c>
      <c r="B340" s="289"/>
      <c r="C340" s="21" t="s">
        <v>3309</v>
      </c>
      <c r="D340" s="2" t="s">
        <v>3673</v>
      </c>
      <c r="E340" s="2" t="s">
        <v>3674</v>
      </c>
      <c r="F340" s="2" t="s">
        <v>3675</v>
      </c>
      <c r="G340" s="2" t="s">
        <v>3676</v>
      </c>
      <c r="H340" s="2" t="s">
        <v>3348</v>
      </c>
      <c r="I340" s="2" t="s">
        <v>3677</v>
      </c>
      <c r="J340" s="2" t="s">
        <v>3678</v>
      </c>
      <c r="K340" s="2" t="s">
        <v>3679</v>
      </c>
      <c r="L340" s="6" t="s">
        <v>1367</v>
      </c>
      <c r="M340" s="21" t="s">
        <v>1368</v>
      </c>
      <c r="P340" s="21" t="s">
        <v>22</v>
      </c>
    </row>
    <row r="341" spans="1:33" ht="43.15">
      <c r="A341" s="253" t="s">
        <v>3680</v>
      </c>
      <c r="B341" s="289"/>
      <c r="C341" s="21" t="s">
        <v>3309</v>
      </c>
      <c r="D341" s="2" t="s">
        <v>3681</v>
      </c>
      <c r="E341" s="2" t="s">
        <v>3682</v>
      </c>
      <c r="F341" s="2" t="s">
        <v>3683</v>
      </c>
      <c r="G341" s="2" t="s">
        <v>3684</v>
      </c>
      <c r="H341" s="2" t="s">
        <v>3348</v>
      </c>
      <c r="I341" s="2" t="s">
        <v>3685</v>
      </c>
      <c r="J341" s="2" t="s">
        <v>3686</v>
      </c>
      <c r="K341" s="2" t="s">
        <v>3687</v>
      </c>
      <c r="L341" s="6" t="s">
        <v>1367</v>
      </c>
      <c r="M341" s="21" t="s">
        <v>1368</v>
      </c>
      <c r="P341" s="21" t="s">
        <v>22</v>
      </c>
    </row>
    <row r="342" spans="1:33" ht="28.9">
      <c r="A342" s="253" t="s">
        <v>3688</v>
      </c>
      <c r="B342" s="289"/>
      <c r="C342" s="21" t="s">
        <v>3309</v>
      </c>
      <c r="D342" s="2" t="s">
        <v>3689</v>
      </c>
      <c r="E342" s="2" t="s">
        <v>3690</v>
      </c>
      <c r="F342" s="2" t="s">
        <v>3691</v>
      </c>
      <c r="G342" s="2" t="s">
        <v>3692</v>
      </c>
      <c r="H342" s="2" t="s">
        <v>3348</v>
      </c>
      <c r="I342" s="2" t="s">
        <v>3693</v>
      </c>
      <c r="J342" s="2" t="s">
        <v>3694</v>
      </c>
      <c r="K342" s="2" t="s">
        <v>3695</v>
      </c>
      <c r="L342" s="6" t="s">
        <v>1367</v>
      </c>
      <c r="M342" s="21" t="s">
        <v>1368</v>
      </c>
      <c r="P342" s="21" t="s">
        <v>1371</v>
      </c>
    </row>
    <row r="343" spans="1:33" ht="28.9">
      <c r="A343" s="253" t="s">
        <v>3696</v>
      </c>
      <c r="B343" s="289"/>
      <c r="C343" s="21" t="s">
        <v>3309</v>
      </c>
      <c r="D343" s="2" t="s">
        <v>3697</v>
      </c>
      <c r="E343" s="2" t="s">
        <v>3698</v>
      </c>
      <c r="F343" s="2" t="s">
        <v>3699</v>
      </c>
      <c r="G343" s="2" t="s">
        <v>3658</v>
      </c>
      <c r="H343" s="2" t="s">
        <v>1442</v>
      </c>
      <c r="I343" s="2" t="s">
        <v>3700</v>
      </c>
      <c r="J343" s="2" t="s">
        <v>3701</v>
      </c>
      <c r="K343" s="2" t="s">
        <v>3702</v>
      </c>
      <c r="L343" s="6" t="s">
        <v>1367</v>
      </c>
      <c r="M343" s="21" t="s">
        <v>1368</v>
      </c>
      <c r="P343" s="21" t="s">
        <v>1371</v>
      </c>
    </row>
    <row r="344" spans="1:33" ht="28.9">
      <c r="A344" s="253" t="s">
        <v>3703</v>
      </c>
      <c r="B344" s="289"/>
      <c r="C344" s="21" t="s">
        <v>3309</v>
      </c>
      <c r="D344" s="2" t="s">
        <v>3704</v>
      </c>
      <c r="E344" s="2" t="s">
        <v>3705</v>
      </c>
      <c r="F344" s="2" t="s">
        <v>3706</v>
      </c>
      <c r="G344" s="2" t="s">
        <v>3707</v>
      </c>
      <c r="H344" s="2" t="s">
        <v>3708</v>
      </c>
      <c r="I344" s="2" t="s">
        <v>3709</v>
      </c>
      <c r="J344" s="2" t="s">
        <v>3710</v>
      </c>
      <c r="K344" s="2" t="s">
        <v>3711</v>
      </c>
      <c r="L344" s="6" t="s">
        <v>1367</v>
      </c>
      <c r="M344" s="21" t="s">
        <v>1368</v>
      </c>
      <c r="P344" s="21" t="s">
        <v>1371</v>
      </c>
    </row>
    <row r="345" spans="1:33" ht="28.9">
      <c r="A345" s="253" t="s">
        <v>3712</v>
      </c>
      <c r="B345" s="289"/>
      <c r="C345" s="21" t="s">
        <v>3309</v>
      </c>
      <c r="D345" s="2" t="s">
        <v>3713</v>
      </c>
      <c r="E345" s="2" t="s">
        <v>3714</v>
      </c>
      <c r="F345" s="2" t="s">
        <v>3715</v>
      </c>
      <c r="G345" s="2" t="s">
        <v>3716</v>
      </c>
      <c r="H345" s="2" t="s">
        <v>1442</v>
      </c>
      <c r="I345" s="2" t="s">
        <v>3717</v>
      </c>
      <c r="J345" s="2" t="s">
        <v>3718</v>
      </c>
      <c r="K345" s="2" t="s">
        <v>3719</v>
      </c>
      <c r="L345" s="6" t="s">
        <v>1367</v>
      </c>
      <c r="M345" s="21" t="s">
        <v>1368</v>
      </c>
      <c r="P345" s="21" t="s">
        <v>22</v>
      </c>
    </row>
    <row r="346" spans="1:33" ht="28.9">
      <c r="A346" s="253" t="s">
        <v>3720</v>
      </c>
      <c r="B346" s="289"/>
      <c r="C346" s="21" t="s">
        <v>3309</v>
      </c>
      <c r="D346" s="2" t="s">
        <v>3721</v>
      </c>
      <c r="E346" s="2" t="s">
        <v>3722</v>
      </c>
      <c r="F346" s="2" t="s">
        <v>3723</v>
      </c>
      <c r="G346" s="2" t="s">
        <v>3724</v>
      </c>
      <c r="H346" s="2" t="s">
        <v>3725</v>
      </c>
      <c r="I346" s="2" t="s">
        <v>3726</v>
      </c>
      <c r="J346" s="2" t="s">
        <v>3727</v>
      </c>
      <c r="K346" s="2" t="s">
        <v>3719</v>
      </c>
      <c r="L346" s="6" t="s">
        <v>1367</v>
      </c>
      <c r="M346" s="21" t="s">
        <v>1368</v>
      </c>
      <c r="P346" s="21" t="s">
        <v>22</v>
      </c>
    </row>
    <row r="347" spans="1:33" ht="28.9">
      <c r="A347" s="253" t="s">
        <v>3728</v>
      </c>
      <c r="B347" s="289"/>
      <c r="C347" s="21" t="s">
        <v>3309</v>
      </c>
      <c r="D347" s="2" t="s">
        <v>3729</v>
      </c>
      <c r="E347" s="2" t="s">
        <v>3730</v>
      </c>
      <c r="F347" s="2" t="s">
        <v>3731</v>
      </c>
      <c r="G347" s="2" t="s">
        <v>3732</v>
      </c>
      <c r="H347" s="2" t="s">
        <v>3733</v>
      </c>
      <c r="I347" s="2" t="s">
        <v>3734</v>
      </c>
      <c r="J347" s="2" t="s">
        <v>3735</v>
      </c>
      <c r="K347" s="2" t="s">
        <v>3736</v>
      </c>
      <c r="L347" s="6" t="s">
        <v>1367</v>
      </c>
      <c r="M347" s="21" t="s">
        <v>1368</v>
      </c>
      <c r="P347" s="21" t="s">
        <v>1371</v>
      </c>
      <c r="AG347" s="78"/>
    </row>
    <row r="348" spans="1:33" s="45" customFormat="1">
      <c r="A348" s="247"/>
      <c r="B348" s="289"/>
      <c r="C348" s="78"/>
      <c r="D348" s="44"/>
      <c r="E348" s="44"/>
      <c r="F348" s="44"/>
      <c r="G348" s="78"/>
      <c r="H348" s="44"/>
      <c r="I348" s="44"/>
      <c r="J348" s="44"/>
      <c r="K348" s="44"/>
      <c r="L348" s="81"/>
      <c r="M348" s="78"/>
      <c r="O348" s="78"/>
      <c r="P348" s="78"/>
      <c r="Q348" s="78"/>
      <c r="R348" s="44"/>
      <c r="S348" s="78"/>
      <c r="T348" s="78"/>
      <c r="W348" s="81"/>
      <c r="X348" s="81"/>
      <c r="AG348" s="21"/>
    </row>
    <row r="349" spans="1:33" ht="57.6">
      <c r="A349" s="253" t="s">
        <v>3737</v>
      </c>
      <c r="B349" s="289"/>
      <c r="C349" s="21" t="s">
        <v>3738</v>
      </c>
      <c r="D349" s="134" t="s">
        <v>3739</v>
      </c>
      <c r="E349" s="134" t="s">
        <v>3740</v>
      </c>
      <c r="F349" s="134" t="s">
        <v>3741</v>
      </c>
      <c r="G349" s="189" t="s">
        <v>3742</v>
      </c>
      <c r="H349" s="134" t="s">
        <v>3743</v>
      </c>
      <c r="I349" s="134" t="s">
        <v>3744</v>
      </c>
      <c r="J349" s="134" t="s">
        <v>2028</v>
      </c>
      <c r="K349" s="134" t="s">
        <v>3745</v>
      </c>
      <c r="L349" s="191" t="s">
        <v>1367</v>
      </c>
      <c r="M349" s="21" t="s">
        <v>1415</v>
      </c>
      <c r="O349" s="180" t="s">
        <v>1649</v>
      </c>
      <c r="P349" s="306" t="s">
        <v>22</v>
      </c>
    </row>
    <row r="350" spans="1:33" ht="57.6">
      <c r="A350" s="253" t="s">
        <v>3746</v>
      </c>
      <c r="B350" s="289"/>
      <c r="C350" s="21" t="s">
        <v>3738</v>
      </c>
      <c r="D350" s="134" t="s">
        <v>3747</v>
      </c>
      <c r="E350" s="134" t="s">
        <v>3748</v>
      </c>
      <c r="F350" s="134" t="s">
        <v>3741</v>
      </c>
      <c r="G350" s="134" t="s">
        <v>3749</v>
      </c>
      <c r="H350" s="134" t="s">
        <v>3750</v>
      </c>
      <c r="I350" s="134" t="s">
        <v>3751</v>
      </c>
      <c r="J350" s="134" t="s">
        <v>3752</v>
      </c>
      <c r="K350" s="134" t="s">
        <v>3753</v>
      </c>
      <c r="L350" s="191" t="s">
        <v>1367</v>
      </c>
      <c r="M350" s="21" t="s">
        <v>1415</v>
      </c>
      <c r="O350" s="180" t="s">
        <v>1649</v>
      </c>
      <c r="P350" s="306" t="s">
        <v>1371</v>
      </c>
    </row>
    <row r="351" spans="1:33" ht="57.6">
      <c r="A351" s="253" t="s">
        <v>3754</v>
      </c>
      <c r="B351" s="289"/>
      <c r="C351" s="21" t="s">
        <v>3738</v>
      </c>
      <c r="D351" s="134" t="s">
        <v>3755</v>
      </c>
      <c r="E351" s="134" t="s">
        <v>3756</v>
      </c>
      <c r="F351" s="134" t="s">
        <v>3741</v>
      </c>
      <c r="G351" s="134" t="s">
        <v>3757</v>
      </c>
      <c r="H351" s="134" t="s">
        <v>3758</v>
      </c>
      <c r="I351" s="134" t="s">
        <v>3759</v>
      </c>
      <c r="J351" s="134" t="s">
        <v>3752</v>
      </c>
      <c r="K351" s="134" t="s">
        <v>3760</v>
      </c>
      <c r="L351" s="191" t="s">
        <v>1367</v>
      </c>
      <c r="M351" s="21" t="s">
        <v>1415</v>
      </c>
      <c r="O351" s="180" t="s">
        <v>1649</v>
      </c>
      <c r="P351" s="306" t="s">
        <v>22</v>
      </c>
    </row>
    <row r="352" spans="1:33" ht="57.6">
      <c r="A352" s="253" t="s">
        <v>3761</v>
      </c>
      <c r="B352" s="289"/>
      <c r="C352" s="21" t="s">
        <v>3738</v>
      </c>
      <c r="D352" s="134" t="s">
        <v>3762</v>
      </c>
      <c r="E352" s="134" t="s">
        <v>3763</v>
      </c>
      <c r="F352" s="134" t="s">
        <v>3741</v>
      </c>
      <c r="G352" s="134" t="s">
        <v>3764</v>
      </c>
      <c r="H352" s="134" t="s">
        <v>2936</v>
      </c>
      <c r="I352" s="134" t="s">
        <v>3765</v>
      </c>
      <c r="J352" s="134" t="s">
        <v>3752</v>
      </c>
      <c r="K352" s="134" t="s">
        <v>3766</v>
      </c>
      <c r="L352" s="191" t="s">
        <v>1367</v>
      </c>
      <c r="M352" s="21" t="s">
        <v>1415</v>
      </c>
      <c r="O352" s="180" t="s">
        <v>1649</v>
      </c>
      <c r="P352" s="306" t="s">
        <v>1371</v>
      </c>
    </row>
    <row r="353" spans="1:16" ht="72">
      <c r="A353" s="253" t="s">
        <v>3767</v>
      </c>
      <c r="B353" s="289"/>
      <c r="C353" s="21" t="s">
        <v>3738</v>
      </c>
      <c r="D353" s="134" t="s">
        <v>3768</v>
      </c>
      <c r="E353" s="134" t="s">
        <v>3769</v>
      </c>
      <c r="F353" s="134" t="s">
        <v>3741</v>
      </c>
      <c r="G353" s="134" t="s">
        <v>3770</v>
      </c>
      <c r="H353" s="134" t="s">
        <v>3771</v>
      </c>
      <c r="I353" s="134" t="s">
        <v>3772</v>
      </c>
      <c r="J353" s="134" t="s">
        <v>3752</v>
      </c>
      <c r="K353" s="134" t="s">
        <v>3773</v>
      </c>
      <c r="L353" s="190" t="s">
        <v>1381</v>
      </c>
      <c r="M353" s="21" t="s">
        <v>1415</v>
      </c>
      <c r="O353" s="180" t="s">
        <v>1649</v>
      </c>
      <c r="P353" s="306" t="s">
        <v>22</v>
      </c>
    </row>
    <row r="354" spans="1:16" ht="57.6">
      <c r="A354" s="253" t="s">
        <v>3774</v>
      </c>
      <c r="B354" s="289"/>
      <c r="C354" s="21" t="s">
        <v>3738</v>
      </c>
      <c r="D354" s="134" t="s">
        <v>3775</v>
      </c>
      <c r="E354" s="134" t="s">
        <v>3776</v>
      </c>
      <c r="F354" s="134" t="s">
        <v>3741</v>
      </c>
      <c r="G354" s="134" t="s">
        <v>3777</v>
      </c>
      <c r="H354" s="134" t="s">
        <v>3778</v>
      </c>
      <c r="I354" s="134" t="s">
        <v>3779</v>
      </c>
      <c r="J354" s="134" t="s">
        <v>3752</v>
      </c>
      <c r="K354" s="134" t="s">
        <v>3780</v>
      </c>
      <c r="L354" s="191" t="s">
        <v>1367</v>
      </c>
      <c r="M354" s="21" t="s">
        <v>1415</v>
      </c>
      <c r="O354" s="180" t="s">
        <v>1649</v>
      </c>
      <c r="P354" s="306" t="s">
        <v>1481</v>
      </c>
    </row>
    <row r="355" spans="1:16" ht="57.6">
      <c r="A355" s="253" t="s">
        <v>3781</v>
      </c>
      <c r="B355" s="289"/>
      <c r="C355" s="21" t="s">
        <v>3738</v>
      </c>
      <c r="D355" s="134" t="s">
        <v>3782</v>
      </c>
      <c r="E355" s="134" t="s">
        <v>3783</v>
      </c>
      <c r="F355" s="134" t="s">
        <v>3741</v>
      </c>
      <c r="G355" s="134" t="s">
        <v>3784</v>
      </c>
      <c r="H355" s="134" t="s">
        <v>3785</v>
      </c>
      <c r="I355" s="134" t="s">
        <v>3786</v>
      </c>
      <c r="J355" s="134" t="s">
        <v>3752</v>
      </c>
      <c r="K355" s="134" t="s">
        <v>3787</v>
      </c>
      <c r="L355" s="191" t="s">
        <v>1367</v>
      </c>
      <c r="M355" s="21" t="s">
        <v>1415</v>
      </c>
      <c r="O355" s="180" t="s">
        <v>1649</v>
      </c>
      <c r="P355" s="306" t="s">
        <v>1371</v>
      </c>
    </row>
    <row r="356" spans="1:16" ht="57.6">
      <c r="A356" s="253" t="s">
        <v>3788</v>
      </c>
      <c r="B356" s="289"/>
      <c r="C356" s="21" t="s">
        <v>3738</v>
      </c>
      <c r="D356" s="134" t="s">
        <v>3789</v>
      </c>
      <c r="E356" s="134" t="s">
        <v>3790</v>
      </c>
      <c r="F356" s="134" t="s">
        <v>3741</v>
      </c>
      <c r="G356" s="134" t="s">
        <v>3791</v>
      </c>
      <c r="H356" s="134" t="s">
        <v>3792</v>
      </c>
      <c r="I356" s="134" t="s">
        <v>3793</v>
      </c>
      <c r="J356" s="134" t="s">
        <v>3752</v>
      </c>
      <c r="K356" s="134" t="s">
        <v>3794</v>
      </c>
      <c r="L356" s="191" t="s">
        <v>1367</v>
      </c>
      <c r="M356" s="21" t="s">
        <v>1415</v>
      </c>
      <c r="O356" s="180" t="s">
        <v>1649</v>
      </c>
      <c r="P356" s="306" t="s">
        <v>1481</v>
      </c>
    </row>
    <row r="357" spans="1:16" ht="57.6">
      <c r="A357" s="253" t="s">
        <v>3795</v>
      </c>
      <c r="B357" s="289"/>
      <c r="C357" s="21" t="s">
        <v>3738</v>
      </c>
      <c r="D357" s="134" t="s">
        <v>3796</v>
      </c>
      <c r="E357" s="134" t="s">
        <v>3797</v>
      </c>
      <c r="F357" s="134" t="s">
        <v>3741</v>
      </c>
      <c r="G357" s="134" t="s">
        <v>3798</v>
      </c>
      <c r="H357" s="134" t="s">
        <v>3799</v>
      </c>
      <c r="I357" s="134" t="s">
        <v>3800</v>
      </c>
      <c r="J357" s="134" t="s">
        <v>3752</v>
      </c>
      <c r="K357" s="134" t="s">
        <v>3801</v>
      </c>
      <c r="L357" s="191" t="s">
        <v>1367</v>
      </c>
      <c r="M357" s="21" t="s">
        <v>1415</v>
      </c>
      <c r="O357" s="180" t="s">
        <v>1649</v>
      </c>
      <c r="P357" s="306" t="s">
        <v>1371</v>
      </c>
    </row>
    <row r="358" spans="1:16" ht="57.6">
      <c r="A358" s="253" t="s">
        <v>3802</v>
      </c>
      <c r="B358" s="289"/>
      <c r="C358" s="21" t="s">
        <v>3738</v>
      </c>
      <c r="D358" s="134" t="s">
        <v>3803</v>
      </c>
      <c r="E358" s="134" t="s">
        <v>3804</v>
      </c>
      <c r="F358" s="134" t="s">
        <v>3741</v>
      </c>
      <c r="G358" s="134" t="s">
        <v>3805</v>
      </c>
      <c r="H358" s="134" t="s">
        <v>3806</v>
      </c>
      <c r="I358" s="134" t="s">
        <v>3807</v>
      </c>
      <c r="J358" s="134" t="s">
        <v>3752</v>
      </c>
      <c r="K358" s="134" t="s">
        <v>3808</v>
      </c>
      <c r="L358" s="191" t="s">
        <v>1367</v>
      </c>
      <c r="M358" s="21" t="s">
        <v>1415</v>
      </c>
      <c r="O358" s="180" t="s">
        <v>1649</v>
      </c>
      <c r="P358" s="306" t="s">
        <v>1371</v>
      </c>
    </row>
    <row r="359" spans="1:16" ht="57.6">
      <c r="A359" s="253" t="s">
        <v>3809</v>
      </c>
      <c r="B359" s="289"/>
      <c r="C359" s="21" t="s">
        <v>3738</v>
      </c>
      <c r="D359" s="134" t="s">
        <v>3810</v>
      </c>
      <c r="E359" s="134" t="s">
        <v>3811</v>
      </c>
      <c r="F359" s="134" t="s">
        <v>3741</v>
      </c>
      <c r="G359" s="134" t="s">
        <v>3812</v>
      </c>
      <c r="H359" s="134" t="s">
        <v>3813</v>
      </c>
      <c r="I359" s="134" t="s">
        <v>3814</v>
      </c>
      <c r="J359" s="134" t="s">
        <v>3752</v>
      </c>
      <c r="K359" s="134" t="s">
        <v>3815</v>
      </c>
      <c r="L359" s="191" t="s">
        <v>1367</v>
      </c>
      <c r="M359" s="21" t="s">
        <v>1415</v>
      </c>
      <c r="O359" s="180" t="s">
        <v>1649</v>
      </c>
      <c r="P359" s="306" t="s">
        <v>22</v>
      </c>
    </row>
    <row r="360" spans="1:16" ht="72">
      <c r="A360" s="253" t="s">
        <v>3816</v>
      </c>
      <c r="B360" s="289"/>
      <c r="C360" s="21" t="s">
        <v>3738</v>
      </c>
      <c r="D360" s="134" t="s">
        <v>3817</v>
      </c>
      <c r="E360" s="134" t="s">
        <v>3818</v>
      </c>
      <c r="F360" s="134" t="s">
        <v>3741</v>
      </c>
      <c r="G360" s="189" t="s">
        <v>3819</v>
      </c>
      <c r="H360" s="134" t="s">
        <v>3820</v>
      </c>
      <c r="I360" s="134" t="s">
        <v>3821</v>
      </c>
      <c r="J360" s="134" t="s">
        <v>3752</v>
      </c>
      <c r="K360" s="134" t="s">
        <v>3822</v>
      </c>
      <c r="L360" s="190" t="s">
        <v>1381</v>
      </c>
      <c r="M360" s="21" t="s">
        <v>1415</v>
      </c>
      <c r="O360" s="180" t="s">
        <v>1649</v>
      </c>
      <c r="P360" s="306" t="s">
        <v>22</v>
      </c>
    </row>
    <row r="361" spans="1:16" ht="57.6">
      <c r="A361" s="253" t="s">
        <v>3823</v>
      </c>
      <c r="B361" s="289"/>
      <c r="C361" s="21" t="s">
        <v>3738</v>
      </c>
      <c r="D361" s="134" t="s">
        <v>3824</v>
      </c>
      <c r="E361" s="134" t="s">
        <v>3825</v>
      </c>
      <c r="F361" s="134" t="s">
        <v>3741</v>
      </c>
      <c r="G361" s="134" t="s">
        <v>3826</v>
      </c>
      <c r="H361" s="134" t="s">
        <v>2299</v>
      </c>
      <c r="I361" s="134" t="s">
        <v>3827</v>
      </c>
      <c r="J361" s="134" t="s">
        <v>3752</v>
      </c>
      <c r="K361" s="134" t="s">
        <v>3828</v>
      </c>
      <c r="L361" s="191" t="s">
        <v>1367</v>
      </c>
      <c r="M361" s="21" t="s">
        <v>1415</v>
      </c>
      <c r="O361" s="180" t="s">
        <v>1649</v>
      </c>
      <c r="P361" s="306" t="s">
        <v>22</v>
      </c>
    </row>
    <row r="362" spans="1:16" ht="57.6">
      <c r="A362" s="253" t="s">
        <v>3829</v>
      </c>
      <c r="B362" s="289"/>
      <c r="C362" s="21" t="s">
        <v>3738</v>
      </c>
      <c r="D362" s="134" t="s">
        <v>3830</v>
      </c>
      <c r="E362" s="134" t="s">
        <v>3831</v>
      </c>
      <c r="F362" s="134" t="s">
        <v>3741</v>
      </c>
      <c r="G362" s="189" t="s">
        <v>3832</v>
      </c>
      <c r="H362" s="134" t="s">
        <v>3833</v>
      </c>
      <c r="I362" s="134" t="s">
        <v>3834</v>
      </c>
      <c r="J362" s="134" t="s">
        <v>3752</v>
      </c>
      <c r="K362" s="134" t="s">
        <v>3835</v>
      </c>
      <c r="L362" s="191" t="s">
        <v>1367</v>
      </c>
      <c r="M362" s="21" t="s">
        <v>1415</v>
      </c>
      <c r="O362" s="180" t="s">
        <v>1649</v>
      </c>
      <c r="P362" s="306" t="s">
        <v>22</v>
      </c>
    </row>
    <row r="363" spans="1:16" ht="57.6">
      <c r="A363" s="253" t="s">
        <v>3836</v>
      </c>
      <c r="B363" s="289"/>
      <c r="C363" s="21" t="s">
        <v>3738</v>
      </c>
      <c r="D363" s="134" t="s">
        <v>3837</v>
      </c>
      <c r="E363" s="134" t="s">
        <v>3838</v>
      </c>
      <c r="F363" s="134" t="s">
        <v>3741</v>
      </c>
      <c r="G363" s="189" t="s">
        <v>3839</v>
      </c>
      <c r="H363" s="134" t="s">
        <v>3840</v>
      </c>
      <c r="I363" s="134" t="s">
        <v>3841</v>
      </c>
      <c r="J363" s="134" t="s">
        <v>3752</v>
      </c>
      <c r="K363" s="134" t="s">
        <v>3842</v>
      </c>
      <c r="L363" s="191" t="s">
        <v>1367</v>
      </c>
      <c r="M363" s="21" t="s">
        <v>1415</v>
      </c>
      <c r="O363" s="180" t="s">
        <v>1649</v>
      </c>
      <c r="P363" s="306" t="s">
        <v>1371</v>
      </c>
    </row>
    <row r="364" spans="1:16" ht="57.6">
      <c r="A364" s="253" t="s">
        <v>3843</v>
      </c>
      <c r="B364" s="289"/>
      <c r="C364" s="21" t="s">
        <v>3738</v>
      </c>
      <c r="D364" s="134" t="s">
        <v>3844</v>
      </c>
      <c r="E364" s="134" t="s">
        <v>3845</v>
      </c>
      <c r="F364" s="134" t="s">
        <v>3741</v>
      </c>
      <c r="G364" s="189" t="s">
        <v>3846</v>
      </c>
      <c r="H364" s="134" t="s">
        <v>3847</v>
      </c>
      <c r="I364" s="134" t="s">
        <v>3848</v>
      </c>
      <c r="J364" s="134" t="s">
        <v>2028</v>
      </c>
      <c r="K364" s="134" t="s">
        <v>3849</v>
      </c>
      <c r="L364" s="191" t="s">
        <v>1367</v>
      </c>
      <c r="M364" s="21" t="s">
        <v>1415</v>
      </c>
      <c r="O364" s="180" t="s">
        <v>1649</v>
      </c>
      <c r="P364" s="306" t="s">
        <v>22</v>
      </c>
    </row>
    <row r="365" spans="1:16" ht="72">
      <c r="A365" s="253" t="s">
        <v>3850</v>
      </c>
      <c r="B365" s="289"/>
      <c r="C365" s="21" t="s">
        <v>3738</v>
      </c>
      <c r="D365" s="134" t="s">
        <v>3851</v>
      </c>
      <c r="E365" s="134" t="s">
        <v>3852</v>
      </c>
      <c r="F365" s="134" t="s">
        <v>3741</v>
      </c>
      <c r="G365" s="189" t="s">
        <v>3853</v>
      </c>
      <c r="H365" s="134" t="s">
        <v>3854</v>
      </c>
      <c r="I365" s="134" t="s">
        <v>3855</v>
      </c>
      <c r="J365" s="134" t="s">
        <v>3752</v>
      </c>
      <c r="K365" s="134" t="s">
        <v>3856</v>
      </c>
      <c r="L365" s="190" t="s">
        <v>1381</v>
      </c>
      <c r="M365" s="21" t="s">
        <v>1415</v>
      </c>
      <c r="O365" s="180" t="s">
        <v>1649</v>
      </c>
      <c r="P365" s="306" t="s">
        <v>22</v>
      </c>
    </row>
    <row r="366" spans="1:16" ht="57.6">
      <c r="A366" s="253" t="s">
        <v>3857</v>
      </c>
      <c r="B366" s="289"/>
      <c r="C366" s="21" t="s">
        <v>3738</v>
      </c>
      <c r="D366" s="134" t="s">
        <v>3858</v>
      </c>
      <c r="E366" s="134" t="s">
        <v>3859</v>
      </c>
      <c r="F366" s="134" t="s">
        <v>3741</v>
      </c>
      <c r="G366" s="189" t="s">
        <v>3860</v>
      </c>
      <c r="H366" s="134" t="s">
        <v>3861</v>
      </c>
      <c r="I366" s="134" t="s">
        <v>3862</v>
      </c>
      <c r="J366" s="134" t="s">
        <v>2028</v>
      </c>
      <c r="K366" s="134" t="s">
        <v>3863</v>
      </c>
      <c r="L366" s="191" t="s">
        <v>1367</v>
      </c>
      <c r="M366" s="21" t="s">
        <v>1415</v>
      </c>
      <c r="O366" s="180" t="s">
        <v>1649</v>
      </c>
      <c r="P366" s="306" t="s">
        <v>1481</v>
      </c>
    </row>
    <row r="367" spans="1:16" ht="57.6">
      <c r="A367" s="253" t="s">
        <v>3864</v>
      </c>
      <c r="B367" s="289"/>
      <c r="C367" s="21" t="s">
        <v>3738</v>
      </c>
      <c r="D367" s="134" t="s">
        <v>3865</v>
      </c>
      <c r="E367" s="134" t="s">
        <v>3866</v>
      </c>
      <c r="F367" s="134" t="s">
        <v>3741</v>
      </c>
      <c r="G367" s="189" t="s">
        <v>3867</v>
      </c>
      <c r="H367" s="134" t="s">
        <v>3868</v>
      </c>
      <c r="I367" s="134" t="s">
        <v>3869</v>
      </c>
      <c r="J367" s="134" t="s">
        <v>2028</v>
      </c>
      <c r="K367" s="134" t="s">
        <v>3870</v>
      </c>
      <c r="L367" s="191" t="s">
        <v>1367</v>
      </c>
      <c r="M367" s="21" t="s">
        <v>1415</v>
      </c>
      <c r="O367" s="180" t="s">
        <v>1649</v>
      </c>
      <c r="P367" s="306" t="s">
        <v>1371</v>
      </c>
    </row>
    <row r="368" spans="1:16" ht="57.6">
      <c r="A368" s="253" t="s">
        <v>3871</v>
      </c>
      <c r="B368" s="289"/>
      <c r="C368" s="21" t="s">
        <v>3738</v>
      </c>
      <c r="D368" s="134" t="s">
        <v>3872</v>
      </c>
      <c r="E368" s="134" t="s">
        <v>3873</v>
      </c>
      <c r="F368" s="134" t="s">
        <v>3741</v>
      </c>
      <c r="G368" s="189" t="s">
        <v>3874</v>
      </c>
      <c r="H368" s="134" t="s">
        <v>2373</v>
      </c>
      <c r="I368" s="134" t="s">
        <v>3875</v>
      </c>
      <c r="J368" s="134" t="s">
        <v>2028</v>
      </c>
      <c r="K368" s="134" t="s">
        <v>3876</v>
      </c>
      <c r="L368" s="191" t="s">
        <v>1367</v>
      </c>
      <c r="M368" s="21" t="s">
        <v>1415</v>
      </c>
      <c r="O368" s="180" t="s">
        <v>1649</v>
      </c>
      <c r="P368" s="306" t="s">
        <v>22</v>
      </c>
    </row>
    <row r="369" spans="1:33" ht="72">
      <c r="A369" s="253" t="s">
        <v>3877</v>
      </c>
      <c r="B369" s="289"/>
      <c r="C369" s="21" t="s">
        <v>3738</v>
      </c>
      <c r="D369" s="134" t="s">
        <v>3878</v>
      </c>
      <c r="E369" s="134" t="s">
        <v>3879</v>
      </c>
      <c r="F369" s="134" t="s">
        <v>3741</v>
      </c>
      <c r="G369" s="189" t="s">
        <v>3880</v>
      </c>
      <c r="H369" s="134" t="s">
        <v>3881</v>
      </c>
      <c r="I369" s="134" t="s">
        <v>3882</v>
      </c>
      <c r="J369" s="134" t="s">
        <v>2028</v>
      </c>
      <c r="K369" s="134" t="s">
        <v>3883</v>
      </c>
      <c r="L369" s="190" t="s">
        <v>1381</v>
      </c>
      <c r="M369" s="21" t="s">
        <v>1415</v>
      </c>
      <c r="O369" s="180" t="s">
        <v>1649</v>
      </c>
      <c r="P369" s="306" t="s">
        <v>22</v>
      </c>
    </row>
    <row r="370" spans="1:33" ht="57.6">
      <c r="A370" s="253" t="s">
        <v>3884</v>
      </c>
      <c r="B370" s="289"/>
      <c r="C370" s="21" t="s">
        <v>3738</v>
      </c>
      <c r="D370" s="134" t="s">
        <v>3885</v>
      </c>
      <c r="E370" s="134" t="s">
        <v>3886</v>
      </c>
      <c r="F370" s="134" t="s">
        <v>3741</v>
      </c>
      <c r="G370" s="189" t="s">
        <v>3887</v>
      </c>
      <c r="H370" s="134" t="s">
        <v>3888</v>
      </c>
      <c r="I370" s="134" t="s">
        <v>3889</v>
      </c>
      <c r="J370" s="134" t="s">
        <v>2028</v>
      </c>
      <c r="K370" s="134" t="s">
        <v>3890</v>
      </c>
      <c r="L370" s="191" t="s">
        <v>1367</v>
      </c>
      <c r="M370" s="21" t="s">
        <v>1415</v>
      </c>
      <c r="O370" s="180" t="s">
        <v>1649</v>
      </c>
      <c r="P370" s="306" t="s">
        <v>22</v>
      </c>
    </row>
    <row r="371" spans="1:33" ht="57.6">
      <c r="A371" s="253" t="s">
        <v>3891</v>
      </c>
      <c r="B371" s="289"/>
      <c r="C371" s="21" t="s">
        <v>3738</v>
      </c>
      <c r="D371" s="134" t="s">
        <v>3892</v>
      </c>
      <c r="E371" s="134" t="s">
        <v>3893</v>
      </c>
      <c r="F371" s="134" t="s">
        <v>3741</v>
      </c>
      <c r="G371" s="134" t="s">
        <v>3894</v>
      </c>
      <c r="H371" s="134" t="s">
        <v>3895</v>
      </c>
      <c r="I371" s="134" t="s">
        <v>3896</v>
      </c>
      <c r="J371" s="134" t="s">
        <v>3752</v>
      </c>
      <c r="K371" s="134" t="s">
        <v>3897</v>
      </c>
      <c r="L371" s="191" t="s">
        <v>1367</v>
      </c>
      <c r="M371" s="21" t="s">
        <v>1415</v>
      </c>
      <c r="O371" s="180" t="s">
        <v>1649</v>
      </c>
      <c r="P371" s="306" t="s">
        <v>22</v>
      </c>
    </row>
    <row r="372" spans="1:33" ht="57.6">
      <c r="A372" s="253" t="s">
        <v>3898</v>
      </c>
      <c r="B372" s="289"/>
      <c r="C372" s="21" t="s">
        <v>3738</v>
      </c>
      <c r="D372" s="134" t="s">
        <v>3899</v>
      </c>
      <c r="E372" s="134" t="s">
        <v>3900</v>
      </c>
      <c r="F372" s="134" t="s">
        <v>3741</v>
      </c>
      <c r="G372" s="189" t="s">
        <v>3901</v>
      </c>
      <c r="H372" s="134" t="s">
        <v>3902</v>
      </c>
      <c r="I372" s="134" t="s">
        <v>3903</v>
      </c>
      <c r="J372" s="134" t="s">
        <v>2028</v>
      </c>
      <c r="K372" s="134" t="s">
        <v>3904</v>
      </c>
      <c r="L372" s="191" t="s">
        <v>1367</v>
      </c>
      <c r="M372" s="21" t="s">
        <v>1415</v>
      </c>
      <c r="O372" s="180" t="s">
        <v>1649</v>
      </c>
      <c r="P372" s="306" t="s">
        <v>22</v>
      </c>
    </row>
    <row r="373" spans="1:33" ht="57.6">
      <c r="A373" s="253" t="s">
        <v>3905</v>
      </c>
      <c r="B373" s="289"/>
      <c r="C373" s="21" t="s">
        <v>3738</v>
      </c>
      <c r="D373" s="134" t="s">
        <v>3906</v>
      </c>
      <c r="E373" s="134" t="s">
        <v>3907</v>
      </c>
      <c r="F373" s="134" t="s">
        <v>3741</v>
      </c>
      <c r="G373" s="189" t="s">
        <v>3908</v>
      </c>
      <c r="H373" s="134" t="s">
        <v>3909</v>
      </c>
      <c r="I373" s="134" t="s">
        <v>3910</v>
      </c>
      <c r="J373" s="134" t="s">
        <v>2028</v>
      </c>
      <c r="K373" s="134" t="s">
        <v>3911</v>
      </c>
      <c r="L373" s="191" t="s">
        <v>1367</v>
      </c>
      <c r="M373" s="21" t="s">
        <v>1415</v>
      </c>
      <c r="O373" s="180" t="s">
        <v>1649</v>
      </c>
      <c r="P373" s="306" t="s">
        <v>22</v>
      </c>
      <c r="AG373" s="78"/>
    </row>
    <row r="374" spans="1:33" s="45" customFormat="1">
      <c r="A374" s="247"/>
      <c r="B374" s="289"/>
      <c r="C374" s="78"/>
      <c r="D374" s="44"/>
      <c r="E374" s="44"/>
      <c r="F374" s="44"/>
      <c r="G374" s="44"/>
      <c r="H374" s="44"/>
      <c r="I374" s="44"/>
      <c r="J374" s="44"/>
      <c r="K374" s="44"/>
      <c r="L374" s="81"/>
      <c r="M374" s="78"/>
      <c r="O374" s="78"/>
      <c r="P374" s="78"/>
      <c r="Q374" s="78"/>
      <c r="R374" s="44"/>
      <c r="W374" s="81"/>
      <c r="X374" s="81"/>
      <c r="AG374" s="21"/>
    </row>
    <row r="375" spans="1:33" ht="115.15">
      <c r="A375" s="253" t="s">
        <v>3912</v>
      </c>
      <c r="B375" s="289"/>
      <c r="C375" s="21" t="s">
        <v>3913</v>
      </c>
      <c r="D375" s="2" t="s">
        <v>3914</v>
      </c>
      <c r="E375" s="2" t="s">
        <v>3915</v>
      </c>
      <c r="F375" s="2" t="s">
        <v>3916</v>
      </c>
      <c r="G375" s="2" t="s">
        <v>3917</v>
      </c>
      <c r="H375" s="2" t="s">
        <v>3918</v>
      </c>
      <c r="I375" s="2" t="s">
        <v>3919</v>
      </c>
      <c r="J375" s="2" t="s">
        <v>3919</v>
      </c>
      <c r="K375" s="2" t="s">
        <v>3920</v>
      </c>
      <c r="L375" s="6" t="s">
        <v>1367</v>
      </c>
      <c r="M375" s="21" t="s">
        <v>1404</v>
      </c>
      <c r="N375" s="21" t="s">
        <v>1369</v>
      </c>
      <c r="O375" s="21"/>
      <c r="P375" s="21" t="s">
        <v>22</v>
      </c>
      <c r="R375" s="2"/>
      <c r="W375" s="81"/>
      <c r="X375" s="81"/>
    </row>
    <row r="376" spans="1:33" ht="72">
      <c r="A376" s="253" t="s">
        <v>3921</v>
      </c>
      <c r="B376" s="289"/>
      <c r="C376" s="21" t="s">
        <v>3913</v>
      </c>
      <c r="D376" s="2" t="s">
        <v>3922</v>
      </c>
      <c r="E376" s="2" t="s">
        <v>3923</v>
      </c>
      <c r="F376" s="2" t="s">
        <v>3924</v>
      </c>
      <c r="G376" s="2" t="s">
        <v>3925</v>
      </c>
      <c r="H376" s="2" t="s">
        <v>3926</v>
      </c>
      <c r="I376" s="2" t="s">
        <v>3927</v>
      </c>
      <c r="J376" s="2" t="s">
        <v>3928</v>
      </c>
      <c r="K376" s="2" t="s">
        <v>3929</v>
      </c>
      <c r="L376" s="6" t="s">
        <v>1367</v>
      </c>
      <c r="M376" s="21" t="s">
        <v>1404</v>
      </c>
      <c r="N376" s="21" t="s">
        <v>1369</v>
      </c>
      <c r="O376" s="21"/>
      <c r="P376" s="21" t="s">
        <v>22</v>
      </c>
      <c r="R376" s="2"/>
    </row>
    <row r="377" spans="1:33" ht="72">
      <c r="A377" s="253" t="s">
        <v>3930</v>
      </c>
      <c r="B377" s="289"/>
      <c r="C377" s="21" t="s">
        <v>3913</v>
      </c>
      <c r="D377" s="2" t="s">
        <v>3931</v>
      </c>
      <c r="E377" s="2" t="s">
        <v>3932</v>
      </c>
      <c r="F377" s="2" t="s">
        <v>3933</v>
      </c>
      <c r="G377" s="2" t="s">
        <v>3934</v>
      </c>
      <c r="H377" s="2" t="s">
        <v>3935</v>
      </c>
      <c r="I377" s="2" t="s">
        <v>3936</v>
      </c>
      <c r="J377" s="2" t="s">
        <v>3937</v>
      </c>
      <c r="K377" s="2" t="s">
        <v>3938</v>
      </c>
      <c r="L377" s="6" t="s">
        <v>1367</v>
      </c>
      <c r="M377" s="21" t="s">
        <v>1404</v>
      </c>
      <c r="N377" s="21" t="s">
        <v>1369</v>
      </c>
      <c r="O377" s="21"/>
      <c r="P377" s="21" t="s">
        <v>22</v>
      </c>
      <c r="R377" s="2"/>
    </row>
    <row r="378" spans="1:33" ht="86.45">
      <c r="A378" s="253" t="s">
        <v>3939</v>
      </c>
      <c r="B378" s="289"/>
      <c r="C378" s="21" t="s">
        <v>3913</v>
      </c>
      <c r="D378" s="2" t="s">
        <v>3940</v>
      </c>
      <c r="E378" s="2" t="s">
        <v>3941</v>
      </c>
      <c r="F378" s="2" t="s">
        <v>3942</v>
      </c>
      <c r="G378" s="2" t="s">
        <v>3943</v>
      </c>
      <c r="H378" s="2" t="s">
        <v>3944</v>
      </c>
      <c r="I378" s="2" t="s">
        <v>3945</v>
      </c>
      <c r="J378" s="2" t="s">
        <v>3946</v>
      </c>
      <c r="K378" s="2" t="s">
        <v>3947</v>
      </c>
      <c r="L378" s="6" t="s">
        <v>1367</v>
      </c>
      <c r="M378" s="21" t="s">
        <v>1404</v>
      </c>
      <c r="N378" s="21" t="s">
        <v>1369</v>
      </c>
      <c r="O378" s="21"/>
      <c r="P378" s="21" t="s">
        <v>1371</v>
      </c>
      <c r="R378" s="2"/>
    </row>
    <row r="379" spans="1:33" ht="86.45">
      <c r="A379" s="253" t="s">
        <v>3948</v>
      </c>
      <c r="B379" s="289"/>
      <c r="C379" s="21" t="s">
        <v>3913</v>
      </c>
      <c r="D379" s="2" t="s">
        <v>3949</v>
      </c>
      <c r="E379" s="2" t="s">
        <v>3950</v>
      </c>
      <c r="F379" s="2" t="s">
        <v>3951</v>
      </c>
      <c r="G379" s="2" t="s">
        <v>3952</v>
      </c>
      <c r="H379" s="2" t="s">
        <v>3953</v>
      </c>
      <c r="I379" s="2" t="s">
        <v>3954</v>
      </c>
      <c r="J379" s="2" t="s">
        <v>3955</v>
      </c>
      <c r="K379" s="2" t="s">
        <v>3956</v>
      </c>
      <c r="L379" s="6" t="s">
        <v>1367</v>
      </c>
      <c r="M379" s="21" t="s">
        <v>1404</v>
      </c>
      <c r="N379" s="21" t="s">
        <v>1369</v>
      </c>
      <c r="O379" s="21"/>
      <c r="P379" s="21" t="s">
        <v>22</v>
      </c>
      <c r="R379" s="2"/>
      <c r="AG379" s="254"/>
    </row>
    <row r="380" spans="1:33" ht="100.9">
      <c r="A380" s="253" t="s">
        <v>3957</v>
      </c>
      <c r="B380" s="289"/>
      <c r="C380" s="21" t="s">
        <v>3913</v>
      </c>
      <c r="D380" s="2" t="s">
        <v>3958</v>
      </c>
      <c r="E380" s="2" t="s">
        <v>3959</v>
      </c>
      <c r="F380" s="2" t="s">
        <v>3960</v>
      </c>
      <c r="G380" s="2" t="s">
        <v>3961</v>
      </c>
      <c r="H380" s="2" t="s">
        <v>3962</v>
      </c>
      <c r="I380" s="2" t="s">
        <v>3963</v>
      </c>
      <c r="J380" s="2" t="s">
        <v>3964</v>
      </c>
      <c r="K380" s="2" t="s">
        <v>3965</v>
      </c>
      <c r="L380" s="6" t="s">
        <v>1367</v>
      </c>
      <c r="M380" s="21" t="s">
        <v>1404</v>
      </c>
      <c r="N380" s="21" t="s">
        <v>1369</v>
      </c>
      <c r="O380" s="21"/>
      <c r="P380" s="21" t="s">
        <v>1371</v>
      </c>
      <c r="R380" s="2"/>
    </row>
    <row r="381" spans="1:33" ht="72">
      <c r="A381" s="253" t="s">
        <v>3966</v>
      </c>
      <c r="B381" s="289"/>
      <c r="C381" s="21" t="s">
        <v>3913</v>
      </c>
      <c r="D381" s="2" t="s">
        <v>3967</v>
      </c>
      <c r="E381" s="2" t="s">
        <v>3968</v>
      </c>
      <c r="F381" s="2" t="s">
        <v>3969</v>
      </c>
      <c r="G381" s="2" t="s">
        <v>3970</v>
      </c>
      <c r="H381" s="2" t="s">
        <v>3971</v>
      </c>
      <c r="I381" s="2" t="s">
        <v>3972</v>
      </c>
      <c r="J381" s="2" t="s">
        <v>3973</v>
      </c>
      <c r="K381" s="2" t="s">
        <v>3974</v>
      </c>
      <c r="L381" s="6" t="s">
        <v>1367</v>
      </c>
      <c r="M381" s="21" t="s">
        <v>1404</v>
      </c>
      <c r="N381" s="21" t="s">
        <v>1369</v>
      </c>
      <c r="O381" s="21"/>
      <c r="P381" s="21" t="s">
        <v>1481</v>
      </c>
      <c r="R381" s="2"/>
    </row>
    <row r="382" spans="1:33" ht="72">
      <c r="A382" s="253" t="s">
        <v>3975</v>
      </c>
      <c r="B382" s="289"/>
      <c r="C382" s="21" t="s">
        <v>3913</v>
      </c>
      <c r="D382" s="2" t="s">
        <v>3976</v>
      </c>
      <c r="E382" s="2" t="s">
        <v>3977</v>
      </c>
      <c r="F382" s="2" t="s">
        <v>3978</v>
      </c>
      <c r="G382" s="2" t="s">
        <v>3979</v>
      </c>
      <c r="H382" s="2" t="s">
        <v>3980</v>
      </c>
      <c r="I382" s="2" t="s">
        <v>3981</v>
      </c>
      <c r="J382" s="2" t="s">
        <v>3982</v>
      </c>
      <c r="K382" s="2" t="s">
        <v>3983</v>
      </c>
      <c r="L382" s="6" t="s">
        <v>1367</v>
      </c>
      <c r="M382" s="21" t="s">
        <v>1404</v>
      </c>
      <c r="N382" s="21" t="s">
        <v>1369</v>
      </c>
      <c r="O382" s="21"/>
      <c r="P382" s="21" t="s">
        <v>1371</v>
      </c>
      <c r="R382" s="2"/>
    </row>
    <row r="383" spans="1:33" ht="100.9">
      <c r="A383" s="253" t="s">
        <v>3984</v>
      </c>
      <c r="B383" s="289"/>
      <c r="C383" s="21" t="s">
        <v>3913</v>
      </c>
      <c r="D383" s="2" t="s">
        <v>3985</v>
      </c>
      <c r="E383" s="2" t="s">
        <v>3986</v>
      </c>
      <c r="F383" s="2" t="s">
        <v>3987</v>
      </c>
      <c r="G383" s="2" t="s">
        <v>3988</v>
      </c>
      <c r="H383" s="2" t="s">
        <v>3989</v>
      </c>
      <c r="I383" s="2" t="s">
        <v>3990</v>
      </c>
      <c r="J383" s="2" t="s">
        <v>3991</v>
      </c>
      <c r="K383" s="2" t="s">
        <v>3992</v>
      </c>
      <c r="L383" s="6" t="s">
        <v>1367</v>
      </c>
      <c r="M383" s="21" t="s">
        <v>1404</v>
      </c>
      <c r="N383" s="21" t="s">
        <v>1369</v>
      </c>
      <c r="O383" s="21"/>
      <c r="P383" s="21" t="s">
        <v>1371</v>
      </c>
      <c r="R383" s="2"/>
    </row>
    <row r="384" spans="1:33" ht="72">
      <c r="A384" s="253" t="s">
        <v>3993</v>
      </c>
      <c r="B384" s="289"/>
      <c r="C384" s="21" t="s">
        <v>3913</v>
      </c>
      <c r="D384" s="2" t="s">
        <v>3994</v>
      </c>
      <c r="E384" s="2" t="s">
        <v>3995</v>
      </c>
      <c r="F384" s="2" t="s">
        <v>3996</v>
      </c>
      <c r="G384" s="2" t="s">
        <v>3997</v>
      </c>
      <c r="H384" s="2" t="s">
        <v>3998</v>
      </c>
      <c r="I384" s="2" t="s">
        <v>3999</v>
      </c>
      <c r="J384" s="2" t="s">
        <v>4000</v>
      </c>
      <c r="K384" s="2" t="s">
        <v>4001</v>
      </c>
      <c r="L384" s="6" t="s">
        <v>1367</v>
      </c>
      <c r="M384" s="21" t="s">
        <v>1404</v>
      </c>
      <c r="N384" s="21" t="s">
        <v>1369</v>
      </c>
      <c r="O384" s="21"/>
      <c r="P384" s="21" t="s">
        <v>1481</v>
      </c>
      <c r="R384" s="2"/>
      <c r="AG384" s="78"/>
    </row>
    <row r="385" spans="1:33" s="45" customFormat="1">
      <c r="A385" s="247"/>
      <c r="B385" s="289"/>
      <c r="C385" s="78"/>
      <c r="D385" s="44"/>
      <c r="E385" s="44"/>
      <c r="F385" s="44"/>
      <c r="G385" s="44"/>
      <c r="H385" s="44"/>
      <c r="I385" s="44"/>
      <c r="J385" s="44"/>
      <c r="K385" s="44"/>
      <c r="L385" s="81"/>
      <c r="M385" s="78"/>
      <c r="O385" s="78"/>
      <c r="P385" s="78"/>
      <c r="Q385" s="78"/>
      <c r="R385" s="44"/>
      <c r="W385" s="81"/>
      <c r="X385" s="81"/>
      <c r="AG385" s="21"/>
    </row>
    <row r="386" spans="1:33" ht="28.9">
      <c r="A386" s="253" t="s">
        <v>4002</v>
      </c>
      <c r="B386" s="289"/>
      <c r="C386" s="21" t="s">
        <v>4003</v>
      </c>
      <c r="D386" s="2" t="s">
        <v>4004</v>
      </c>
      <c r="E386" s="2" t="s">
        <v>4005</v>
      </c>
      <c r="F386" s="2" t="s">
        <v>2553</v>
      </c>
      <c r="G386" s="2" t="s">
        <v>4006</v>
      </c>
      <c r="H386" s="2" t="s">
        <v>1442</v>
      </c>
      <c r="I386" s="2" t="s">
        <v>4007</v>
      </c>
      <c r="J386" s="2" t="s">
        <v>4008</v>
      </c>
      <c r="K386" s="2" t="s">
        <v>4009</v>
      </c>
      <c r="L386" s="6" t="s">
        <v>1367</v>
      </c>
      <c r="M386" s="21" t="s">
        <v>1368</v>
      </c>
      <c r="N386" s="21" t="s">
        <v>1369</v>
      </c>
      <c r="P386" s="21" t="s">
        <v>22</v>
      </c>
    </row>
    <row r="387" spans="1:33" ht="28.9">
      <c r="A387" s="253" t="s">
        <v>4010</v>
      </c>
      <c r="B387" s="289"/>
      <c r="C387" s="21" t="s">
        <v>4003</v>
      </c>
      <c r="D387" s="2" t="s">
        <v>4011</v>
      </c>
      <c r="E387" s="2" t="s">
        <v>4012</v>
      </c>
      <c r="F387" s="2" t="s">
        <v>4013</v>
      </c>
      <c r="G387" s="2" t="s">
        <v>4014</v>
      </c>
      <c r="H387" s="2" t="s">
        <v>1442</v>
      </c>
      <c r="I387" s="2" t="s">
        <v>4015</v>
      </c>
      <c r="J387" s="2" t="s">
        <v>2564</v>
      </c>
      <c r="K387" s="2" t="s">
        <v>4015</v>
      </c>
      <c r="L387" s="6" t="s">
        <v>1367</v>
      </c>
      <c r="M387" s="21" t="s">
        <v>1368</v>
      </c>
      <c r="N387" s="21" t="s">
        <v>1369</v>
      </c>
      <c r="P387" s="21" t="s">
        <v>22</v>
      </c>
    </row>
    <row r="388" spans="1:33" ht="28.9">
      <c r="A388" s="253" t="s">
        <v>4016</v>
      </c>
      <c r="B388" s="289"/>
      <c r="C388" s="21" t="s">
        <v>4003</v>
      </c>
      <c r="D388" s="2" t="s">
        <v>4017</v>
      </c>
      <c r="E388" s="2" t="s">
        <v>4018</v>
      </c>
      <c r="F388" s="2" t="s">
        <v>4019</v>
      </c>
      <c r="G388" s="2" t="s">
        <v>2569</v>
      </c>
      <c r="H388" s="2" t="s">
        <v>1442</v>
      </c>
      <c r="I388" s="2" t="s">
        <v>2812</v>
      </c>
      <c r="J388" s="2" t="s">
        <v>2571</v>
      </c>
      <c r="K388" s="2" t="s">
        <v>2813</v>
      </c>
      <c r="L388" s="6" t="s">
        <v>1367</v>
      </c>
      <c r="M388" s="21" t="s">
        <v>1368</v>
      </c>
      <c r="N388" s="21" t="s">
        <v>1369</v>
      </c>
      <c r="P388" s="21" t="s">
        <v>1371</v>
      </c>
    </row>
    <row r="389" spans="1:33" ht="43.15">
      <c r="A389" s="253" t="s">
        <v>4020</v>
      </c>
      <c r="B389" s="289"/>
      <c r="C389" s="21" t="s">
        <v>4003</v>
      </c>
      <c r="D389" s="2" t="s">
        <v>4021</v>
      </c>
      <c r="E389" s="2" t="s">
        <v>4022</v>
      </c>
      <c r="F389" s="2" t="s">
        <v>4023</v>
      </c>
      <c r="G389" s="2" t="s">
        <v>4024</v>
      </c>
      <c r="H389" s="2" t="s">
        <v>2819</v>
      </c>
      <c r="I389" s="2" t="s">
        <v>4025</v>
      </c>
      <c r="J389" s="2" t="s">
        <v>2580</v>
      </c>
      <c r="K389" s="2" t="s">
        <v>4026</v>
      </c>
      <c r="L389" s="6" t="s">
        <v>1367</v>
      </c>
      <c r="M389" s="21" t="s">
        <v>1368</v>
      </c>
      <c r="N389" s="21" t="s">
        <v>1369</v>
      </c>
      <c r="P389" s="21" t="s">
        <v>22</v>
      </c>
    </row>
    <row r="390" spans="1:33" ht="28.9">
      <c r="A390" s="253" t="s">
        <v>4027</v>
      </c>
      <c r="B390" s="289"/>
      <c r="C390" s="21" t="s">
        <v>4003</v>
      </c>
      <c r="D390" s="2" t="s">
        <v>4028</v>
      </c>
      <c r="E390" s="2" t="s">
        <v>2584</v>
      </c>
      <c r="F390" s="2" t="s">
        <v>4029</v>
      </c>
      <c r="G390" s="2" t="s">
        <v>2586</v>
      </c>
      <c r="H390" s="2" t="s">
        <v>1442</v>
      </c>
      <c r="I390" s="2" t="s">
        <v>4030</v>
      </c>
      <c r="J390" s="2" t="s">
        <v>2588</v>
      </c>
      <c r="K390" s="2" t="s">
        <v>2589</v>
      </c>
      <c r="L390" s="6" t="s">
        <v>1367</v>
      </c>
      <c r="M390" s="21" t="s">
        <v>1368</v>
      </c>
      <c r="N390" s="21" t="s">
        <v>1369</v>
      </c>
      <c r="P390" s="21" t="s">
        <v>22</v>
      </c>
    </row>
    <row r="391" spans="1:33" ht="28.9">
      <c r="A391" s="253" t="s">
        <v>4031</v>
      </c>
      <c r="B391" s="289"/>
      <c r="C391" s="21" t="s">
        <v>4003</v>
      </c>
      <c r="D391" s="2" t="s">
        <v>2591</v>
      </c>
      <c r="E391" s="2" t="s">
        <v>2592</v>
      </c>
      <c r="F391" s="2" t="s">
        <v>2593</v>
      </c>
      <c r="G391" s="2" t="s">
        <v>4032</v>
      </c>
      <c r="H391" s="2" t="s">
        <v>2595</v>
      </c>
      <c r="I391" s="2" t="s">
        <v>2596</v>
      </c>
      <c r="J391" s="2" t="s">
        <v>2597</v>
      </c>
      <c r="K391" s="2" t="s">
        <v>2598</v>
      </c>
      <c r="L391" s="6" t="s">
        <v>1367</v>
      </c>
      <c r="M391" s="21" t="s">
        <v>1368</v>
      </c>
      <c r="N391" s="21" t="s">
        <v>1369</v>
      </c>
      <c r="P391" s="21" t="s">
        <v>22</v>
      </c>
    </row>
    <row r="392" spans="1:33" ht="43.15">
      <c r="A392" s="253" t="s">
        <v>4033</v>
      </c>
      <c r="B392" s="289"/>
      <c r="C392" s="21" t="s">
        <v>4003</v>
      </c>
      <c r="D392" s="2" t="s">
        <v>4034</v>
      </c>
      <c r="E392" s="2" t="s">
        <v>2601</v>
      </c>
      <c r="F392" s="2" t="s">
        <v>2602</v>
      </c>
      <c r="G392" s="2" t="s">
        <v>4035</v>
      </c>
      <c r="H392" s="2" t="s">
        <v>4036</v>
      </c>
      <c r="I392" s="2" t="s">
        <v>2605</v>
      </c>
      <c r="J392" s="2" t="s">
        <v>2606</v>
      </c>
      <c r="K392" s="2" t="s">
        <v>2607</v>
      </c>
      <c r="L392" s="6" t="s">
        <v>1367</v>
      </c>
      <c r="M392" s="21" t="s">
        <v>1368</v>
      </c>
      <c r="N392" s="21" t="s">
        <v>1369</v>
      </c>
      <c r="P392" s="21" t="s">
        <v>1371</v>
      </c>
    </row>
    <row r="393" spans="1:33" ht="28.9">
      <c r="A393" s="253" t="s">
        <v>4037</v>
      </c>
      <c r="B393" s="289"/>
      <c r="C393" s="21" t="s">
        <v>4003</v>
      </c>
      <c r="D393" s="2" t="s">
        <v>4038</v>
      </c>
      <c r="E393" s="2" t="s">
        <v>4039</v>
      </c>
      <c r="F393" s="2" t="s">
        <v>2593</v>
      </c>
      <c r="G393" s="2" t="s">
        <v>4040</v>
      </c>
      <c r="H393" s="2" t="s">
        <v>4041</v>
      </c>
      <c r="I393" s="2" t="s">
        <v>4042</v>
      </c>
      <c r="J393" s="2" t="s">
        <v>2614</v>
      </c>
      <c r="K393" s="2" t="s">
        <v>2615</v>
      </c>
      <c r="L393" s="6" t="s">
        <v>1367</v>
      </c>
      <c r="M393" s="21" t="s">
        <v>1368</v>
      </c>
      <c r="N393" s="21" t="s">
        <v>1369</v>
      </c>
      <c r="P393" s="21" t="s">
        <v>1393</v>
      </c>
    </row>
    <row r="394" spans="1:33" ht="28.9">
      <c r="A394" s="253" t="s">
        <v>4043</v>
      </c>
      <c r="B394" s="289"/>
      <c r="C394" s="21" t="s">
        <v>4003</v>
      </c>
      <c r="D394" s="2" t="s">
        <v>4044</v>
      </c>
      <c r="E394" s="2" t="s">
        <v>2618</v>
      </c>
      <c r="F394" s="2" t="s">
        <v>4045</v>
      </c>
      <c r="G394" s="2" t="s">
        <v>4046</v>
      </c>
      <c r="H394" s="2" t="s">
        <v>2620</v>
      </c>
      <c r="I394" s="2" t="s">
        <v>4047</v>
      </c>
      <c r="J394" s="2" t="s">
        <v>2622</v>
      </c>
      <c r="K394" s="2" t="s">
        <v>2623</v>
      </c>
      <c r="L394" s="6" t="s">
        <v>1367</v>
      </c>
      <c r="M394" s="21" t="s">
        <v>1368</v>
      </c>
      <c r="N394" s="21" t="s">
        <v>1369</v>
      </c>
      <c r="P394" s="21" t="s">
        <v>22</v>
      </c>
    </row>
    <row r="395" spans="1:33" ht="28.9">
      <c r="A395" s="253" t="s">
        <v>4048</v>
      </c>
      <c r="B395" s="289"/>
      <c r="C395" s="189" t="s">
        <v>4003</v>
      </c>
      <c r="D395" s="2" t="s">
        <v>4049</v>
      </c>
      <c r="E395" s="2" t="s">
        <v>2626</v>
      </c>
      <c r="F395" s="2" t="s">
        <v>2627</v>
      </c>
      <c r="G395" s="2" t="s">
        <v>4050</v>
      </c>
      <c r="H395" s="2" t="s">
        <v>4051</v>
      </c>
      <c r="I395" s="2" t="s">
        <v>2630</v>
      </c>
      <c r="J395" s="2" t="s">
        <v>2631</v>
      </c>
      <c r="K395" s="2" t="s">
        <v>2630</v>
      </c>
      <c r="L395" s="6" t="s">
        <v>1367</v>
      </c>
      <c r="M395" s="21" t="s">
        <v>1368</v>
      </c>
      <c r="N395" s="21" t="s">
        <v>1369</v>
      </c>
      <c r="P395" s="21" t="s">
        <v>1371</v>
      </c>
    </row>
    <row r="396" spans="1:33" ht="57.6">
      <c r="A396" s="253" t="s">
        <v>4052</v>
      </c>
      <c r="B396" s="289"/>
      <c r="C396" s="189" t="s">
        <v>4003</v>
      </c>
      <c r="D396" s="2" t="s">
        <v>4053</v>
      </c>
      <c r="E396" s="2" t="s">
        <v>2634</v>
      </c>
      <c r="F396" s="2" t="s">
        <v>4054</v>
      </c>
      <c r="G396" s="2" t="s">
        <v>4055</v>
      </c>
      <c r="H396" s="2" t="s">
        <v>4056</v>
      </c>
      <c r="I396" s="2" t="s">
        <v>2638</v>
      </c>
      <c r="J396" s="2" t="s">
        <v>2639</v>
      </c>
      <c r="K396" s="2" t="s">
        <v>4057</v>
      </c>
      <c r="L396" s="6" t="s">
        <v>1381</v>
      </c>
      <c r="M396" s="21" t="s">
        <v>1368</v>
      </c>
      <c r="N396" s="21" t="s">
        <v>1369</v>
      </c>
      <c r="P396" s="21" t="s">
        <v>1371</v>
      </c>
    </row>
    <row r="397" spans="1:33" ht="43.15">
      <c r="A397" s="253" t="s">
        <v>4058</v>
      </c>
      <c r="B397" s="289"/>
      <c r="C397" s="189" t="s">
        <v>4003</v>
      </c>
      <c r="D397" s="2" t="s">
        <v>4059</v>
      </c>
      <c r="E397" s="2" t="s">
        <v>4060</v>
      </c>
      <c r="F397" s="2" t="s">
        <v>4061</v>
      </c>
      <c r="G397" s="2" t="s">
        <v>4062</v>
      </c>
      <c r="H397" s="2" t="s">
        <v>4063</v>
      </c>
      <c r="I397" s="2" t="s">
        <v>4064</v>
      </c>
      <c r="J397" s="2" t="s">
        <v>2648</v>
      </c>
      <c r="K397" s="2" t="s">
        <v>4065</v>
      </c>
      <c r="L397" s="6" t="s">
        <v>1367</v>
      </c>
      <c r="M397" s="21" t="s">
        <v>1368</v>
      </c>
      <c r="N397" s="21" t="s">
        <v>1369</v>
      </c>
      <c r="P397" s="21" t="s">
        <v>22</v>
      </c>
    </row>
    <row r="398" spans="1:33" ht="43.15">
      <c r="A398" s="253" t="s">
        <v>4066</v>
      </c>
      <c r="B398" s="289"/>
      <c r="C398" s="21" t="s">
        <v>4003</v>
      </c>
      <c r="D398" s="2" t="s">
        <v>4067</v>
      </c>
      <c r="E398" s="2" t="s">
        <v>2652</v>
      </c>
      <c r="F398" s="2" t="s">
        <v>4068</v>
      </c>
      <c r="G398" s="2" t="s">
        <v>4069</v>
      </c>
      <c r="H398" s="2" t="s">
        <v>4070</v>
      </c>
      <c r="I398" s="2" t="s">
        <v>4071</v>
      </c>
      <c r="J398" s="2" t="s">
        <v>2657</v>
      </c>
      <c r="K398" s="2" t="s">
        <v>4072</v>
      </c>
      <c r="L398" s="6" t="s">
        <v>1367</v>
      </c>
      <c r="M398" s="21" t="s">
        <v>1368</v>
      </c>
      <c r="N398" s="21" t="s">
        <v>4073</v>
      </c>
      <c r="P398" s="21" t="s">
        <v>22</v>
      </c>
    </row>
    <row r="399" spans="1:33" ht="43.15">
      <c r="A399" s="253" t="s">
        <v>4074</v>
      </c>
      <c r="B399" s="289"/>
      <c r="C399" s="189" t="s">
        <v>4003</v>
      </c>
      <c r="D399" s="2" t="s">
        <v>4075</v>
      </c>
      <c r="E399" s="2" t="s">
        <v>4076</v>
      </c>
      <c r="F399" s="2" t="s">
        <v>2662</v>
      </c>
      <c r="G399" s="2" t="s">
        <v>4077</v>
      </c>
      <c r="H399" s="2" t="s">
        <v>2869</v>
      </c>
      <c r="I399" s="2" t="s">
        <v>4078</v>
      </c>
      <c r="J399" s="2" t="s">
        <v>2666</v>
      </c>
      <c r="K399" s="2" t="s">
        <v>2667</v>
      </c>
      <c r="L399" s="6" t="s">
        <v>1367</v>
      </c>
      <c r="M399" s="21" t="s">
        <v>1368</v>
      </c>
      <c r="N399" s="21" t="s">
        <v>1369</v>
      </c>
      <c r="P399" s="21" t="s">
        <v>22</v>
      </c>
    </row>
    <row r="400" spans="1:33" ht="28.9">
      <c r="A400" s="253" t="s">
        <v>4079</v>
      </c>
      <c r="B400" s="289"/>
      <c r="C400" s="189" t="s">
        <v>4003</v>
      </c>
      <c r="D400" s="2" t="s">
        <v>2669</v>
      </c>
      <c r="E400" s="2" t="s">
        <v>2670</v>
      </c>
      <c r="F400" s="2" t="s">
        <v>4061</v>
      </c>
      <c r="G400" s="2" t="s">
        <v>2671</v>
      </c>
      <c r="H400" s="2" t="s">
        <v>2672</v>
      </c>
      <c r="I400" s="2" t="s">
        <v>2673</v>
      </c>
      <c r="J400" s="2" t="s">
        <v>2674</v>
      </c>
      <c r="K400" s="2" t="s">
        <v>2675</v>
      </c>
      <c r="L400" s="6" t="s">
        <v>1367</v>
      </c>
      <c r="M400" s="21" t="s">
        <v>1368</v>
      </c>
      <c r="N400" s="21" t="s">
        <v>1369</v>
      </c>
      <c r="P400" s="21" t="s">
        <v>22</v>
      </c>
    </row>
    <row r="401" spans="1:33" ht="28.9">
      <c r="A401" s="253" t="s">
        <v>4080</v>
      </c>
      <c r="B401" s="289"/>
      <c r="C401" s="189" t="s">
        <v>4003</v>
      </c>
      <c r="D401" s="2" t="s">
        <v>4081</v>
      </c>
      <c r="E401" s="2" t="s">
        <v>2678</v>
      </c>
      <c r="F401" s="2" t="s">
        <v>2679</v>
      </c>
      <c r="G401" s="2" t="s">
        <v>4082</v>
      </c>
      <c r="H401" s="2" t="s">
        <v>2681</v>
      </c>
      <c r="I401" s="2" t="s">
        <v>2682</v>
      </c>
      <c r="J401" s="2" t="s">
        <v>2683</v>
      </c>
      <c r="K401" s="2" t="s">
        <v>2684</v>
      </c>
      <c r="L401" s="6" t="s">
        <v>1367</v>
      </c>
      <c r="M401" s="21" t="s">
        <v>1368</v>
      </c>
      <c r="N401" s="21" t="s">
        <v>1369</v>
      </c>
      <c r="P401" s="21" t="s">
        <v>1393</v>
      </c>
    </row>
    <row r="402" spans="1:33" ht="28.9">
      <c r="A402" s="253" t="s">
        <v>4083</v>
      </c>
      <c r="B402" s="289"/>
      <c r="C402" s="189" t="s">
        <v>4003</v>
      </c>
      <c r="D402" s="2" t="s">
        <v>4084</v>
      </c>
      <c r="E402" s="2" t="s">
        <v>2687</v>
      </c>
      <c r="F402" s="2" t="s">
        <v>2684</v>
      </c>
      <c r="G402" s="2" t="s">
        <v>4085</v>
      </c>
      <c r="H402" s="2" t="s">
        <v>4086</v>
      </c>
      <c r="I402" s="2" t="s">
        <v>2690</v>
      </c>
      <c r="J402" s="2" t="s">
        <v>2691</v>
      </c>
      <c r="K402" s="2" t="s">
        <v>2692</v>
      </c>
      <c r="L402" s="6" t="s">
        <v>1367</v>
      </c>
      <c r="M402" s="21" t="s">
        <v>1368</v>
      </c>
      <c r="N402" s="21" t="s">
        <v>1369</v>
      </c>
      <c r="P402" s="21" t="s">
        <v>22</v>
      </c>
    </row>
    <row r="403" spans="1:33" ht="43.15">
      <c r="A403" s="253" t="s">
        <v>4087</v>
      </c>
      <c r="B403" s="289"/>
      <c r="C403" s="189" t="s">
        <v>4003</v>
      </c>
      <c r="D403" s="2" t="s">
        <v>4088</v>
      </c>
      <c r="E403" s="2" t="s">
        <v>2695</v>
      </c>
      <c r="F403" s="2" t="s">
        <v>2696</v>
      </c>
      <c r="G403" s="2" t="s">
        <v>4089</v>
      </c>
      <c r="H403" s="2" t="s">
        <v>2698</v>
      </c>
      <c r="I403" s="2" t="s">
        <v>2630</v>
      </c>
      <c r="J403" s="2" t="s">
        <v>2699</v>
      </c>
      <c r="K403" s="2" t="s">
        <v>2630</v>
      </c>
      <c r="L403" s="6" t="s">
        <v>1367</v>
      </c>
      <c r="M403" s="21" t="s">
        <v>1368</v>
      </c>
      <c r="N403" s="21" t="s">
        <v>1369</v>
      </c>
      <c r="P403" s="21" t="s">
        <v>1371</v>
      </c>
    </row>
    <row r="404" spans="1:33" ht="86.45">
      <c r="A404" s="253" t="s">
        <v>4090</v>
      </c>
      <c r="B404" s="289"/>
      <c r="C404" s="189" t="s">
        <v>4003</v>
      </c>
      <c r="D404" s="2" t="s">
        <v>2701</v>
      </c>
      <c r="E404" s="2" t="s">
        <v>4091</v>
      </c>
      <c r="F404" s="2" t="s">
        <v>4061</v>
      </c>
      <c r="G404" s="2" t="s">
        <v>4092</v>
      </c>
      <c r="H404" s="2" t="s">
        <v>2704</v>
      </c>
      <c r="I404" s="2" t="s">
        <v>2705</v>
      </c>
      <c r="J404" s="2" t="s">
        <v>4093</v>
      </c>
      <c r="K404" s="2" t="s">
        <v>4094</v>
      </c>
      <c r="L404" s="6" t="s">
        <v>1381</v>
      </c>
      <c r="M404" s="21" t="s">
        <v>1368</v>
      </c>
      <c r="N404" s="21" t="s">
        <v>4073</v>
      </c>
      <c r="P404" s="21" t="s">
        <v>22</v>
      </c>
    </row>
    <row r="405" spans="1:33" ht="28.9">
      <c r="A405" s="253" t="s">
        <v>4095</v>
      </c>
      <c r="B405" s="289"/>
      <c r="C405" s="189" t="s">
        <v>4003</v>
      </c>
      <c r="D405" s="2" t="s">
        <v>4096</v>
      </c>
      <c r="E405" s="2" t="s">
        <v>2710</v>
      </c>
      <c r="F405" s="2" t="s">
        <v>4097</v>
      </c>
      <c r="G405" s="2" t="s">
        <v>2712</v>
      </c>
      <c r="H405" s="2" t="s">
        <v>2713</v>
      </c>
      <c r="I405" s="2" t="s">
        <v>2714</v>
      </c>
      <c r="J405" s="2" t="s">
        <v>2715</v>
      </c>
      <c r="K405" s="2" t="s">
        <v>2716</v>
      </c>
      <c r="L405" s="6" t="s">
        <v>1367</v>
      </c>
      <c r="M405" s="21" t="s">
        <v>1368</v>
      </c>
      <c r="N405" s="21" t="s">
        <v>1369</v>
      </c>
      <c r="P405" s="21" t="s">
        <v>1371</v>
      </c>
    </row>
    <row r="406" spans="1:33" ht="28.9">
      <c r="A406" s="253" t="s">
        <v>4098</v>
      </c>
      <c r="B406" s="289"/>
      <c r="C406" s="189" t="s">
        <v>4003</v>
      </c>
      <c r="D406" s="2" t="s">
        <v>2718</v>
      </c>
      <c r="E406" s="2" t="s">
        <v>2719</v>
      </c>
      <c r="F406" s="2" t="s">
        <v>2720</v>
      </c>
      <c r="G406" s="2" t="s">
        <v>4099</v>
      </c>
      <c r="H406" s="2" t="s">
        <v>4100</v>
      </c>
      <c r="I406" s="2" t="s">
        <v>2723</v>
      </c>
      <c r="J406" s="2" t="s">
        <v>2724</v>
      </c>
      <c r="K406" s="2" t="s">
        <v>2723</v>
      </c>
      <c r="L406" s="6" t="s">
        <v>1367</v>
      </c>
      <c r="M406" s="21" t="s">
        <v>1368</v>
      </c>
      <c r="N406" s="21" t="s">
        <v>4073</v>
      </c>
      <c r="P406" s="21" t="s">
        <v>22</v>
      </c>
    </row>
    <row r="407" spans="1:33" ht="28.9">
      <c r="A407" s="253" t="s">
        <v>4101</v>
      </c>
      <c r="B407" s="289"/>
      <c r="C407" s="189" t="s">
        <v>4003</v>
      </c>
      <c r="D407" s="2" t="s">
        <v>4102</v>
      </c>
      <c r="E407" s="2" t="s">
        <v>2727</v>
      </c>
      <c r="F407" s="2" t="s">
        <v>2728</v>
      </c>
      <c r="G407" s="2" t="s">
        <v>2729</v>
      </c>
      <c r="H407" s="2" t="s">
        <v>4103</v>
      </c>
      <c r="I407" s="2" t="s">
        <v>4104</v>
      </c>
      <c r="J407" s="2" t="s">
        <v>2731</v>
      </c>
      <c r="K407" s="2" t="s">
        <v>2732</v>
      </c>
      <c r="L407" s="6" t="s">
        <v>1367</v>
      </c>
      <c r="M407" s="21" t="s">
        <v>1368</v>
      </c>
      <c r="N407" s="21" t="s">
        <v>1369</v>
      </c>
      <c r="P407" s="21" t="s">
        <v>1393</v>
      </c>
    </row>
    <row r="408" spans="1:33" ht="28.9">
      <c r="A408" s="253" t="s">
        <v>4105</v>
      </c>
      <c r="B408" s="289"/>
      <c r="C408" s="189" t="s">
        <v>4003</v>
      </c>
      <c r="D408" s="2" t="s">
        <v>4106</v>
      </c>
      <c r="E408" s="2" t="s">
        <v>2735</v>
      </c>
      <c r="F408" s="2" t="s">
        <v>2732</v>
      </c>
      <c r="G408" s="2" t="s">
        <v>4107</v>
      </c>
      <c r="H408" s="2" t="s">
        <v>4108</v>
      </c>
      <c r="I408" s="2" t="s">
        <v>2738</v>
      </c>
      <c r="J408" s="2" t="s">
        <v>2739</v>
      </c>
      <c r="K408" s="2" t="s">
        <v>2740</v>
      </c>
      <c r="L408" s="6" t="s">
        <v>1367</v>
      </c>
      <c r="M408" s="21" t="s">
        <v>1368</v>
      </c>
      <c r="N408" s="21" t="s">
        <v>4073</v>
      </c>
      <c r="P408" s="21" t="s">
        <v>22</v>
      </c>
    </row>
    <row r="409" spans="1:33" ht="28.9">
      <c r="A409" s="253" t="s">
        <v>4109</v>
      </c>
      <c r="B409" s="289"/>
      <c r="C409" s="189" t="s">
        <v>4003</v>
      </c>
      <c r="D409" s="2" t="s">
        <v>4110</v>
      </c>
      <c r="E409" s="2" t="s">
        <v>2743</v>
      </c>
      <c r="F409" s="2" t="s">
        <v>2732</v>
      </c>
      <c r="G409" s="2" t="s">
        <v>4111</v>
      </c>
      <c r="H409" s="2" t="s">
        <v>4103</v>
      </c>
      <c r="I409" s="2" t="s">
        <v>2630</v>
      </c>
      <c r="J409" s="2" t="s">
        <v>2745</v>
      </c>
      <c r="K409" s="2" t="s">
        <v>2630</v>
      </c>
      <c r="L409" s="6" t="s">
        <v>1367</v>
      </c>
      <c r="M409" s="21" t="s">
        <v>1368</v>
      </c>
      <c r="N409" s="21" t="s">
        <v>1369</v>
      </c>
      <c r="P409" s="21" t="s">
        <v>1371</v>
      </c>
    </row>
    <row r="410" spans="1:33" ht="43.15">
      <c r="A410" s="253" t="s">
        <v>4112</v>
      </c>
      <c r="B410" s="289"/>
      <c r="C410" s="189" t="s">
        <v>4003</v>
      </c>
      <c r="D410" s="2" t="s">
        <v>4113</v>
      </c>
      <c r="E410" s="2" t="s">
        <v>2748</v>
      </c>
      <c r="F410" s="2" t="s">
        <v>4114</v>
      </c>
      <c r="G410" s="2" t="s">
        <v>4115</v>
      </c>
      <c r="H410" s="2" t="s">
        <v>4116</v>
      </c>
      <c r="I410" s="2" t="s">
        <v>4117</v>
      </c>
      <c r="J410" s="2" t="s">
        <v>2752</v>
      </c>
      <c r="K410" s="2" t="s">
        <v>4118</v>
      </c>
      <c r="L410" s="6" t="s">
        <v>1367</v>
      </c>
      <c r="M410" s="21" t="s">
        <v>1368</v>
      </c>
      <c r="N410" s="21" t="s">
        <v>4073</v>
      </c>
      <c r="P410" s="21" t="s">
        <v>22</v>
      </c>
    </row>
    <row r="411" spans="1:33" ht="43.15">
      <c r="A411" s="253" t="s">
        <v>4119</v>
      </c>
      <c r="B411" s="289"/>
      <c r="C411" s="21" t="s">
        <v>4003</v>
      </c>
      <c r="D411" s="2" t="s">
        <v>4120</v>
      </c>
      <c r="E411" s="2" t="s">
        <v>2756</v>
      </c>
      <c r="F411" s="2" t="s">
        <v>4121</v>
      </c>
      <c r="G411" s="2" t="s">
        <v>2758</v>
      </c>
      <c r="H411" s="2" t="s">
        <v>4103</v>
      </c>
      <c r="I411" s="2" t="s">
        <v>2759</v>
      </c>
      <c r="J411" s="2" t="s">
        <v>2760</v>
      </c>
      <c r="K411" s="2" t="s">
        <v>2761</v>
      </c>
      <c r="L411" s="6" t="s">
        <v>1367</v>
      </c>
      <c r="M411" s="21" t="s">
        <v>1368</v>
      </c>
      <c r="N411" s="21" t="s">
        <v>1369</v>
      </c>
      <c r="P411" s="21" t="s">
        <v>22</v>
      </c>
    </row>
    <row r="412" spans="1:33" ht="43.15">
      <c r="A412" s="253" t="s">
        <v>4122</v>
      </c>
      <c r="B412" s="289"/>
      <c r="C412" s="189" t="s">
        <v>4003</v>
      </c>
      <c r="D412" s="2" t="s">
        <v>4123</v>
      </c>
      <c r="E412" s="2" t="s">
        <v>4124</v>
      </c>
      <c r="F412" s="2" t="s">
        <v>4114</v>
      </c>
      <c r="G412" s="2" t="s">
        <v>4125</v>
      </c>
      <c r="H412" s="2" t="s">
        <v>4126</v>
      </c>
      <c r="I412" s="2" t="s">
        <v>4127</v>
      </c>
      <c r="J412" s="2" t="s">
        <v>2767</v>
      </c>
      <c r="K412" s="2" t="s">
        <v>4104</v>
      </c>
      <c r="L412" s="6" t="s">
        <v>1367</v>
      </c>
      <c r="M412" s="21" t="s">
        <v>1368</v>
      </c>
      <c r="N412" s="21" t="s">
        <v>1369</v>
      </c>
      <c r="P412" s="21" t="s">
        <v>1393</v>
      </c>
    </row>
    <row r="413" spans="1:33" ht="43.15">
      <c r="A413" s="253" t="s">
        <v>4128</v>
      </c>
      <c r="B413" s="289"/>
      <c r="C413" s="189" t="s">
        <v>4003</v>
      </c>
      <c r="D413" s="2" t="s">
        <v>4129</v>
      </c>
      <c r="E413" s="2" t="s">
        <v>2771</v>
      </c>
      <c r="F413" s="2" t="s">
        <v>4130</v>
      </c>
      <c r="G413" s="2" t="s">
        <v>2773</v>
      </c>
      <c r="H413" s="2" t="s">
        <v>2774</v>
      </c>
      <c r="I413" s="2" t="s">
        <v>4131</v>
      </c>
      <c r="J413" s="2" t="s">
        <v>2776</v>
      </c>
      <c r="K413" s="2" t="s">
        <v>2777</v>
      </c>
      <c r="L413" s="6" t="s">
        <v>1367</v>
      </c>
      <c r="M413" s="21" t="s">
        <v>1368</v>
      </c>
      <c r="N413" s="21" t="s">
        <v>1369</v>
      </c>
      <c r="P413" s="21" t="s">
        <v>1371</v>
      </c>
    </row>
    <row r="414" spans="1:33" ht="43.15">
      <c r="A414" s="253" t="s">
        <v>4132</v>
      </c>
      <c r="B414" s="289"/>
      <c r="C414" s="189" t="s">
        <v>4003</v>
      </c>
      <c r="D414" s="2" t="s">
        <v>2779</v>
      </c>
      <c r="E414" s="2" t="s">
        <v>2780</v>
      </c>
      <c r="F414" s="2" t="s">
        <v>2781</v>
      </c>
      <c r="G414" s="2" t="s">
        <v>2782</v>
      </c>
      <c r="H414" s="2" t="s">
        <v>1442</v>
      </c>
      <c r="I414" s="2" t="s">
        <v>2783</v>
      </c>
      <c r="J414" s="2" t="s">
        <v>2784</v>
      </c>
      <c r="K414" s="2" t="s">
        <v>2785</v>
      </c>
      <c r="L414" s="6" t="s">
        <v>1367</v>
      </c>
      <c r="M414" s="21" t="s">
        <v>1368</v>
      </c>
      <c r="N414" s="21" t="s">
        <v>1369</v>
      </c>
      <c r="P414" s="21" t="s">
        <v>1371</v>
      </c>
    </row>
    <row r="415" spans="1:33" ht="28.9">
      <c r="A415" s="253" t="s">
        <v>4133</v>
      </c>
      <c r="B415" s="289"/>
      <c r="C415" s="189" t="s">
        <v>4003</v>
      </c>
      <c r="D415" s="2" t="s">
        <v>2787</v>
      </c>
      <c r="E415" s="2" t="s">
        <v>2788</v>
      </c>
      <c r="F415" s="2" t="s">
        <v>2923</v>
      </c>
      <c r="G415" s="2" t="s">
        <v>2790</v>
      </c>
      <c r="H415" s="2" t="s">
        <v>1442</v>
      </c>
      <c r="I415" s="2" t="s">
        <v>2791</v>
      </c>
      <c r="J415" s="2" t="s">
        <v>2792</v>
      </c>
      <c r="K415" s="2" t="s">
        <v>2793</v>
      </c>
      <c r="L415" s="6" t="s">
        <v>1367</v>
      </c>
      <c r="M415" s="21" t="s">
        <v>1368</v>
      </c>
      <c r="N415" s="21" t="s">
        <v>1369</v>
      </c>
      <c r="P415" s="21" t="s">
        <v>1481</v>
      </c>
      <c r="AG415" s="78"/>
    </row>
    <row r="416" spans="1:33" s="45" customFormat="1">
      <c r="A416" s="247"/>
      <c r="B416" s="289"/>
      <c r="C416" s="78"/>
      <c r="D416" s="44"/>
      <c r="E416" s="44"/>
      <c r="F416" s="44"/>
      <c r="G416" s="44"/>
      <c r="H416" s="44"/>
      <c r="I416" s="44"/>
      <c r="J416" s="44"/>
      <c r="K416" s="44"/>
      <c r="L416" s="81"/>
      <c r="M416" s="78"/>
      <c r="P416" s="78"/>
      <c r="Q416" s="78"/>
      <c r="R416" s="303"/>
      <c r="W416" s="81"/>
      <c r="X416" s="81"/>
      <c r="AG416" s="21"/>
    </row>
    <row r="417" spans="1:24" ht="28.9">
      <c r="A417" s="253" t="s">
        <v>4134</v>
      </c>
      <c r="B417" s="289"/>
      <c r="C417" s="189" t="s">
        <v>4135</v>
      </c>
      <c r="D417" s="2" t="s">
        <v>4136</v>
      </c>
      <c r="E417" s="2" t="s">
        <v>4137</v>
      </c>
      <c r="F417" s="2" t="s">
        <v>2553</v>
      </c>
      <c r="G417" s="2" t="s">
        <v>4138</v>
      </c>
      <c r="H417" s="2" t="s">
        <v>1442</v>
      </c>
      <c r="I417" s="2" t="s">
        <v>4139</v>
      </c>
      <c r="J417" s="2" t="s">
        <v>4140</v>
      </c>
      <c r="K417" s="2" t="s">
        <v>4141</v>
      </c>
      <c r="L417" s="6" t="s">
        <v>1367</v>
      </c>
      <c r="M417" s="21" t="s">
        <v>1368</v>
      </c>
      <c r="N417" s="21" t="s">
        <v>1369</v>
      </c>
      <c r="P417" s="21" t="s">
        <v>22</v>
      </c>
      <c r="W417" s="81"/>
      <c r="X417" s="81"/>
    </row>
    <row r="418" spans="1:24" ht="28.9">
      <c r="A418" s="253" t="s">
        <v>4142</v>
      </c>
      <c r="B418" s="289"/>
      <c r="C418" s="189" t="s">
        <v>4135</v>
      </c>
      <c r="D418" s="2" t="s">
        <v>4143</v>
      </c>
      <c r="E418" s="2" t="s">
        <v>4144</v>
      </c>
      <c r="F418" s="2" t="s">
        <v>4145</v>
      </c>
      <c r="G418" s="2" t="s">
        <v>4146</v>
      </c>
      <c r="H418" s="2" t="s">
        <v>1442</v>
      </c>
      <c r="I418" s="2" t="s">
        <v>4147</v>
      </c>
      <c r="J418" s="2" t="s">
        <v>2564</v>
      </c>
      <c r="K418" s="2" t="s">
        <v>4015</v>
      </c>
      <c r="L418" s="6" t="s">
        <v>1367</v>
      </c>
      <c r="M418" s="21" t="s">
        <v>1368</v>
      </c>
      <c r="N418" s="21" t="s">
        <v>1369</v>
      </c>
      <c r="P418" s="21" t="s">
        <v>22</v>
      </c>
    </row>
    <row r="419" spans="1:24" ht="28.9">
      <c r="A419" s="253" t="s">
        <v>4148</v>
      </c>
      <c r="B419" s="289"/>
      <c r="C419" s="189" t="s">
        <v>4135</v>
      </c>
      <c r="D419" s="2" t="s">
        <v>4149</v>
      </c>
      <c r="E419" s="2" t="s">
        <v>4150</v>
      </c>
      <c r="F419" s="2" t="s">
        <v>4151</v>
      </c>
      <c r="G419" s="2" t="s">
        <v>2569</v>
      </c>
      <c r="H419" s="2" t="s">
        <v>1442</v>
      </c>
      <c r="I419" s="2" t="s">
        <v>2812</v>
      </c>
      <c r="J419" s="2" t="s">
        <v>2571</v>
      </c>
      <c r="K419" s="2" t="s">
        <v>2813</v>
      </c>
      <c r="L419" s="6" t="s">
        <v>1367</v>
      </c>
      <c r="M419" s="21" t="s">
        <v>1368</v>
      </c>
      <c r="N419" s="21" t="s">
        <v>1369</v>
      </c>
      <c r="P419" s="21" t="s">
        <v>1371</v>
      </c>
    </row>
    <row r="420" spans="1:24" ht="28.9">
      <c r="A420" s="253" t="s">
        <v>4152</v>
      </c>
      <c r="B420" s="289"/>
      <c r="C420" s="189" t="s">
        <v>4135</v>
      </c>
      <c r="D420" s="2" t="s">
        <v>4153</v>
      </c>
      <c r="E420" s="2" t="s">
        <v>4154</v>
      </c>
      <c r="F420" s="2" t="s">
        <v>4155</v>
      </c>
      <c r="G420" s="2" t="s">
        <v>4156</v>
      </c>
      <c r="H420" s="2" t="s">
        <v>1442</v>
      </c>
      <c r="I420" s="2" t="s">
        <v>4157</v>
      </c>
      <c r="J420" s="2" t="s">
        <v>2580</v>
      </c>
      <c r="K420" s="2" t="s">
        <v>4158</v>
      </c>
      <c r="L420" s="6" t="s">
        <v>1367</v>
      </c>
      <c r="M420" s="21" t="s">
        <v>1368</v>
      </c>
      <c r="N420" s="21" t="s">
        <v>1369</v>
      </c>
      <c r="P420" s="21" t="s">
        <v>22</v>
      </c>
    </row>
    <row r="421" spans="1:24">
      <c r="A421" s="253" t="s">
        <v>4159</v>
      </c>
      <c r="B421" s="289"/>
      <c r="C421" s="21" t="s">
        <v>4135</v>
      </c>
      <c r="D421" s="2" t="s">
        <v>4160</v>
      </c>
      <c r="E421" s="2" t="s">
        <v>2584</v>
      </c>
      <c r="F421" s="2" t="s">
        <v>4145</v>
      </c>
      <c r="G421" s="2" t="s">
        <v>2586</v>
      </c>
      <c r="H421" s="2" t="s">
        <v>1442</v>
      </c>
      <c r="I421" s="2" t="s">
        <v>4161</v>
      </c>
      <c r="J421" s="2" t="s">
        <v>2588</v>
      </c>
      <c r="K421" s="2" t="s">
        <v>2589</v>
      </c>
      <c r="L421" s="6" t="s">
        <v>1367</v>
      </c>
      <c r="M421" s="21" t="s">
        <v>1368</v>
      </c>
      <c r="N421" s="21" t="s">
        <v>1369</v>
      </c>
      <c r="P421" s="21" t="s">
        <v>22</v>
      </c>
    </row>
    <row r="422" spans="1:24" ht="28.9">
      <c r="A422" s="253" t="s">
        <v>4162</v>
      </c>
      <c r="B422" s="289"/>
      <c r="C422" s="21" t="s">
        <v>4135</v>
      </c>
      <c r="D422" s="2" t="s">
        <v>2591</v>
      </c>
      <c r="E422" s="2" t="s">
        <v>2592</v>
      </c>
      <c r="F422" s="2" t="s">
        <v>2593</v>
      </c>
      <c r="G422" s="2" t="s">
        <v>4163</v>
      </c>
      <c r="H422" s="2" t="s">
        <v>2595</v>
      </c>
      <c r="I422" s="2" t="s">
        <v>2596</v>
      </c>
      <c r="J422" s="2" t="s">
        <v>2597</v>
      </c>
      <c r="K422" s="2" t="s">
        <v>2598</v>
      </c>
      <c r="L422" s="6" t="s">
        <v>1367</v>
      </c>
      <c r="M422" s="21" t="s">
        <v>1368</v>
      </c>
      <c r="N422" s="21" t="s">
        <v>1369</v>
      </c>
      <c r="P422" s="21" t="s">
        <v>22</v>
      </c>
    </row>
    <row r="423" spans="1:24" ht="43.15">
      <c r="A423" s="253" t="s">
        <v>4164</v>
      </c>
      <c r="B423" s="289"/>
      <c r="C423" s="189" t="s">
        <v>4135</v>
      </c>
      <c r="D423" s="2" t="s">
        <v>4165</v>
      </c>
      <c r="E423" s="2" t="s">
        <v>2601</v>
      </c>
      <c r="F423" s="2" t="s">
        <v>2602</v>
      </c>
      <c r="G423" s="2" t="s">
        <v>4166</v>
      </c>
      <c r="H423" s="2" t="s">
        <v>4167</v>
      </c>
      <c r="I423" s="2" t="s">
        <v>2605</v>
      </c>
      <c r="J423" s="2" t="s">
        <v>2606</v>
      </c>
      <c r="K423" s="2" t="s">
        <v>2607</v>
      </c>
      <c r="L423" s="6" t="s">
        <v>1367</v>
      </c>
      <c r="M423" s="21" t="s">
        <v>1368</v>
      </c>
      <c r="N423" s="21" t="s">
        <v>1369</v>
      </c>
      <c r="P423" s="21" t="s">
        <v>1371</v>
      </c>
    </row>
    <row r="424" spans="1:24" ht="28.9">
      <c r="A424" s="253" t="s">
        <v>4168</v>
      </c>
      <c r="B424" s="289"/>
      <c r="C424" s="189" t="s">
        <v>4135</v>
      </c>
      <c r="D424" s="2" t="s">
        <v>4169</v>
      </c>
      <c r="E424" s="2" t="s">
        <v>4170</v>
      </c>
      <c r="F424" s="2" t="s">
        <v>2593</v>
      </c>
      <c r="G424" s="2" t="s">
        <v>4040</v>
      </c>
      <c r="H424" s="2" t="s">
        <v>4171</v>
      </c>
      <c r="I424" s="2" t="s">
        <v>4172</v>
      </c>
      <c r="J424" s="2" t="s">
        <v>2614</v>
      </c>
      <c r="K424" s="2" t="s">
        <v>2615</v>
      </c>
      <c r="L424" s="6" t="s">
        <v>1367</v>
      </c>
      <c r="M424" s="21" t="s">
        <v>1368</v>
      </c>
      <c r="N424" s="21" t="s">
        <v>1369</v>
      </c>
      <c r="P424" s="21" t="s">
        <v>1393</v>
      </c>
    </row>
    <row r="425" spans="1:24" ht="28.9">
      <c r="A425" s="253" t="s">
        <v>4173</v>
      </c>
      <c r="B425" s="289"/>
      <c r="C425" s="21" t="s">
        <v>4135</v>
      </c>
      <c r="D425" s="2" t="s">
        <v>4174</v>
      </c>
      <c r="E425" s="2" t="s">
        <v>2618</v>
      </c>
      <c r="F425" s="2" t="s">
        <v>4172</v>
      </c>
      <c r="G425" s="2" t="s">
        <v>4175</v>
      </c>
      <c r="H425" s="2" t="s">
        <v>2620</v>
      </c>
      <c r="I425" s="2" t="s">
        <v>4176</v>
      </c>
      <c r="J425" s="2" t="s">
        <v>2622</v>
      </c>
      <c r="K425" s="2" t="s">
        <v>2623</v>
      </c>
      <c r="L425" s="6" t="s">
        <v>1367</v>
      </c>
      <c r="M425" s="21" t="s">
        <v>1368</v>
      </c>
      <c r="N425" s="21" t="s">
        <v>1369</v>
      </c>
      <c r="P425" s="21" t="s">
        <v>22</v>
      </c>
    </row>
    <row r="426" spans="1:24" ht="28.9">
      <c r="A426" s="253" t="s">
        <v>4177</v>
      </c>
      <c r="B426" s="289"/>
      <c r="C426" s="189" t="s">
        <v>4135</v>
      </c>
      <c r="D426" s="2" t="s">
        <v>4178</v>
      </c>
      <c r="E426" s="2" t="s">
        <v>2626</v>
      </c>
      <c r="F426" s="2" t="s">
        <v>2627</v>
      </c>
      <c r="G426" s="2" t="s">
        <v>4179</v>
      </c>
      <c r="H426" s="2" t="s">
        <v>4180</v>
      </c>
      <c r="I426" s="2" t="s">
        <v>2630</v>
      </c>
      <c r="J426" s="2" t="s">
        <v>2631</v>
      </c>
      <c r="K426" s="2" t="s">
        <v>2630</v>
      </c>
      <c r="L426" s="6" t="s">
        <v>1367</v>
      </c>
      <c r="M426" s="21" t="s">
        <v>1368</v>
      </c>
      <c r="N426" s="21" t="s">
        <v>1369</v>
      </c>
      <c r="P426" s="21" t="s">
        <v>1371</v>
      </c>
    </row>
    <row r="427" spans="1:24" ht="57.6">
      <c r="A427" s="253" t="s">
        <v>4181</v>
      </c>
      <c r="B427" s="289"/>
      <c r="C427" s="189" t="s">
        <v>4135</v>
      </c>
      <c r="D427" s="2" t="s">
        <v>4182</v>
      </c>
      <c r="E427" s="2" t="s">
        <v>2634</v>
      </c>
      <c r="F427" s="2" t="s">
        <v>4183</v>
      </c>
      <c r="G427" s="2" t="s">
        <v>4184</v>
      </c>
      <c r="H427" s="2" t="s">
        <v>4185</v>
      </c>
      <c r="I427" s="2" t="s">
        <v>2638</v>
      </c>
      <c r="J427" s="2" t="s">
        <v>2639</v>
      </c>
      <c r="K427" s="2" t="s">
        <v>4186</v>
      </c>
      <c r="L427" s="6" t="s">
        <v>1381</v>
      </c>
      <c r="M427" s="21" t="s">
        <v>1368</v>
      </c>
      <c r="N427" s="21" t="s">
        <v>1369</v>
      </c>
      <c r="P427" s="21" t="s">
        <v>1371</v>
      </c>
    </row>
    <row r="428" spans="1:24" ht="43.15">
      <c r="A428" s="253" t="s">
        <v>4187</v>
      </c>
      <c r="B428" s="289"/>
      <c r="C428" s="189" t="s">
        <v>4135</v>
      </c>
      <c r="D428" s="2" t="s">
        <v>4188</v>
      </c>
      <c r="E428" s="2" t="s">
        <v>4189</v>
      </c>
      <c r="F428" s="2" t="s">
        <v>4061</v>
      </c>
      <c r="G428" s="2" t="s">
        <v>4190</v>
      </c>
      <c r="H428" s="2" t="s">
        <v>4191</v>
      </c>
      <c r="I428" s="2" t="s">
        <v>4192</v>
      </c>
      <c r="J428" s="2" t="s">
        <v>2648</v>
      </c>
      <c r="K428" s="2" t="s">
        <v>4193</v>
      </c>
      <c r="L428" s="6" t="s">
        <v>1367</v>
      </c>
      <c r="M428" s="21" t="s">
        <v>1368</v>
      </c>
      <c r="N428" s="21" t="s">
        <v>1369</v>
      </c>
      <c r="P428" s="21" t="s">
        <v>22</v>
      </c>
    </row>
    <row r="429" spans="1:24" ht="43.15">
      <c r="A429" s="253" t="s">
        <v>4194</v>
      </c>
      <c r="B429" s="289"/>
      <c r="C429" s="21" t="s">
        <v>4135</v>
      </c>
      <c r="D429" s="2" t="s">
        <v>4195</v>
      </c>
      <c r="E429" s="2" t="s">
        <v>2652</v>
      </c>
      <c r="F429" s="2" t="s">
        <v>4196</v>
      </c>
      <c r="G429" s="2" t="s">
        <v>4197</v>
      </c>
      <c r="H429" s="2" t="s">
        <v>4198</v>
      </c>
      <c r="I429" s="2" t="s">
        <v>4199</v>
      </c>
      <c r="J429" s="2" t="s">
        <v>2657</v>
      </c>
      <c r="K429" s="2" t="s">
        <v>4200</v>
      </c>
      <c r="L429" s="6" t="s">
        <v>1367</v>
      </c>
      <c r="M429" s="21" t="s">
        <v>1368</v>
      </c>
      <c r="N429" s="21" t="s">
        <v>4073</v>
      </c>
      <c r="P429" s="21" t="s">
        <v>22</v>
      </c>
    </row>
    <row r="430" spans="1:24" ht="43.15">
      <c r="A430" s="253" t="s">
        <v>4201</v>
      </c>
      <c r="B430" s="289"/>
      <c r="C430" s="21" t="s">
        <v>4135</v>
      </c>
      <c r="D430" s="2" t="s">
        <v>4202</v>
      </c>
      <c r="E430" s="2" t="s">
        <v>4203</v>
      </c>
      <c r="F430" s="2" t="s">
        <v>2662</v>
      </c>
      <c r="G430" s="2" t="s">
        <v>4204</v>
      </c>
      <c r="H430" s="2" t="s">
        <v>4205</v>
      </c>
      <c r="I430" s="2" t="s">
        <v>4206</v>
      </c>
      <c r="J430" s="2" t="s">
        <v>2666</v>
      </c>
      <c r="K430" s="2" t="s">
        <v>2667</v>
      </c>
      <c r="L430" s="6" t="s">
        <v>1367</v>
      </c>
      <c r="M430" s="21" t="s">
        <v>1368</v>
      </c>
      <c r="N430" s="21" t="s">
        <v>1369</v>
      </c>
      <c r="P430" s="21" t="s">
        <v>22</v>
      </c>
    </row>
    <row r="431" spans="1:24" ht="28.9">
      <c r="A431" s="253" t="s">
        <v>4207</v>
      </c>
      <c r="B431" s="289"/>
      <c r="C431" s="189" t="s">
        <v>4135</v>
      </c>
      <c r="D431" s="2" t="s">
        <v>2669</v>
      </c>
      <c r="E431" s="2" t="s">
        <v>2670</v>
      </c>
      <c r="F431" s="2" t="s">
        <v>4208</v>
      </c>
      <c r="G431" s="2" t="s">
        <v>2671</v>
      </c>
      <c r="H431" s="2" t="s">
        <v>2672</v>
      </c>
      <c r="I431" s="2" t="s">
        <v>2673</v>
      </c>
      <c r="J431" s="2" t="s">
        <v>2674</v>
      </c>
      <c r="K431" s="2" t="s">
        <v>2675</v>
      </c>
      <c r="L431" s="6" t="s">
        <v>1367</v>
      </c>
      <c r="M431" s="21" t="s">
        <v>1368</v>
      </c>
      <c r="N431" s="21" t="s">
        <v>4073</v>
      </c>
      <c r="P431" s="21" t="s">
        <v>22</v>
      </c>
    </row>
    <row r="432" spans="1:24" ht="28.9">
      <c r="A432" s="253" t="s">
        <v>4209</v>
      </c>
      <c r="B432" s="289"/>
      <c r="C432" s="189" t="s">
        <v>4135</v>
      </c>
      <c r="D432" s="2" t="s">
        <v>4210</v>
      </c>
      <c r="E432" s="2" t="s">
        <v>2678</v>
      </c>
      <c r="F432" s="2" t="s">
        <v>2679</v>
      </c>
      <c r="G432" s="2" t="s">
        <v>4211</v>
      </c>
      <c r="H432" s="2" t="s">
        <v>2681</v>
      </c>
      <c r="I432" s="2" t="s">
        <v>2682</v>
      </c>
      <c r="J432" s="2" t="s">
        <v>2683</v>
      </c>
      <c r="K432" s="2" t="s">
        <v>2684</v>
      </c>
      <c r="L432" s="6" t="s">
        <v>1367</v>
      </c>
      <c r="M432" s="21" t="s">
        <v>1368</v>
      </c>
      <c r="N432" s="21" t="s">
        <v>1369</v>
      </c>
      <c r="P432" s="21" t="s">
        <v>1393</v>
      </c>
    </row>
    <row r="433" spans="1:33" ht="28.9">
      <c r="A433" s="253" t="s">
        <v>4212</v>
      </c>
      <c r="B433" s="289"/>
      <c r="C433" s="189" t="s">
        <v>4135</v>
      </c>
      <c r="D433" s="2" t="s">
        <v>4213</v>
      </c>
      <c r="E433" s="2" t="s">
        <v>2687</v>
      </c>
      <c r="F433" s="2" t="s">
        <v>2684</v>
      </c>
      <c r="G433" s="2" t="s">
        <v>4214</v>
      </c>
      <c r="H433" s="2" t="s">
        <v>4215</v>
      </c>
      <c r="I433" s="2" t="s">
        <v>2690</v>
      </c>
      <c r="J433" s="2" t="s">
        <v>2691</v>
      </c>
      <c r="K433" s="2" t="s">
        <v>2692</v>
      </c>
      <c r="L433" s="6" t="s">
        <v>1367</v>
      </c>
      <c r="M433" s="21" t="s">
        <v>1368</v>
      </c>
      <c r="N433" s="21" t="s">
        <v>4073</v>
      </c>
      <c r="P433" s="21" t="s">
        <v>22</v>
      </c>
    </row>
    <row r="434" spans="1:33" ht="43.15">
      <c r="A434" s="253" t="s">
        <v>4216</v>
      </c>
      <c r="B434" s="289"/>
      <c r="C434" s="189" t="s">
        <v>4135</v>
      </c>
      <c r="D434" s="2" t="s">
        <v>4217</v>
      </c>
      <c r="E434" s="2" t="s">
        <v>2695</v>
      </c>
      <c r="F434" s="2" t="s">
        <v>2696</v>
      </c>
      <c r="G434" s="2" t="s">
        <v>4218</v>
      </c>
      <c r="H434" s="2" t="s">
        <v>2698</v>
      </c>
      <c r="I434" s="2" t="s">
        <v>2630</v>
      </c>
      <c r="J434" s="2" t="s">
        <v>2699</v>
      </c>
      <c r="K434" s="2" t="s">
        <v>2630</v>
      </c>
      <c r="L434" s="6" t="s">
        <v>1367</v>
      </c>
      <c r="M434" s="21" t="s">
        <v>1368</v>
      </c>
      <c r="N434" s="21" t="s">
        <v>1369</v>
      </c>
      <c r="P434" s="21" t="s">
        <v>1371</v>
      </c>
    </row>
    <row r="435" spans="1:33" ht="86.45">
      <c r="A435" s="253" t="s">
        <v>4219</v>
      </c>
      <c r="B435" s="289"/>
      <c r="C435" s="189" t="s">
        <v>4135</v>
      </c>
      <c r="D435" s="2" t="s">
        <v>2701</v>
      </c>
      <c r="E435" s="2" t="s">
        <v>4220</v>
      </c>
      <c r="F435" s="2" t="s">
        <v>4208</v>
      </c>
      <c r="G435" s="2" t="s">
        <v>4221</v>
      </c>
      <c r="H435" s="2" t="s">
        <v>2704</v>
      </c>
      <c r="I435" s="2" t="s">
        <v>2705</v>
      </c>
      <c r="J435" s="2" t="s">
        <v>4222</v>
      </c>
      <c r="K435" s="2" t="s">
        <v>4223</v>
      </c>
      <c r="L435" s="6" t="s">
        <v>1381</v>
      </c>
      <c r="M435" s="21" t="s">
        <v>1368</v>
      </c>
      <c r="N435" s="21" t="s">
        <v>4073</v>
      </c>
      <c r="P435" s="21" t="s">
        <v>22</v>
      </c>
    </row>
    <row r="436" spans="1:33" ht="28.9">
      <c r="A436" s="253" t="s">
        <v>4224</v>
      </c>
      <c r="B436" s="289"/>
      <c r="C436" s="189" t="s">
        <v>4135</v>
      </c>
      <c r="D436" s="2" t="s">
        <v>4225</v>
      </c>
      <c r="E436" s="2" t="s">
        <v>2710</v>
      </c>
      <c r="F436" s="2" t="s">
        <v>4208</v>
      </c>
      <c r="G436" s="2" t="s">
        <v>2712</v>
      </c>
      <c r="H436" s="2" t="s">
        <v>2713</v>
      </c>
      <c r="I436" s="2" t="s">
        <v>2714</v>
      </c>
      <c r="J436" s="2" t="s">
        <v>2715</v>
      </c>
      <c r="K436" s="2" t="s">
        <v>2716</v>
      </c>
      <c r="L436" s="6" t="s">
        <v>1367</v>
      </c>
      <c r="M436" s="21" t="s">
        <v>1368</v>
      </c>
      <c r="N436" s="21" t="s">
        <v>1369</v>
      </c>
      <c r="P436" s="21" t="s">
        <v>1371</v>
      </c>
    </row>
    <row r="437" spans="1:33" ht="28.9">
      <c r="A437" s="253" t="s">
        <v>4226</v>
      </c>
      <c r="B437" s="289"/>
      <c r="C437" s="189" t="s">
        <v>4135</v>
      </c>
      <c r="D437" s="2" t="s">
        <v>2718</v>
      </c>
      <c r="E437" s="2" t="s">
        <v>2719</v>
      </c>
      <c r="F437" s="2" t="s">
        <v>2720</v>
      </c>
      <c r="G437" s="2" t="s">
        <v>4227</v>
      </c>
      <c r="H437" s="2" t="s">
        <v>4228</v>
      </c>
      <c r="I437" s="2" t="s">
        <v>2723</v>
      </c>
      <c r="J437" s="2" t="s">
        <v>2724</v>
      </c>
      <c r="K437" s="2" t="s">
        <v>2723</v>
      </c>
      <c r="L437" s="6" t="s">
        <v>1367</v>
      </c>
      <c r="M437" s="21" t="s">
        <v>1368</v>
      </c>
      <c r="N437" s="21" t="s">
        <v>4073</v>
      </c>
      <c r="P437" s="21" t="s">
        <v>22</v>
      </c>
    </row>
    <row r="438" spans="1:33" ht="28.9">
      <c r="A438" s="253" t="s">
        <v>4229</v>
      </c>
      <c r="B438" s="289"/>
      <c r="C438" s="189" t="s">
        <v>4135</v>
      </c>
      <c r="D438" s="2" t="s">
        <v>4230</v>
      </c>
      <c r="E438" s="2" t="s">
        <v>2727</v>
      </c>
      <c r="F438" s="2" t="s">
        <v>2728</v>
      </c>
      <c r="G438" s="2" t="s">
        <v>2729</v>
      </c>
      <c r="H438" s="2" t="s">
        <v>4228</v>
      </c>
      <c r="I438" s="2" t="s">
        <v>4231</v>
      </c>
      <c r="J438" s="2" t="s">
        <v>2731</v>
      </c>
      <c r="K438" s="2" t="s">
        <v>2732</v>
      </c>
      <c r="L438" s="6" t="s">
        <v>1367</v>
      </c>
      <c r="M438" s="21" t="s">
        <v>1368</v>
      </c>
      <c r="N438" s="21" t="s">
        <v>1369</v>
      </c>
      <c r="P438" s="21" t="s">
        <v>1393</v>
      </c>
    </row>
    <row r="439" spans="1:33" ht="28.9">
      <c r="A439" s="253" t="s">
        <v>4232</v>
      </c>
      <c r="B439" s="289"/>
      <c r="C439" s="189" t="s">
        <v>4135</v>
      </c>
      <c r="D439" s="2" t="s">
        <v>4233</v>
      </c>
      <c r="E439" s="2" t="s">
        <v>2735</v>
      </c>
      <c r="F439" s="2" t="s">
        <v>2732</v>
      </c>
      <c r="G439" s="2" t="s">
        <v>4234</v>
      </c>
      <c r="H439" s="2" t="s">
        <v>4235</v>
      </c>
      <c r="I439" s="2" t="s">
        <v>2738</v>
      </c>
      <c r="J439" s="2" t="s">
        <v>2739</v>
      </c>
      <c r="K439" s="2" t="s">
        <v>2740</v>
      </c>
      <c r="L439" s="6" t="s">
        <v>1367</v>
      </c>
      <c r="M439" s="21" t="s">
        <v>1368</v>
      </c>
      <c r="N439" s="21" t="s">
        <v>4073</v>
      </c>
      <c r="P439" s="21" t="s">
        <v>22</v>
      </c>
    </row>
    <row r="440" spans="1:33" ht="28.9">
      <c r="A440" s="253" t="s">
        <v>4236</v>
      </c>
      <c r="B440" s="289"/>
      <c r="C440" s="21" t="s">
        <v>4135</v>
      </c>
      <c r="D440" s="2" t="s">
        <v>4237</v>
      </c>
      <c r="E440" s="2" t="s">
        <v>2743</v>
      </c>
      <c r="F440" s="2" t="s">
        <v>2732</v>
      </c>
      <c r="G440" s="2" t="s">
        <v>4238</v>
      </c>
      <c r="H440" s="2" t="s">
        <v>4228</v>
      </c>
      <c r="I440" s="2" t="s">
        <v>2630</v>
      </c>
      <c r="J440" s="2" t="s">
        <v>2745</v>
      </c>
      <c r="K440" s="2" t="s">
        <v>2630</v>
      </c>
      <c r="L440" s="6" t="s">
        <v>1367</v>
      </c>
      <c r="M440" s="21" t="s">
        <v>1368</v>
      </c>
      <c r="N440" s="21" t="s">
        <v>1369</v>
      </c>
      <c r="P440" s="21" t="s">
        <v>1371</v>
      </c>
    </row>
    <row r="441" spans="1:33" ht="43.15">
      <c r="A441" s="253" t="s">
        <v>4239</v>
      </c>
      <c r="B441" s="289"/>
      <c r="C441" s="189" t="s">
        <v>4135</v>
      </c>
      <c r="D441" s="2" t="s">
        <v>4240</v>
      </c>
      <c r="E441" s="2" t="s">
        <v>2748</v>
      </c>
      <c r="F441" s="2" t="s">
        <v>4208</v>
      </c>
      <c r="G441" s="2" t="s">
        <v>4241</v>
      </c>
      <c r="H441" s="2" t="s">
        <v>4242</v>
      </c>
      <c r="I441" s="2" t="s">
        <v>4243</v>
      </c>
      <c r="J441" s="2" t="s">
        <v>2752</v>
      </c>
      <c r="K441" s="2" t="s">
        <v>4244</v>
      </c>
      <c r="L441" s="6" t="s">
        <v>1367</v>
      </c>
      <c r="M441" s="21" t="s">
        <v>1368</v>
      </c>
      <c r="N441" s="21" t="s">
        <v>4073</v>
      </c>
      <c r="P441" s="21" t="s">
        <v>22</v>
      </c>
    </row>
    <row r="442" spans="1:33" ht="43.15">
      <c r="A442" s="253" t="s">
        <v>4245</v>
      </c>
      <c r="B442" s="289"/>
      <c r="C442" s="189" t="s">
        <v>4135</v>
      </c>
      <c r="D442" s="2" t="s">
        <v>4246</v>
      </c>
      <c r="E442" s="2" t="s">
        <v>2756</v>
      </c>
      <c r="F442" s="2" t="s">
        <v>4247</v>
      </c>
      <c r="G442" s="2" t="s">
        <v>2758</v>
      </c>
      <c r="H442" s="2" t="s">
        <v>4228</v>
      </c>
      <c r="I442" s="2" t="s">
        <v>2759</v>
      </c>
      <c r="J442" s="2" t="s">
        <v>2760</v>
      </c>
      <c r="K442" s="2" t="s">
        <v>2761</v>
      </c>
      <c r="L442" s="6" t="s">
        <v>1367</v>
      </c>
      <c r="M442" s="21" t="s">
        <v>1368</v>
      </c>
      <c r="N442" s="21" t="s">
        <v>1369</v>
      </c>
      <c r="P442" s="21" t="s">
        <v>22</v>
      </c>
    </row>
    <row r="443" spans="1:33" ht="43.15">
      <c r="A443" s="253" t="s">
        <v>4248</v>
      </c>
      <c r="B443" s="289"/>
      <c r="C443" s="189" t="s">
        <v>4135</v>
      </c>
      <c r="D443" s="2" t="s">
        <v>4249</v>
      </c>
      <c r="E443" s="2" t="s">
        <v>4250</v>
      </c>
      <c r="F443" s="2" t="s">
        <v>4208</v>
      </c>
      <c r="G443" s="2" t="s">
        <v>4251</v>
      </c>
      <c r="H443" s="2" t="s">
        <v>4242</v>
      </c>
      <c r="I443" s="2" t="s">
        <v>4252</v>
      </c>
      <c r="J443" s="2" t="s">
        <v>2767</v>
      </c>
      <c r="K443" s="2" t="s">
        <v>4231</v>
      </c>
      <c r="L443" s="6" t="s">
        <v>1367</v>
      </c>
      <c r="M443" s="21" t="s">
        <v>1368</v>
      </c>
      <c r="N443" s="21" t="s">
        <v>1369</v>
      </c>
      <c r="P443" s="21" t="s">
        <v>1393</v>
      </c>
    </row>
    <row r="444" spans="1:33" ht="43.15">
      <c r="A444" s="253" t="s">
        <v>4253</v>
      </c>
      <c r="B444" s="289"/>
      <c r="C444" s="189" t="s">
        <v>4135</v>
      </c>
      <c r="D444" s="2" t="s">
        <v>4254</v>
      </c>
      <c r="E444" s="2" t="s">
        <v>2771</v>
      </c>
      <c r="F444" s="2" t="s">
        <v>4255</v>
      </c>
      <c r="G444" s="2" t="s">
        <v>2773</v>
      </c>
      <c r="H444" s="2" t="s">
        <v>2774</v>
      </c>
      <c r="I444" s="2" t="s">
        <v>4256</v>
      </c>
      <c r="J444" s="2" t="s">
        <v>2776</v>
      </c>
      <c r="K444" s="2" t="s">
        <v>2777</v>
      </c>
      <c r="L444" s="6" t="s">
        <v>1367</v>
      </c>
      <c r="M444" s="21" t="s">
        <v>1368</v>
      </c>
      <c r="N444" s="21" t="s">
        <v>1369</v>
      </c>
      <c r="P444" s="21" t="s">
        <v>1371</v>
      </c>
    </row>
    <row r="445" spans="1:33" ht="43.15">
      <c r="A445" s="253" t="s">
        <v>4257</v>
      </c>
      <c r="B445" s="289"/>
      <c r="C445" s="189" t="s">
        <v>4135</v>
      </c>
      <c r="D445" s="2" t="s">
        <v>4258</v>
      </c>
      <c r="E445" s="2" t="s">
        <v>2780</v>
      </c>
      <c r="F445" s="2" t="s">
        <v>4259</v>
      </c>
      <c r="G445" s="2" t="s">
        <v>4260</v>
      </c>
      <c r="H445" s="2" t="s">
        <v>1442</v>
      </c>
      <c r="I445" s="2" t="s">
        <v>2783</v>
      </c>
      <c r="J445" s="2" t="s">
        <v>2784</v>
      </c>
      <c r="K445" s="2" t="s">
        <v>2785</v>
      </c>
      <c r="L445" s="6" t="s">
        <v>1367</v>
      </c>
      <c r="M445" s="21" t="s">
        <v>1368</v>
      </c>
      <c r="N445" s="21" t="s">
        <v>1369</v>
      </c>
      <c r="P445" s="21" t="s">
        <v>1371</v>
      </c>
    </row>
    <row r="446" spans="1:33" ht="28.9">
      <c r="A446" s="253" t="s">
        <v>4261</v>
      </c>
      <c r="B446" s="289"/>
      <c r="C446" s="189" t="s">
        <v>4135</v>
      </c>
      <c r="D446" s="2" t="s">
        <v>2787</v>
      </c>
      <c r="E446" s="2" t="s">
        <v>4262</v>
      </c>
      <c r="F446" s="2" t="s">
        <v>4263</v>
      </c>
      <c r="G446" s="2" t="s">
        <v>4264</v>
      </c>
      <c r="H446" s="2" t="s">
        <v>1442</v>
      </c>
      <c r="I446" s="2" t="s">
        <v>2791</v>
      </c>
      <c r="J446" s="2" t="s">
        <v>2792</v>
      </c>
      <c r="K446" s="2" t="s">
        <v>2793</v>
      </c>
      <c r="L446" s="6" t="s">
        <v>1367</v>
      </c>
      <c r="M446" s="21" t="s">
        <v>1368</v>
      </c>
      <c r="N446" s="21" t="s">
        <v>4073</v>
      </c>
      <c r="P446" s="21" t="s">
        <v>1481</v>
      </c>
      <c r="AG446" s="78"/>
    </row>
    <row r="447" spans="1:33" s="45" customFormat="1">
      <c r="A447" s="247"/>
      <c r="B447" s="289"/>
      <c r="C447" s="186"/>
      <c r="D447" s="44"/>
      <c r="E447" s="44"/>
      <c r="F447" s="44"/>
      <c r="G447" s="44"/>
      <c r="H447" s="44"/>
      <c r="I447" s="44"/>
      <c r="J447" s="44"/>
      <c r="K447" s="44"/>
      <c r="L447" s="81"/>
      <c r="M447" s="78"/>
      <c r="P447" s="78"/>
      <c r="Q447" s="78"/>
      <c r="R447" s="303"/>
      <c r="W447" s="81"/>
      <c r="X447" s="81"/>
      <c r="AG447" s="21"/>
    </row>
    <row r="448" spans="1:33" s="15" customFormat="1" ht="28.9">
      <c r="A448" s="253" t="s">
        <v>4265</v>
      </c>
      <c r="B448" s="289"/>
      <c r="C448" s="189" t="s">
        <v>4266</v>
      </c>
      <c r="D448" s="2" t="s">
        <v>4267</v>
      </c>
      <c r="E448" s="2" t="s">
        <v>4268</v>
      </c>
      <c r="F448" s="15" t="s">
        <v>3094</v>
      </c>
      <c r="G448" s="15" t="s">
        <v>4269</v>
      </c>
      <c r="H448" s="15" t="s">
        <v>3096</v>
      </c>
      <c r="I448" s="15" t="s">
        <v>4270</v>
      </c>
      <c r="J448" s="15" t="s">
        <v>1442</v>
      </c>
      <c r="K448" s="15" t="s">
        <v>4271</v>
      </c>
      <c r="L448" s="1" t="s">
        <v>1367</v>
      </c>
      <c r="M448" s="21" t="s">
        <v>1425</v>
      </c>
      <c r="N448" s="15" t="s">
        <v>1369</v>
      </c>
      <c r="Q448" s="21"/>
      <c r="W448" s="81"/>
      <c r="X448" s="81"/>
      <c r="AG448" s="21"/>
    </row>
    <row r="449" spans="1:33" ht="28.9">
      <c r="A449" s="253" t="s">
        <v>4272</v>
      </c>
      <c r="B449" s="289"/>
      <c r="C449" s="189" t="s">
        <v>4266</v>
      </c>
      <c r="D449" s="2" t="s">
        <v>4273</v>
      </c>
      <c r="E449" s="2" t="s">
        <v>4274</v>
      </c>
      <c r="F449" s="15" t="s">
        <v>4275</v>
      </c>
      <c r="G449" s="9" t="s">
        <v>4276</v>
      </c>
      <c r="H449" s="15" t="s">
        <v>4277</v>
      </c>
      <c r="I449" s="15" t="s">
        <v>4278</v>
      </c>
      <c r="J449" s="15" t="s">
        <v>1442</v>
      </c>
      <c r="K449" s="15" t="s">
        <v>4278</v>
      </c>
      <c r="L449" s="6" t="s">
        <v>1367</v>
      </c>
      <c r="M449" s="21" t="s">
        <v>1425</v>
      </c>
      <c r="N449" s="21" t="s">
        <v>1369</v>
      </c>
      <c r="W449" s="1"/>
      <c r="X449" s="1"/>
    </row>
    <row r="450" spans="1:33" s="15" customFormat="1" ht="43.15">
      <c r="A450" s="253" t="s">
        <v>4279</v>
      </c>
      <c r="B450" s="289"/>
      <c r="C450" s="189" t="s">
        <v>4266</v>
      </c>
      <c r="D450" s="2" t="s">
        <v>4280</v>
      </c>
      <c r="E450" s="2" t="s">
        <v>4281</v>
      </c>
      <c r="F450" s="15" t="s">
        <v>4275</v>
      </c>
      <c r="G450" s="9" t="s">
        <v>4282</v>
      </c>
      <c r="H450" s="15" t="s">
        <v>1442</v>
      </c>
      <c r="I450" s="15" t="s">
        <v>4283</v>
      </c>
      <c r="J450" s="15" t="s">
        <v>1442</v>
      </c>
      <c r="K450" s="15" t="s">
        <v>4283</v>
      </c>
      <c r="L450" s="1" t="s">
        <v>1367</v>
      </c>
      <c r="M450" s="21" t="s">
        <v>1425</v>
      </c>
      <c r="N450" s="15" t="s">
        <v>1369</v>
      </c>
      <c r="Q450" s="21"/>
      <c r="W450" s="6"/>
      <c r="X450" s="6"/>
      <c r="AG450" s="21"/>
    </row>
    <row r="451" spans="1:33" ht="28.9">
      <c r="A451" s="253" t="s">
        <v>4284</v>
      </c>
      <c r="B451" s="289"/>
      <c r="C451" s="189" t="s">
        <v>4266</v>
      </c>
      <c r="D451" s="2" t="s">
        <v>2194</v>
      </c>
      <c r="E451" s="2" t="s">
        <v>4285</v>
      </c>
      <c r="F451" s="15" t="s">
        <v>4286</v>
      </c>
      <c r="G451" s="9" t="s">
        <v>4287</v>
      </c>
      <c r="H451" s="15" t="s">
        <v>4288</v>
      </c>
      <c r="I451" s="15" t="s">
        <v>4289</v>
      </c>
      <c r="J451" s="15" t="s">
        <v>1442</v>
      </c>
      <c r="K451" s="15" t="s">
        <v>4290</v>
      </c>
      <c r="L451" s="6" t="s">
        <v>1381</v>
      </c>
      <c r="M451" s="21" t="s">
        <v>1425</v>
      </c>
      <c r="N451" s="21" t="s">
        <v>4073</v>
      </c>
      <c r="R451" s="5" t="s">
        <v>4291</v>
      </c>
      <c r="W451" s="1"/>
      <c r="X451" s="1"/>
    </row>
    <row r="452" spans="1:33" ht="43.15">
      <c r="A452" s="253" t="s">
        <v>4292</v>
      </c>
      <c r="B452" s="289"/>
      <c r="C452" s="189" t="s">
        <v>4266</v>
      </c>
      <c r="D452" s="2" t="s">
        <v>4293</v>
      </c>
      <c r="E452" s="2" t="s">
        <v>4294</v>
      </c>
      <c r="F452" s="15" t="s">
        <v>4295</v>
      </c>
      <c r="G452" s="15" t="s">
        <v>4296</v>
      </c>
      <c r="H452" s="15" t="s">
        <v>4297</v>
      </c>
      <c r="I452" s="15" t="s">
        <v>4298</v>
      </c>
      <c r="J452" s="15" t="s">
        <v>4299</v>
      </c>
      <c r="K452" s="15" t="s">
        <v>4300</v>
      </c>
      <c r="L452" s="6" t="s">
        <v>1381</v>
      </c>
      <c r="M452" s="21" t="s">
        <v>1425</v>
      </c>
      <c r="N452" s="21" t="s">
        <v>4073</v>
      </c>
      <c r="R452" s="5" t="s">
        <v>4301</v>
      </c>
    </row>
    <row r="453" spans="1:33" ht="43.15">
      <c r="A453" s="253" t="s">
        <v>4302</v>
      </c>
      <c r="B453" s="289"/>
      <c r="C453" s="189" t="s">
        <v>4266</v>
      </c>
      <c r="D453" s="2" t="s">
        <v>4303</v>
      </c>
      <c r="E453" s="2" t="s">
        <v>4304</v>
      </c>
      <c r="F453" s="15" t="s">
        <v>4275</v>
      </c>
      <c r="G453" s="15" t="s">
        <v>4305</v>
      </c>
      <c r="H453" s="15" t="s">
        <v>4306</v>
      </c>
      <c r="I453" s="15" t="s">
        <v>4307</v>
      </c>
      <c r="J453" s="15" t="s">
        <v>4308</v>
      </c>
      <c r="K453" s="15" t="s">
        <v>4307</v>
      </c>
      <c r="L453" s="6" t="s">
        <v>1367</v>
      </c>
      <c r="M453" s="21" t="s">
        <v>1425</v>
      </c>
      <c r="N453" s="21" t="s">
        <v>1369</v>
      </c>
    </row>
    <row r="454" spans="1:33" ht="28.9">
      <c r="A454" s="253" t="s">
        <v>4309</v>
      </c>
      <c r="B454" s="289"/>
      <c r="C454" s="189" t="s">
        <v>4266</v>
      </c>
      <c r="D454" s="2" t="s">
        <v>4310</v>
      </c>
      <c r="E454" s="2" t="s">
        <v>4311</v>
      </c>
      <c r="F454" s="15" t="s">
        <v>4312</v>
      </c>
      <c r="G454" s="9" t="s">
        <v>4313</v>
      </c>
      <c r="H454" s="15" t="s">
        <v>4306</v>
      </c>
      <c r="I454" s="15" t="s">
        <v>4314</v>
      </c>
      <c r="J454" s="15" t="s">
        <v>1442</v>
      </c>
      <c r="K454" s="15" t="s">
        <v>4314</v>
      </c>
      <c r="L454" s="6" t="s">
        <v>1367</v>
      </c>
      <c r="M454" s="21" t="s">
        <v>1425</v>
      </c>
      <c r="N454" s="21" t="s">
        <v>1369</v>
      </c>
    </row>
    <row r="455" spans="1:33" ht="28.9">
      <c r="A455" s="253" t="s">
        <v>4315</v>
      </c>
      <c r="B455" s="289"/>
      <c r="C455" s="189" t="s">
        <v>4266</v>
      </c>
      <c r="D455" s="2" t="s">
        <v>4316</v>
      </c>
      <c r="E455" s="2" t="s">
        <v>4317</v>
      </c>
      <c r="F455" s="15" t="s">
        <v>4318</v>
      </c>
      <c r="G455" s="15" t="s">
        <v>4319</v>
      </c>
      <c r="H455" s="15" t="s">
        <v>4306</v>
      </c>
      <c r="I455" s="15" t="s">
        <v>4320</v>
      </c>
      <c r="J455" s="15" t="s">
        <v>4321</v>
      </c>
      <c r="K455" s="15" t="s">
        <v>4322</v>
      </c>
      <c r="L455" s="6" t="s">
        <v>1367</v>
      </c>
      <c r="M455" s="21" t="s">
        <v>1425</v>
      </c>
      <c r="N455" s="21" t="s">
        <v>1369</v>
      </c>
    </row>
    <row r="456" spans="1:33">
      <c r="A456" s="253" t="s">
        <v>4323</v>
      </c>
      <c r="B456" s="289"/>
      <c r="C456" s="189" t="s">
        <v>4266</v>
      </c>
      <c r="D456" s="2" t="s">
        <v>4324</v>
      </c>
      <c r="E456" s="2" t="s">
        <v>4325</v>
      </c>
      <c r="F456" s="15" t="s">
        <v>4275</v>
      </c>
      <c r="G456" s="9" t="s">
        <v>4326</v>
      </c>
      <c r="H456" s="15" t="s">
        <v>1442</v>
      </c>
      <c r="I456" s="15" t="s">
        <v>4327</v>
      </c>
      <c r="J456" s="15" t="s">
        <v>4328</v>
      </c>
      <c r="K456" s="178" t="s">
        <v>4327</v>
      </c>
      <c r="L456" s="6" t="s">
        <v>1367</v>
      </c>
      <c r="M456" s="21" t="s">
        <v>1425</v>
      </c>
      <c r="N456" s="21" t="s">
        <v>1369</v>
      </c>
    </row>
    <row r="457" spans="1:33" ht="43.15">
      <c r="A457" s="253" t="s">
        <v>4329</v>
      </c>
      <c r="B457" s="289"/>
      <c r="C457" s="189" t="s">
        <v>4266</v>
      </c>
      <c r="D457" s="2" t="s">
        <v>4330</v>
      </c>
      <c r="E457" s="2" t="s">
        <v>4331</v>
      </c>
      <c r="F457" s="2" t="s">
        <v>4332</v>
      </c>
      <c r="G457" s="2" t="s">
        <v>4333</v>
      </c>
      <c r="H457" s="2" t="s">
        <v>4334</v>
      </c>
      <c r="I457" s="15" t="s">
        <v>4335</v>
      </c>
      <c r="J457" s="15" t="s">
        <v>4336</v>
      </c>
      <c r="K457" s="15" t="s">
        <v>4335</v>
      </c>
      <c r="L457" s="6" t="s">
        <v>1367</v>
      </c>
      <c r="M457" s="21" t="s">
        <v>1425</v>
      </c>
      <c r="N457" s="21" t="s">
        <v>1369</v>
      </c>
    </row>
    <row r="458" spans="1:33" ht="30">
      <c r="A458" s="253" t="s">
        <v>4337</v>
      </c>
      <c r="B458" s="289"/>
      <c r="C458" s="189" t="s">
        <v>4266</v>
      </c>
      <c r="D458" s="2" t="s">
        <v>4338</v>
      </c>
      <c r="E458" s="2" t="s">
        <v>4339</v>
      </c>
      <c r="F458" s="2" t="s">
        <v>4332</v>
      </c>
      <c r="G458" s="2" t="s">
        <v>4340</v>
      </c>
      <c r="H458" s="2" t="s">
        <v>4341</v>
      </c>
      <c r="I458" s="321" t="s">
        <v>4342</v>
      </c>
      <c r="J458" s="15"/>
      <c r="K458" s="321" t="s">
        <v>4343</v>
      </c>
      <c r="L458" s="6" t="s">
        <v>1367</v>
      </c>
      <c r="M458" s="21" t="s">
        <v>1425</v>
      </c>
      <c r="N458" s="21" t="s">
        <v>1369</v>
      </c>
    </row>
    <row r="459" spans="1:33" ht="43.15">
      <c r="A459" s="253" t="s">
        <v>4344</v>
      </c>
      <c r="B459" s="289"/>
      <c r="C459" s="189" t="s">
        <v>4266</v>
      </c>
      <c r="D459" s="2" t="s">
        <v>4345</v>
      </c>
      <c r="E459" s="2" t="s">
        <v>4346</v>
      </c>
      <c r="F459" s="15" t="s">
        <v>4347</v>
      </c>
      <c r="G459" s="15" t="s">
        <v>4348</v>
      </c>
      <c r="H459" s="15" t="s">
        <v>2595</v>
      </c>
      <c r="I459" s="15" t="s">
        <v>4349</v>
      </c>
      <c r="J459" s="15" t="s">
        <v>4350</v>
      </c>
      <c r="K459" s="15" t="s">
        <v>4349</v>
      </c>
      <c r="L459" s="6" t="s">
        <v>1367</v>
      </c>
      <c r="M459" s="21" t="s">
        <v>1425</v>
      </c>
      <c r="N459" s="21" t="s">
        <v>1369</v>
      </c>
    </row>
    <row r="460" spans="1:33">
      <c r="A460" s="253" t="s">
        <v>4351</v>
      </c>
      <c r="B460" s="289"/>
      <c r="C460" s="189" t="s">
        <v>4266</v>
      </c>
      <c r="D460" s="2" t="s">
        <v>4352</v>
      </c>
      <c r="E460" s="2" t="s">
        <v>4353</v>
      </c>
      <c r="F460" s="15" t="s">
        <v>4354</v>
      </c>
      <c r="G460" s="9" t="s">
        <v>4355</v>
      </c>
      <c r="H460" s="15" t="s">
        <v>2595</v>
      </c>
      <c r="I460" s="15" t="s">
        <v>4349</v>
      </c>
      <c r="J460" s="15" t="s">
        <v>4350</v>
      </c>
      <c r="K460" s="15" t="s">
        <v>4349</v>
      </c>
      <c r="L460" s="6" t="s">
        <v>1367</v>
      </c>
      <c r="M460" s="21" t="s">
        <v>1425</v>
      </c>
      <c r="N460" s="21" t="s">
        <v>4073</v>
      </c>
    </row>
    <row r="461" spans="1:33" ht="28.9">
      <c r="A461" s="253" t="s">
        <v>4356</v>
      </c>
      <c r="B461" s="289"/>
      <c r="C461" s="189" t="s">
        <v>4266</v>
      </c>
      <c r="D461" s="2" t="s">
        <v>4357</v>
      </c>
      <c r="E461" s="134" t="s">
        <v>4358</v>
      </c>
      <c r="F461" s="15" t="s">
        <v>4359</v>
      </c>
      <c r="G461" s="15" t="s">
        <v>4360</v>
      </c>
      <c r="H461" s="15" t="s">
        <v>4361</v>
      </c>
      <c r="I461" s="15" t="s">
        <v>4362</v>
      </c>
      <c r="J461" s="15" t="s">
        <v>4363</v>
      </c>
      <c r="K461" s="178" t="s">
        <v>4364</v>
      </c>
      <c r="L461" s="6" t="s">
        <v>1367</v>
      </c>
      <c r="M461" s="21" t="s">
        <v>1425</v>
      </c>
      <c r="N461" s="21" t="s">
        <v>1369</v>
      </c>
    </row>
    <row r="462" spans="1:33" ht="72">
      <c r="A462" s="253" t="s">
        <v>4365</v>
      </c>
      <c r="B462" s="289"/>
      <c r="C462" s="189" t="s">
        <v>4266</v>
      </c>
      <c r="D462" s="2" t="s">
        <v>4366</v>
      </c>
      <c r="E462" s="134" t="s">
        <v>4367</v>
      </c>
      <c r="F462" s="15" t="s">
        <v>4359</v>
      </c>
      <c r="G462" s="15" t="s">
        <v>4368</v>
      </c>
      <c r="H462" s="15" t="s">
        <v>4369</v>
      </c>
      <c r="I462" s="15" t="s">
        <v>4370</v>
      </c>
      <c r="J462" s="15" t="s">
        <v>4363</v>
      </c>
      <c r="K462" s="178" t="s">
        <v>4370</v>
      </c>
      <c r="L462" s="6" t="s">
        <v>1381</v>
      </c>
      <c r="M462" s="21" t="s">
        <v>1425</v>
      </c>
      <c r="N462" s="21" t="s">
        <v>4073</v>
      </c>
    </row>
    <row r="463" spans="1:33" ht="28.9">
      <c r="A463" s="253" t="s">
        <v>4371</v>
      </c>
      <c r="B463" s="289"/>
      <c r="C463" s="189" t="s">
        <v>4266</v>
      </c>
      <c r="D463" s="2" t="s">
        <v>4372</v>
      </c>
      <c r="E463" s="2" t="s">
        <v>4373</v>
      </c>
      <c r="F463" s="2" t="s">
        <v>4374</v>
      </c>
      <c r="G463" s="21" t="s">
        <v>4375</v>
      </c>
      <c r="H463" s="2" t="s">
        <v>4376</v>
      </c>
      <c r="I463" s="2" t="s">
        <v>4377</v>
      </c>
      <c r="J463" s="2" t="s">
        <v>4378</v>
      </c>
      <c r="K463" s="2" t="s">
        <v>4377</v>
      </c>
      <c r="L463" s="6" t="s">
        <v>1367</v>
      </c>
      <c r="M463" s="21" t="s">
        <v>1425</v>
      </c>
      <c r="N463" s="21" t="s">
        <v>1369</v>
      </c>
    </row>
    <row r="464" spans="1:33">
      <c r="A464" s="253" t="s">
        <v>4379</v>
      </c>
      <c r="B464" s="289"/>
      <c r="C464" s="189" t="s">
        <v>4266</v>
      </c>
      <c r="D464" s="2" t="s">
        <v>4380</v>
      </c>
      <c r="E464" s="2" t="s">
        <v>4381</v>
      </c>
      <c r="F464" s="2" t="s">
        <v>4382</v>
      </c>
      <c r="G464" s="21" t="s">
        <v>4383</v>
      </c>
      <c r="H464" s="2" t="s">
        <v>4384</v>
      </c>
      <c r="I464" s="2" t="s">
        <v>4385</v>
      </c>
      <c r="J464" s="2" t="s">
        <v>4386</v>
      </c>
      <c r="K464" s="178" t="s">
        <v>4385</v>
      </c>
      <c r="L464" s="6" t="s">
        <v>1367</v>
      </c>
      <c r="M464" s="21" t="s">
        <v>1425</v>
      </c>
      <c r="N464" s="21" t="s">
        <v>4073</v>
      </c>
    </row>
    <row r="465" spans="1:33" ht="72">
      <c r="A465" s="253" t="s">
        <v>4387</v>
      </c>
      <c r="B465" s="289"/>
      <c r="C465" s="189" t="s">
        <v>4266</v>
      </c>
      <c r="D465" s="2" t="s">
        <v>4388</v>
      </c>
      <c r="E465" s="134" t="s">
        <v>4389</v>
      </c>
      <c r="F465" s="2" t="s">
        <v>4382</v>
      </c>
      <c r="G465" s="15" t="s">
        <v>4390</v>
      </c>
      <c r="H465" s="15" t="s">
        <v>4391</v>
      </c>
      <c r="I465" s="15" t="s">
        <v>4392</v>
      </c>
      <c r="J465" s="15" t="s">
        <v>4393</v>
      </c>
      <c r="K465" s="134" t="s">
        <v>4392</v>
      </c>
      <c r="L465" s="6" t="s">
        <v>1367</v>
      </c>
      <c r="M465" s="21" t="s">
        <v>1425</v>
      </c>
      <c r="N465" s="21" t="s">
        <v>4073</v>
      </c>
    </row>
    <row r="466" spans="1:33" ht="43.15">
      <c r="A466" s="253" t="s">
        <v>4394</v>
      </c>
      <c r="B466" s="289"/>
      <c r="C466" s="189" t="s">
        <v>4266</v>
      </c>
      <c r="D466" s="2" t="s">
        <v>4395</v>
      </c>
      <c r="E466" s="2" t="s">
        <v>4396</v>
      </c>
      <c r="F466" s="2" t="s">
        <v>4397</v>
      </c>
      <c r="G466" s="2" t="s">
        <v>4398</v>
      </c>
      <c r="H466" s="2" t="s">
        <v>4399</v>
      </c>
      <c r="I466" s="2" t="s">
        <v>1796</v>
      </c>
      <c r="J466" s="2" t="s">
        <v>4400</v>
      </c>
      <c r="K466" s="134" t="s">
        <v>1796</v>
      </c>
      <c r="L466" s="6" t="s">
        <v>1367</v>
      </c>
      <c r="M466" s="21" t="s">
        <v>1425</v>
      </c>
      <c r="N466" s="21" t="s">
        <v>1369</v>
      </c>
    </row>
    <row r="467" spans="1:33">
      <c r="A467" s="253" t="s">
        <v>4401</v>
      </c>
      <c r="B467" s="289"/>
      <c r="C467" s="189" t="s">
        <v>4266</v>
      </c>
      <c r="D467" s="2" t="s">
        <v>4402</v>
      </c>
      <c r="E467" s="2" t="s">
        <v>4403</v>
      </c>
      <c r="F467" s="2" t="s">
        <v>4400</v>
      </c>
      <c r="G467" s="21" t="s">
        <v>4404</v>
      </c>
      <c r="H467" s="2" t="s">
        <v>4405</v>
      </c>
      <c r="I467" s="2" t="s">
        <v>4406</v>
      </c>
      <c r="J467" s="2" t="s">
        <v>3172</v>
      </c>
      <c r="K467" s="2" t="s">
        <v>4406</v>
      </c>
      <c r="L467" s="6" t="s">
        <v>1367</v>
      </c>
      <c r="M467" s="21" t="s">
        <v>1425</v>
      </c>
      <c r="N467" s="21" t="s">
        <v>1369</v>
      </c>
    </row>
    <row r="468" spans="1:33" ht="28.9">
      <c r="A468" s="253" t="s">
        <v>4407</v>
      </c>
      <c r="B468" s="289"/>
      <c r="C468" s="189" t="s">
        <v>4266</v>
      </c>
      <c r="D468" s="2" t="s">
        <v>4408</v>
      </c>
      <c r="E468" s="2" t="s">
        <v>4409</v>
      </c>
      <c r="F468" s="2" t="s">
        <v>4410</v>
      </c>
      <c r="G468" s="21" t="s">
        <v>4411</v>
      </c>
      <c r="H468" s="15" t="s">
        <v>4412</v>
      </c>
      <c r="I468" s="15" t="s">
        <v>4413</v>
      </c>
      <c r="J468" s="15" t="s">
        <v>4414</v>
      </c>
      <c r="K468" s="134" t="s">
        <v>4413</v>
      </c>
      <c r="L468" s="6" t="s">
        <v>1367</v>
      </c>
      <c r="M468" s="21" t="s">
        <v>1425</v>
      </c>
      <c r="N468" s="21" t="s">
        <v>1369</v>
      </c>
    </row>
    <row r="469" spans="1:33" ht="28.9">
      <c r="A469" s="253" t="s">
        <v>4415</v>
      </c>
      <c r="B469" s="289"/>
      <c r="C469" s="189" t="s">
        <v>4266</v>
      </c>
      <c r="D469" s="2" t="s">
        <v>4293</v>
      </c>
      <c r="E469" s="2" t="s">
        <v>4416</v>
      </c>
      <c r="F469" s="15" t="s">
        <v>4417</v>
      </c>
      <c r="G469" s="15" t="s">
        <v>4418</v>
      </c>
      <c r="H469" s="15" t="s">
        <v>4419</v>
      </c>
      <c r="I469" s="15" t="s">
        <v>4298</v>
      </c>
      <c r="J469" s="15" t="s">
        <v>4299</v>
      </c>
      <c r="K469" s="15" t="s">
        <v>4298</v>
      </c>
      <c r="L469" s="6" t="s">
        <v>1367</v>
      </c>
      <c r="M469" s="21" t="s">
        <v>1425</v>
      </c>
      <c r="N469" s="21" t="s">
        <v>4073</v>
      </c>
    </row>
    <row r="470" spans="1:33" ht="43.15">
      <c r="A470" s="253" t="s">
        <v>4420</v>
      </c>
      <c r="B470" s="289"/>
      <c r="C470" s="189" t="s">
        <v>4266</v>
      </c>
      <c r="D470" s="2" t="s">
        <v>4421</v>
      </c>
      <c r="E470" s="2" t="s">
        <v>4422</v>
      </c>
      <c r="F470" s="2" t="s">
        <v>4397</v>
      </c>
      <c r="G470" s="2" t="s">
        <v>4423</v>
      </c>
      <c r="H470" s="2" t="s">
        <v>4412</v>
      </c>
      <c r="I470" s="2" t="s">
        <v>4424</v>
      </c>
      <c r="J470" s="2" t="s">
        <v>4425</v>
      </c>
      <c r="K470" s="2" t="s">
        <v>4424</v>
      </c>
      <c r="L470" s="6" t="s">
        <v>1367</v>
      </c>
      <c r="M470" s="21" t="s">
        <v>1425</v>
      </c>
      <c r="N470" s="21" t="s">
        <v>1369</v>
      </c>
    </row>
    <row r="471" spans="1:33" ht="28.9">
      <c r="A471" s="253" t="s">
        <v>4426</v>
      </c>
      <c r="B471" s="289"/>
      <c r="C471" s="189" t="s">
        <v>4266</v>
      </c>
      <c r="D471" s="2" t="s">
        <v>4427</v>
      </c>
      <c r="E471" s="2" t="s">
        <v>4428</v>
      </c>
      <c r="F471" s="2" t="s">
        <v>4397</v>
      </c>
      <c r="G471" s="9" t="s">
        <v>4429</v>
      </c>
      <c r="H471" s="2" t="s">
        <v>4412</v>
      </c>
      <c r="I471" s="2" t="s">
        <v>4424</v>
      </c>
      <c r="J471" s="2" t="s">
        <v>4425</v>
      </c>
      <c r="K471" s="2" t="s">
        <v>4424</v>
      </c>
      <c r="L471" s="6" t="s">
        <v>1367</v>
      </c>
      <c r="M471" s="21" t="s">
        <v>1425</v>
      </c>
      <c r="N471" s="21" t="s">
        <v>4073</v>
      </c>
    </row>
    <row r="472" spans="1:33" ht="43.15">
      <c r="A472" s="253" t="s">
        <v>4430</v>
      </c>
      <c r="B472" s="289"/>
      <c r="C472" s="189" t="s">
        <v>4266</v>
      </c>
      <c r="D472" s="2" t="s">
        <v>4431</v>
      </c>
      <c r="E472" s="2" t="s">
        <v>4432</v>
      </c>
      <c r="F472" s="2" t="s">
        <v>4432</v>
      </c>
      <c r="G472" s="2" t="s">
        <v>4433</v>
      </c>
      <c r="H472" s="2" t="s">
        <v>4288</v>
      </c>
      <c r="I472" s="2" t="s">
        <v>4434</v>
      </c>
      <c r="J472" s="2" t="s">
        <v>4435</v>
      </c>
      <c r="K472" s="134" t="s">
        <v>4434</v>
      </c>
      <c r="L472" s="6" t="s">
        <v>1367</v>
      </c>
      <c r="M472" s="21" t="s">
        <v>1425</v>
      </c>
      <c r="N472" s="21" t="s">
        <v>1369</v>
      </c>
    </row>
    <row r="473" spans="1:33" ht="28.9">
      <c r="A473" s="253" t="s">
        <v>4436</v>
      </c>
      <c r="B473" s="289"/>
      <c r="C473" s="189" t="s">
        <v>4266</v>
      </c>
      <c r="D473" s="2" t="s">
        <v>4437</v>
      </c>
      <c r="E473" s="2" t="s">
        <v>4438</v>
      </c>
      <c r="F473" s="2" t="s">
        <v>4439</v>
      </c>
      <c r="G473" s="2" t="s">
        <v>4440</v>
      </c>
      <c r="I473" s="134" t="s">
        <v>2728</v>
      </c>
      <c r="J473" s="15" t="s">
        <v>4441</v>
      </c>
      <c r="K473" s="134" t="s">
        <v>2728</v>
      </c>
      <c r="L473" s="6" t="s">
        <v>1367</v>
      </c>
      <c r="M473" s="21" t="s">
        <v>1425</v>
      </c>
      <c r="N473" s="21" t="s">
        <v>4073</v>
      </c>
    </row>
    <row r="474" spans="1:33" ht="28.9">
      <c r="A474" s="253" t="s">
        <v>4442</v>
      </c>
      <c r="B474" s="289"/>
      <c r="C474" s="189" t="s">
        <v>4266</v>
      </c>
      <c r="D474" s="2" t="s">
        <v>4443</v>
      </c>
      <c r="E474" s="2" t="s">
        <v>4444</v>
      </c>
      <c r="F474" s="2" t="s">
        <v>4445</v>
      </c>
      <c r="G474" s="21" t="s">
        <v>4446</v>
      </c>
      <c r="H474" s="15" t="s">
        <v>1442</v>
      </c>
      <c r="I474" s="2" t="s">
        <v>4447</v>
      </c>
      <c r="J474" s="2" t="s">
        <v>4448</v>
      </c>
      <c r="K474" s="2" t="s">
        <v>4447</v>
      </c>
      <c r="L474" s="6" t="s">
        <v>1367</v>
      </c>
      <c r="M474" s="21" t="s">
        <v>1425</v>
      </c>
      <c r="N474" s="21" t="s">
        <v>1369</v>
      </c>
    </row>
    <row r="475" spans="1:33" ht="28.9">
      <c r="A475" s="253" t="s">
        <v>4449</v>
      </c>
      <c r="B475" s="289"/>
      <c r="C475" s="189" t="s">
        <v>4266</v>
      </c>
      <c r="D475" s="2" t="s">
        <v>4450</v>
      </c>
      <c r="E475" s="2" t="s">
        <v>4451</v>
      </c>
      <c r="F475" s="2" t="s">
        <v>4452</v>
      </c>
      <c r="G475" s="2" t="s">
        <v>4453</v>
      </c>
      <c r="H475" s="2" t="s">
        <v>4454</v>
      </c>
      <c r="I475" s="2" t="s">
        <v>4455</v>
      </c>
      <c r="J475" s="2" t="s">
        <v>4455</v>
      </c>
      <c r="K475" s="2" t="s">
        <v>4456</v>
      </c>
      <c r="L475" s="6" t="s">
        <v>1367</v>
      </c>
      <c r="M475" s="21" t="s">
        <v>1425</v>
      </c>
      <c r="N475" s="21" t="s">
        <v>1369</v>
      </c>
    </row>
    <row r="476" spans="1:33" ht="28.9">
      <c r="A476" s="253" t="s">
        <v>4457</v>
      </c>
      <c r="B476" s="289"/>
      <c r="C476" s="189" t="s">
        <v>4266</v>
      </c>
      <c r="D476" s="2" t="s">
        <v>4458</v>
      </c>
      <c r="E476" s="2" t="s">
        <v>4459</v>
      </c>
      <c r="F476" s="2" t="s">
        <v>4332</v>
      </c>
      <c r="G476" s="21" t="s">
        <v>4446</v>
      </c>
      <c r="H476" s="2" t="s">
        <v>1442</v>
      </c>
      <c r="I476" s="2" t="s">
        <v>4460</v>
      </c>
      <c r="J476" s="2" t="s">
        <v>3098</v>
      </c>
      <c r="K476" s="2" t="s">
        <v>4460</v>
      </c>
      <c r="L476" s="6" t="s">
        <v>1367</v>
      </c>
      <c r="M476" s="21" t="s">
        <v>1425</v>
      </c>
      <c r="N476" s="21" t="s">
        <v>1369</v>
      </c>
      <c r="AG476" s="78"/>
    </row>
    <row r="477" spans="1:33" s="45" customFormat="1">
      <c r="A477" s="247"/>
      <c r="B477" s="289"/>
      <c r="C477" s="186"/>
      <c r="D477" s="44"/>
      <c r="E477" s="44"/>
      <c r="F477" s="84"/>
      <c r="G477" s="83"/>
      <c r="H477" s="84"/>
      <c r="I477" s="84"/>
      <c r="J477" s="84"/>
      <c r="K477" s="84"/>
      <c r="L477" s="81"/>
      <c r="M477" s="78"/>
      <c r="P477" s="78"/>
      <c r="Q477" s="78"/>
      <c r="R477" s="303"/>
      <c r="W477" s="81"/>
      <c r="X477" s="81"/>
      <c r="AG477" s="21"/>
    </row>
    <row r="478" spans="1:33" ht="28.9">
      <c r="A478" s="253" t="s">
        <v>4461</v>
      </c>
      <c r="B478" s="289"/>
      <c r="C478" s="134" t="s">
        <v>4462</v>
      </c>
      <c r="D478" s="2" t="s">
        <v>4463</v>
      </c>
      <c r="E478" s="2" t="s">
        <v>4464</v>
      </c>
      <c r="F478" s="15" t="s">
        <v>3094</v>
      </c>
      <c r="G478" s="15" t="s">
        <v>4465</v>
      </c>
      <c r="H478" s="15" t="s">
        <v>3096</v>
      </c>
      <c r="I478" s="15" t="s">
        <v>4466</v>
      </c>
      <c r="J478" s="2" t="s">
        <v>1442</v>
      </c>
      <c r="K478" s="15" t="s">
        <v>4466</v>
      </c>
      <c r="L478" s="6" t="s">
        <v>1367</v>
      </c>
      <c r="M478" s="21" t="s">
        <v>1425</v>
      </c>
      <c r="P478" s="9"/>
      <c r="W478" s="81"/>
      <c r="X478" s="81"/>
    </row>
    <row r="479" spans="1:33" ht="28.9">
      <c r="A479" s="253" t="s">
        <v>4467</v>
      </c>
      <c r="B479" s="289"/>
      <c r="C479" s="134" t="s">
        <v>4462</v>
      </c>
      <c r="D479" s="2" t="s">
        <v>4468</v>
      </c>
      <c r="E479" s="2" t="s">
        <v>4469</v>
      </c>
      <c r="F479" s="15" t="s">
        <v>4470</v>
      </c>
      <c r="G479" s="15" t="s">
        <v>4471</v>
      </c>
      <c r="H479" s="15" t="s">
        <v>4472</v>
      </c>
      <c r="I479" s="15" t="s">
        <v>4473</v>
      </c>
      <c r="J479" s="2" t="s">
        <v>1442</v>
      </c>
      <c r="K479" s="15" t="s">
        <v>4473</v>
      </c>
      <c r="L479" s="6" t="s">
        <v>1367</v>
      </c>
      <c r="M479" s="21" t="s">
        <v>1425</v>
      </c>
      <c r="P479" s="9"/>
    </row>
    <row r="480" spans="1:33" ht="43.15">
      <c r="A480" s="253" t="s">
        <v>4474</v>
      </c>
      <c r="B480" s="289"/>
      <c r="C480" s="134" t="s">
        <v>4462</v>
      </c>
      <c r="D480" s="2" t="s">
        <v>4280</v>
      </c>
      <c r="E480" s="2" t="s">
        <v>4475</v>
      </c>
      <c r="F480" s="15" t="s">
        <v>4470</v>
      </c>
      <c r="G480" s="15" t="s">
        <v>4476</v>
      </c>
      <c r="H480" s="15" t="s">
        <v>1442</v>
      </c>
      <c r="I480" s="15" t="s">
        <v>4477</v>
      </c>
      <c r="J480" s="2" t="s">
        <v>1442</v>
      </c>
      <c r="K480" s="15" t="s">
        <v>4477</v>
      </c>
      <c r="L480" s="6" t="s">
        <v>1367</v>
      </c>
      <c r="M480" s="21" t="s">
        <v>1425</v>
      </c>
      <c r="P480" s="9"/>
    </row>
    <row r="481" spans="1:16" ht="28.9">
      <c r="A481" s="253" t="s">
        <v>4478</v>
      </c>
      <c r="B481" s="289"/>
      <c r="C481" s="134" t="s">
        <v>4462</v>
      </c>
      <c r="D481" s="2" t="s">
        <v>2194</v>
      </c>
      <c r="E481" s="2" t="s">
        <v>4285</v>
      </c>
      <c r="F481" s="15" t="s">
        <v>4479</v>
      </c>
      <c r="G481" s="15" t="s">
        <v>4480</v>
      </c>
      <c r="H481" s="15" t="s">
        <v>4288</v>
      </c>
      <c r="I481" s="15" t="s">
        <v>4289</v>
      </c>
      <c r="J481" s="2" t="s">
        <v>1442</v>
      </c>
      <c r="K481" s="15" t="s">
        <v>4289</v>
      </c>
      <c r="L481" s="6" t="s">
        <v>1367</v>
      </c>
      <c r="M481" s="21" t="s">
        <v>1425</v>
      </c>
      <c r="P481" s="9"/>
    </row>
    <row r="482" spans="1:16" ht="28.9">
      <c r="A482" s="253" t="s">
        <v>4481</v>
      </c>
      <c r="B482" s="289"/>
      <c r="C482" s="134" t="s">
        <v>4462</v>
      </c>
      <c r="D482" s="2" t="s">
        <v>4482</v>
      </c>
      <c r="E482" s="2" t="s">
        <v>4483</v>
      </c>
      <c r="F482" s="15" t="s">
        <v>4484</v>
      </c>
      <c r="G482" s="15" t="s">
        <v>4485</v>
      </c>
      <c r="H482" s="15" t="s">
        <v>4486</v>
      </c>
      <c r="I482" s="15" t="s">
        <v>4487</v>
      </c>
      <c r="J482" s="2" t="s">
        <v>4488</v>
      </c>
      <c r="K482" s="15" t="s">
        <v>4487</v>
      </c>
      <c r="L482" s="6" t="s">
        <v>1367</v>
      </c>
      <c r="M482" s="21" t="s">
        <v>1425</v>
      </c>
      <c r="P482" s="9"/>
    </row>
    <row r="483" spans="1:16" ht="43.15">
      <c r="A483" s="253" t="s">
        <v>4489</v>
      </c>
      <c r="B483" s="289"/>
      <c r="C483" s="134" t="s">
        <v>4462</v>
      </c>
      <c r="D483" s="2" t="s">
        <v>4490</v>
      </c>
      <c r="E483" s="2" t="s">
        <v>4491</v>
      </c>
      <c r="F483" s="15" t="s">
        <v>4470</v>
      </c>
      <c r="G483" s="15" t="s">
        <v>4492</v>
      </c>
      <c r="H483" s="15" t="s">
        <v>4493</v>
      </c>
      <c r="I483" s="15" t="s">
        <v>4494</v>
      </c>
      <c r="J483" s="2" t="s">
        <v>4495</v>
      </c>
      <c r="K483" s="15" t="s">
        <v>4494</v>
      </c>
      <c r="L483" s="6" t="s">
        <v>1367</v>
      </c>
      <c r="M483" s="21" t="s">
        <v>1425</v>
      </c>
      <c r="P483" s="9"/>
    </row>
    <row r="484" spans="1:16" ht="28.9">
      <c r="A484" s="253" t="s">
        <v>4496</v>
      </c>
      <c r="B484" s="289"/>
      <c r="C484" s="134" t="s">
        <v>4462</v>
      </c>
      <c r="D484" s="2" t="s">
        <v>4497</v>
      </c>
      <c r="E484" s="2" t="s">
        <v>4498</v>
      </c>
      <c r="F484" s="15" t="s">
        <v>4499</v>
      </c>
      <c r="G484" s="15" t="s">
        <v>4500</v>
      </c>
      <c r="H484" s="15" t="s">
        <v>4493</v>
      </c>
      <c r="I484" s="15" t="s">
        <v>4501</v>
      </c>
      <c r="J484" s="2" t="s">
        <v>1442</v>
      </c>
      <c r="K484" s="15" t="s">
        <v>4501</v>
      </c>
      <c r="L484" s="6" t="s">
        <v>1367</v>
      </c>
      <c r="M484" s="21" t="s">
        <v>1425</v>
      </c>
      <c r="P484" s="9"/>
    </row>
    <row r="485" spans="1:16" ht="28.9">
      <c r="A485" s="253" t="s">
        <v>4502</v>
      </c>
      <c r="B485" s="289"/>
      <c r="C485" s="134" t="s">
        <v>4462</v>
      </c>
      <c r="D485" s="2" t="s">
        <v>4316</v>
      </c>
      <c r="E485" s="2" t="s">
        <v>4317</v>
      </c>
      <c r="F485" s="15" t="s">
        <v>4318</v>
      </c>
      <c r="G485" s="15" t="s">
        <v>4503</v>
      </c>
      <c r="H485" s="15" t="s">
        <v>4504</v>
      </c>
      <c r="I485" s="15" t="s">
        <v>4320</v>
      </c>
      <c r="J485" s="2" t="s">
        <v>4321</v>
      </c>
      <c r="K485" s="15" t="s">
        <v>4505</v>
      </c>
      <c r="L485" s="6" t="s">
        <v>1367</v>
      </c>
      <c r="M485" s="21" t="s">
        <v>1425</v>
      </c>
      <c r="P485" s="9"/>
    </row>
    <row r="486" spans="1:16">
      <c r="A486" s="253" t="s">
        <v>4506</v>
      </c>
      <c r="B486" s="289"/>
      <c r="C486" s="134" t="s">
        <v>4462</v>
      </c>
      <c r="D486" s="2" t="s">
        <v>4507</v>
      </c>
      <c r="E486" s="2" t="s">
        <v>4508</v>
      </c>
      <c r="F486" s="15" t="s">
        <v>4470</v>
      </c>
      <c r="G486" s="15" t="s">
        <v>4509</v>
      </c>
      <c r="H486" s="15" t="s">
        <v>1442</v>
      </c>
      <c r="I486" s="15" t="s">
        <v>4510</v>
      </c>
      <c r="J486" s="2" t="s">
        <v>4511</v>
      </c>
      <c r="K486" s="15" t="s">
        <v>4510</v>
      </c>
      <c r="L486" s="6" t="s">
        <v>1367</v>
      </c>
      <c r="M486" s="21" t="s">
        <v>1425</v>
      </c>
      <c r="P486" s="9"/>
    </row>
    <row r="487" spans="1:16" ht="28.9">
      <c r="A487" s="253" t="s">
        <v>4512</v>
      </c>
      <c r="B487" s="289"/>
      <c r="C487" s="134" t="s">
        <v>4462</v>
      </c>
      <c r="D487" s="2" t="s">
        <v>4330</v>
      </c>
      <c r="E487" s="2" t="s">
        <v>4331</v>
      </c>
      <c r="F487" s="15" t="s">
        <v>4332</v>
      </c>
      <c r="G487" s="15" t="s">
        <v>4513</v>
      </c>
      <c r="H487" s="15" t="s">
        <v>4334</v>
      </c>
      <c r="I487" s="15" t="s">
        <v>4514</v>
      </c>
      <c r="J487" s="2" t="s">
        <v>4515</v>
      </c>
      <c r="K487" s="15" t="s">
        <v>4516</v>
      </c>
      <c r="L487" s="6" t="s">
        <v>1367</v>
      </c>
      <c r="M487" s="21" t="s">
        <v>1425</v>
      </c>
      <c r="P487" s="9"/>
    </row>
    <row r="488" spans="1:16" ht="28.9">
      <c r="A488" s="253" t="s">
        <v>4517</v>
      </c>
      <c r="B488" s="289"/>
      <c r="C488" s="134" t="s">
        <v>4462</v>
      </c>
      <c r="D488" s="2" t="s">
        <v>4338</v>
      </c>
      <c r="E488" s="2" t="s">
        <v>4518</v>
      </c>
      <c r="F488" s="15" t="s">
        <v>4332</v>
      </c>
      <c r="G488" s="15" t="s">
        <v>4519</v>
      </c>
      <c r="H488" s="15" t="s">
        <v>4341</v>
      </c>
      <c r="I488" s="15" t="s">
        <v>4520</v>
      </c>
      <c r="J488" s="2" t="s">
        <v>4521</v>
      </c>
      <c r="K488" s="15" t="s">
        <v>4522</v>
      </c>
      <c r="L488" s="6" t="s">
        <v>1367</v>
      </c>
      <c r="M488" s="21" t="s">
        <v>1425</v>
      </c>
      <c r="P488" s="9"/>
    </row>
    <row r="489" spans="1:16" ht="43.15">
      <c r="A489" s="253" t="s">
        <v>4523</v>
      </c>
      <c r="B489" s="289"/>
      <c r="C489" s="134" t="s">
        <v>4462</v>
      </c>
      <c r="D489" s="2" t="s">
        <v>4345</v>
      </c>
      <c r="E489" s="2" t="s">
        <v>4524</v>
      </c>
      <c r="F489" s="15" t="s">
        <v>4525</v>
      </c>
      <c r="G489" s="15" t="s">
        <v>4526</v>
      </c>
      <c r="H489" s="15" t="s">
        <v>2595</v>
      </c>
      <c r="I489" s="15" t="s">
        <v>4349</v>
      </c>
      <c r="J489" s="2" t="s">
        <v>4350</v>
      </c>
      <c r="K489" s="15" t="s">
        <v>4349</v>
      </c>
      <c r="L489" s="6" t="s">
        <v>1367</v>
      </c>
      <c r="M489" s="21" t="s">
        <v>1425</v>
      </c>
      <c r="P489" s="9"/>
    </row>
    <row r="490" spans="1:16">
      <c r="A490" s="253" t="s">
        <v>4527</v>
      </c>
      <c r="B490" s="289"/>
      <c r="C490" s="134" t="s">
        <v>4462</v>
      </c>
      <c r="D490" s="2" t="s">
        <v>4352</v>
      </c>
      <c r="E490" s="2" t="s">
        <v>4353</v>
      </c>
      <c r="F490" s="15" t="s">
        <v>4354</v>
      </c>
      <c r="G490" s="15" t="s">
        <v>4355</v>
      </c>
      <c r="H490" s="15" t="s">
        <v>2595</v>
      </c>
      <c r="I490" s="15" t="s">
        <v>4349</v>
      </c>
      <c r="J490" s="2" t="s">
        <v>4350</v>
      </c>
      <c r="K490" s="15" t="s">
        <v>4349</v>
      </c>
      <c r="L490" s="6" t="s">
        <v>1367</v>
      </c>
      <c r="M490" s="21" t="s">
        <v>1425</v>
      </c>
      <c r="P490" s="9"/>
    </row>
    <row r="491" spans="1:16" ht="28.9">
      <c r="A491" s="253" t="s">
        <v>4528</v>
      </c>
      <c r="B491" s="289"/>
      <c r="C491" s="134" t="s">
        <v>4462</v>
      </c>
      <c r="D491" s="2" t="s">
        <v>4529</v>
      </c>
      <c r="E491" s="2" t="s">
        <v>4530</v>
      </c>
      <c r="F491" s="15" t="s">
        <v>4531</v>
      </c>
      <c r="G491" s="15" t="s">
        <v>4532</v>
      </c>
      <c r="H491" s="15" t="s">
        <v>4493</v>
      </c>
      <c r="I491" s="15" t="s">
        <v>4533</v>
      </c>
      <c r="J491" s="2" t="s">
        <v>3241</v>
      </c>
      <c r="K491" s="15" t="s">
        <v>4533</v>
      </c>
      <c r="L491" s="6" t="s">
        <v>1367</v>
      </c>
      <c r="M491" s="21" t="s">
        <v>1425</v>
      </c>
      <c r="P491" s="9"/>
    </row>
    <row r="492" spans="1:16" ht="28.9">
      <c r="A492" s="253" t="s">
        <v>4534</v>
      </c>
      <c r="B492" s="289"/>
      <c r="C492" s="134" t="s">
        <v>4462</v>
      </c>
      <c r="D492" s="2" t="s">
        <v>4535</v>
      </c>
      <c r="E492" s="2" t="s">
        <v>4380</v>
      </c>
      <c r="F492" s="15" t="s">
        <v>4531</v>
      </c>
      <c r="G492" s="15" t="s">
        <v>4536</v>
      </c>
      <c r="H492" s="15" t="s">
        <v>4537</v>
      </c>
      <c r="I492" s="15" t="s">
        <v>4385</v>
      </c>
      <c r="J492" s="2" t="s">
        <v>3241</v>
      </c>
      <c r="K492" s="15" t="s">
        <v>4385</v>
      </c>
      <c r="L492" s="6" t="s">
        <v>1367</v>
      </c>
      <c r="M492" s="21" t="s">
        <v>1425</v>
      </c>
      <c r="P492" s="9"/>
    </row>
    <row r="493" spans="1:16">
      <c r="A493" s="253" t="s">
        <v>4538</v>
      </c>
      <c r="B493" s="289"/>
      <c r="C493" s="134" t="s">
        <v>4462</v>
      </c>
      <c r="D493" s="2" t="s">
        <v>4372</v>
      </c>
      <c r="E493" s="2" t="s">
        <v>4373</v>
      </c>
      <c r="F493" s="15" t="s">
        <v>4374</v>
      </c>
      <c r="G493" s="15" t="s">
        <v>4539</v>
      </c>
      <c r="H493" s="15" t="s">
        <v>4493</v>
      </c>
      <c r="I493" s="104" t="s">
        <v>4540</v>
      </c>
      <c r="J493" s="2" t="s">
        <v>4378</v>
      </c>
      <c r="K493" s="104" t="s">
        <v>4540</v>
      </c>
      <c r="L493" s="6" t="s">
        <v>1367</v>
      </c>
      <c r="M493" s="21" t="s">
        <v>1425</v>
      </c>
      <c r="P493" s="9"/>
    </row>
    <row r="494" spans="1:16" ht="28.9">
      <c r="A494" s="253" t="s">
        <v>4541</v>
      </c>
      <c r="B494" s="289"/>
      <c r="C494" s="134" t="s">
        <v>4462</v>
      </c>
      <c r="D494" s="2" t="s">
        <v>4542</v>
      </c>
      <c r="E494" s="2" t="s">
        <v>4543</v>
      </c>
      <c r="F494" s="15" t="s">
        <v>4544</v>
      </c>
      <c r="G494" s="15" t="s">
        <v>4545</v>
      </c>
      <c r="H494" s="15" t="s">
        <v>4546</v>
      </c>
      <c r="I494" s="15" t="s">
        <v>4385</v>
      </c>
      <c r="J494" s="2" t="s">
        <v>4378</v>
      </c>
      <c r="K494" s="15" t="s">
        <v>4385</v>
      </c>
      <c r="L494" s="6" t="s">
        <v>1367</v>
      </c>
      <c r="M494" s="21" t="s">
        <v>1425</v>
      </c>
      <c r="P494" s="9"/>
    </row>
    <row r="495" spans="1:16" ht="43.15">
      <c r="A495" s="253" t="s">
        <v>4547</v>
      </c>
      <c r="B495" s="289"/>
      <c r="C495" s="134" t="s">
        <v>4462</v>
      </c>
      <c r="D495" s="2" t="s">
        <v>4548</v>
      </c>
      <c r="E495" s="2" t="s">
        <v>4549</v>
      </c>
      <c r="F495" s="15" t="s">
        <v>4544</v>
      </c>
      <c r="G495" s="15" t="s">
        <v>4550</v>
      </c>
      <c r="H495" s="15" t="s">
        <v>4551</v>
      </c>
      <c r="I495" s="15" t="s">
        <v>1796</v>
      </c>
      <c r="J495" s="2" t="s">
        <v>4552</v>
      </c>
      <c r="K495" s="15" t="s">
        <v>1796</v>
      </c>
      <c r="L495" s="6" t="s">
        <v>1367</v>
      </c>
      <c r="M495" s="21" t="s">
        <v>1425</v>
      </c>
      <c r="P495" s="9"/>
    </row>
    <row r="496" spans="1:16">
      <c r="A496" s="253" t="s">
        <v>4553</v>
      </c>
      <c r="B496" s="289"/>
      <c r="C496" s="134" t="s">
        <v>4462</v>
      </c>
      <c r="D496" s="2" t="s">
        <v>4554</v>
      </c>
      <c r="E496" s="2" t="s">
        <v>4555</v>
      </c>
      <c r="F496" s="15" t="s">
        <v>4552</v>
      </c>
      <c r="G496" s="15" t="s">
        <v>4556</v>
      </c>
      <c r="H496" s="15" t="s">
        <v>4504</v>
      </c>
      <c r="I496" s="15" t="s">
        <v>4406</v>
      </c>
      <c r="J496" s="2" t="s">
        <v>3172</v>
      </c>
      <c r="K496" s="15" t="s">
        <v>4406</v>
      </c>
      <c r="L496" s="6" t="s">
        <v>1367</v>
      </c>
      <c r="M496" s="21" t="s">
        <v>1425</v>
      </c>
      <c r="P496" s="9"/>
    </row>
    <row r="497" spans="1:33" ht="28.9">
      <c r="A497" s="253" t="s">
        <v>4557</v>
      </c>
      <c r="B497" s="289"/>
      <c r="C497" s="134" t="s">
        <v>4462</v>
      </c>
      <c r="D497" s="2" t="s">
        <v>4408</v>
      </c>
      <c r="E497" s="2" t="s">
        <v>4409</v>
      </c>
      <c r="F497" s="15" t="s">
        <v>4558</v>
      </c>
      <c r="G497" s="15" t="s">
        <v>4559</v>
      </c>
      <c r="H497" s="15" t="s">
        <v>4560</v>
      </c>
      <c r="I497" s="15" t="s">
        <v>4561</v>
      </c>
      <c r="J497" s="2" t="s">
        <v>4562</v>
      </c>
      <c r="K497" s="15" t="s">
        <v>4561</v>
      </c>
      <c r="L497" s="6" t="s">
        <v>1367</v>
      </c>
      <c r="M497" s="21" t="s">
        <v>1425</v>
      </c>
      <c r="P497" s="9"/>
    </row>
    <row r="498" spans="1:33" ht="28.9">
      <c r="A498" s="253" t="s">
        <v>4563</v>
      </c>
      <c r="B498" s="289"/>
      <c r="C498" s="134" t="s">
        <v>4462</v>
      </c>
      <c r="D498" s="2" t="s">
        <v>4564</v>
      </c>
      <c r="E498" s="2" t="s">
        <v>4565</v>
      </c>
      <c r="F498" s="15" t="s">
        <v>4566</v>
      </c>
      <c r="G498" s="15" t="s">
        <v>4567</v>
      </c>
      <c r="H498" s="15" t="s">
        <v>4504</v>
      </c>
      <c r="I498" s="15" t="s">
        <v>4487</v>
      </c>
      <c r="J498" s="2" t="s">
        <v>4568</v>
      </c>
      <c r="K498" s="15" t="s">
        <v>4487</v>
      </c>
      <c r="L498" s="6" t="s">
        <v>1367</v>
      </c>
      <c r="M498" s="21" t="s">
        <v>1425</v>
      </c>
      <c r="P498" s="9"/>
    </row>
    <row r="499" spans="1:33" ht="43.15">
      <c r="A499" s="253" t="s">
        <v>4569</v>
      </c>
      <c r="B499" s="289"/>
      <c r="C499" s="134" t="s">
        <v>4462</v>
      </c>
      <c r="D499" s="2" t="s">
        <v>4570</v>
      </c>
      <c r="E499" s="2" t="s">
        <v>4571</v>
      </c>
      <c r="F499" s="15" t="s">
        <v>4544</v>
      </c>
      <c r="G499" s="15" t="s">
        <v>4572</v>
      </c>
      <c r="H499" s="15" t="s">
        <v>4560</v>
      </c>
      <c r="I499" s="15" t="s">
        <v>4573</v>
      </c>
      <c r="J499" s="2" t="s">
        <v>4425</v>
      </c>
      <c r="K499" s="15" t="s">
        <v>4573</v>
      </c>
      <c r="L499" s="6" t="s">
        <v>1367</v>
      </c>
      <c r="M499" s="21" t="s">
        <v>1425</v>
      </c>
      <c r="P499" s="9"/>
    </row>
    <row r="500" spans="1:33" ht="28.9">
      <c r="A500" s="253" t="s">
        <v>4574</v>
      </c>
      <c r="B500" s="289"/>
      <c r="C500" s="134" t="s">
        <v>4462</v>
      </c>
      <c r="D500" s="2" t="s">
        <v>4575</v>
      </c>
      <c r="E500" s="2" t="s">
        <v>4576</v>
      </c>
      <c r="F500" s="15" t="s">
        <v>4544</v>
      </c>
      <c r="G500" s="15" t="s">
        <v>4577</v>
      </c>
      <c r="H500" s="15" t="s">
        <v>4560</v>
      </c>
      <c r="I500" s="15" t="s">
        <v>4573</v>
      </c>
      <c r="J500" s="2" t="s">
        <v>4425</v>
      </c>
      <c r="K500" s="15" t="s">
        <v>4573</v>
      </c>
      <c r="L500" s="6" t="s">
        <v>1367</v>
      </c>
      <c r="M500" s="21" t="s">
        <v>1425</v>
      </c>
      <c r="P500" s="9"/>
    </row>
    <row r="501" spans="1:33" ht="43.15">
      <c r="A501" s="253" t="s">
        <v>4578</v>
      </c>
      <c r="B501" s="289"/>
      <c r="C501" s="134" t="s">
        <v>4462</v>
      </c>
      <c r="D501" s="2" t="s">
        <v>4431</v>
      </c>
      <c r="E501" s="2" t="s">
        <v>4579</v>
      </c>
      <c r="F501" s="15" t="s">
        <v>4580</v>
      </c>
      <c r="G501" s="15" t="s">
        <v>4581</v>
      </c>
      <c r="H501" s="15" t="s">
        <v>4288</v>
      </c>
      <c r="I501" s="15" t="s">
        <v>4434</v>
      </c>
      <c r="J501" s="2" t="s">
        <v>4435</v>
      </c>
      <c r="K501" s="15" t="s">
        <v>4434</v>
      </c>
      <c r="L501" s="6" t="s">
        <v>1367</v>
      </c>
      <c r="M501" s="21" t="s">
        <v>1425</v>
      </c>
      <c r="P501" s="9"/>
    </row>
    <row r="502" spans="1:33" ht="28.9">
      <c r="A502" s="253" t="s">
        <v>4582</v>
      </c>
      <c r="B502" s="289"/>
      <c r="C502" s="134" t="s">
        <v>4462</v>
      </c>
      <c r="D502" s="2" t="s">
        <v>4583</v>
      </c>
      <c r="E502" s="2" t="s">
        <v>4584</v>
      </c>
      <c r="F502" s="15" t="s">
        <v>4585</v>
      </c>
      <c r="G502" s="15" t="s">
        <v>3901</v>
      </c>
      <c r="H502" s="15" t="s">
        <v>1442</v>
      </c>
      <c r="I502" s="15" t="s">
        <v>2728</v>
      </c>
      <c r="J502" s="2" t="s">
        <v>4586</v>
      </c>
      <c r="K502" s="15" t="s">
        <v>2728</v>
      </c>
      <c r="L502" s="6" t="s">
        <v>1367</v>
      </c>
      <c r="M502" s="21" t="s">
        <v>1425</v>
      </c>
      <c r="P502" s="9"/>
    </row>
    <row r="503" spans="1:33" ht="28.9">
      <c r="A503" s="253" t="s">
        <v>4587</v>
      </c>
      <c r="B503" s="289"/>
      <c r="C503" s="134" t="s">
        <v>4462</v>
      </c>
      <c r="D503" s="2" t="s">
        <v>4443</v>
      </c>
      <c r="E503" s="2" t="s">
        <v>4444</v>
      </c>
      <c r="F503" s="15" t="s">
        <v>4445</v>
      </c>
      <c r="G503" s="15" t="s">
        <v>4588</v>
      </c>
      <c r="H503" s="15" t="s">
        <v>1442</v>
      </c>
      <c r="I503" s="15" t="s">
        <v>4447</v>
      </c>
      <c r="J503" s="2" t="s">
        <v>4448</v>
      </c>
      <c r="K503" s="15" t="s">
        <v>4447</v>
      </c>
      <c r="L503" s="6" t="s">
        <v>1367</v>
      </c>
      <c r="M503" s="21" t="s">
        <v>1425</v>
      </c>
      <c r="P503" s="9"/>
    </row>
    <row r="504" spans="1:33" ht="28.9">
      <c r="A504" s="253" t="s">
        <v>4589</v>
      </c>
      <c r="B504" s="289"/>
      <c r="C504" s="134" t="s">
        <v>4462</v>
      </c>
      <c r="D504" s="2" t="s">
        <v>4590</v>
      </c>
      <c r="E504" s="2" t="s">
        <v>4451</v>
      </c>
      <c r="F504" s="15" t="s">
        <v>4591</v>
      </c>
      <c r="G504" s="15" t="s">
        <v>4592</v>
      </c>
      <c r="H504" s="15" t="s">
        <v>4593</v>
      </c>
      <c r="I504" s="15" t="s">
        <v>4455</v>
      </c>
      <c r="J504" s="2" t="s">
        <v>4594</v>
      </c>
      <c r="K504" s="15" t="s">
        <v>4455</v>
      </c>
      <c r="L504" s="6" t="s">
        <v>1367</v>
      </c>
      <c r="M504" s="21" t="s">
        <v>1425</v>
      </c>
      <c r="P504" s="9"/>
    </row>
    <row r="505" spans="1:33" ht="28.9">
      <c r="A505" s="253" t="s">
        <v>4595</v>
      </c>
      <c r="B505" s="289"/>
      <c r="C505" s="134" t="s">
        <v>4462</v>
      </c>
      <c r="D505" s="2" t="s">
        <v>4458</v>
      </c>
      <c r="E505" s="2" t="s">
        <v>4596</v>
      </c>
      <c r="F505" s="15" t="s">
        <v>4332</v>
      </c>
      <c r="G505" s="15" t="s">
        <v>4588</v>
      </c>
      <c r="H505" s="15" t="s">
        <v>1442</v>
      </c>
      <c r="I505" s="15" t="s">
        <v>4597</v>
      </c>
      <c r="J505" s="2" t="s">
        <v>3098</v>
      </c>
      <c r="K505" s="15" t="s">
        <v>4597</v>
      </c>
      <c r="L505" s="6" t="s">
        <v>1367</v>
      </c>
      <c r="M505" s="21" t="s">
        <v>1425</v>
      </c>
      <c r="P505" s="9"/>
      <c r="AG505" s="78"/>
    </row>
    <row r="506" spans="1:33" s="45" customFormat="1">
      <c r="A506" s="247"/>
      <c r="B506" s="289"/>
      <c r="C506" s="78"/>
      <c r="D506" s="44"/>
      <c r="E506" s="44"/>
      <c r="F506" s="44"/>
      <c r="G506" s="44"/>
      <c r="H506" s="44"/>
      <c r="I506" s="44"/>
      <c r="J506" s="44"/>
      <c r="K506" s="44"/>
      <c r="L506" s="81"/>
      <c r="M506" s="78"/>
      <c r="P506" s="78"/>
      <c r="Q506" s="78"/>
      <c r="R506" s="303"/>
      <c r="W506" s="81"/>
      <c r="X506" s="81"/>
      <c r="AG506" s="21"/>
    </row>
    <row r="507" spans="1:33" ht="28.9">
      <c r="A507" s="253" t="s">
        <v>4595</v>
      </c>
      <c r="B507" s="289"/>
      <c r="C507" s="21" t="s">
        <v>4598</v>
      </c>
      <c r="D507" s="2" t="s">
        <v>4599</v>
      </c>
      <c r="E507" s="2" t="s">
        <v>4600</v>
      </c>
      <c r="F507" s="2" t="s">
        <v>2553</v>
      </c>
      <c r="G507" s="2" t="s">
        <v>4601</v>
      </c>
      <c r="H507" s="2" t="s">
        <v>1442</v>
      </c>
      <c r="I507" s="2" t="s">
        <v>4602</v>
      </c>
      <c r="J507" s="2" t="s">
        <v>4603</v>
      </c>
      <c r="K507" s="2" t="s">
        <v>4604</v>
      </c>
      <c r="L507" s="6" t="s">
        <v>1367</v>
      </c>
      <c r="M507" s="21" t="s">
        <v>1368</v>
      </c>
      <c r="P507" s="21" t="s">
        <v>22</v>
      </c>
      <c r="W507" s="81"/>
      <c r="X507" s="81"/>
    </row>
    <row r="508" spans="1:33" ht="28.9">
      <c r="A508" s="253" t="s">
        <v>4605</v>
      </c>
      <c r="B508" s="289"/>
      <c r="C508" s="189" t="s">
        <v>4598</v>
      </c>
      <c r="D508" s="2" t="s">
        <v>4606</v>
      </c>
      <c r="E508" s="2" t="s">
        <v>4607</v>
      </c>
      <c r="F508" s="2" t="s">
        <v>4608</v>
      </c>
      <c r="G508" s="2" t="s">
        <v>4609</v>
      </c>
      <c r="H508" s="2" t="s">
        <v>1442</v>
      </c>
      <c r="I508" s="2" t="s">
        <v>4610</v>
      </c>
      <c r="J508" s="2" t="s">
        <v>2564</v>
      </c>
      <c r="K508" s="2" t="s">
        <v>4015</v>
      </c>
      <c r="L508" s="6" t="s">
        <v>1367</v>
      </c>
      <c r="M508" s="21" t="s">
        <v>1368</v>
      </c>
      <c r="P508" s="21" t="s">
        <v>22</v>
      </c>
    </row>
    <row r="509" spans="1:33" ht="28.9">
      <c r="A509" s="253" t="s">
        <v>4611</v>
      </c>
      <c r="B509" s="289"/>
      <c r="C509" s="189" t="s">
        <v>4598</v>
      </c>
      <c r="D509" s="2" t="s">
        <v>4612</v>
      </c>
      <c r="E509" s="2" t="s">
        <v>4613</v>
      </c>
      <c r="F509" s="2" t="s">
        <v>4614</v>
      </c>
      <c r="G509" s="2" t="s">
        <v>2569</v>
      </c>
      <c r="H509" s="2" t="s">
        <v>1442</v>
      </c>
      <c r="I509" s="2" t="s">
        <v>2812</v>
      </c>
      <c r="J509" s="2" t="s">
        <v>2571</v>
      </c>
      <c r="K509" s="2" t="s">
        <v>2813</v>
      </c>
      <c r="L509" s="6" t="s">
        <v>1367</v>
      </c>
      <c r="M509" s="21" t="s">
        <v>1368</v>
      </c>
      <c r="P509" s="21" t="s">
        <v>1371</v>
      </c>
    </row>
    <row r="510" spans="1:33" ht="28.9">
      <c r="A510" s="253" t="s">
        <v>4615</v>
      </c>
      <c r="B510" s="289"/>
      <c r="C510" s="189" t="s">
        <v>4598</v>
      </c>
      <c r="D510" s="2" t="s">
        <v>4616</v>
      </c>
      <c r="E510" s="2" t="s">
        <v>4617</v>
      </c>
      <c r="F510" s="2" t="s">
        <v>4618</v>
      </c>
      <c r="G510" s="2" t="s">
        <v>4619</v>
      </c>
      <c r="H510" s="2" t="s">
        <v>1442</v>
      </c>
      <c r="I510" s="2" t="s">
        <v>4620</v>
      </c>
      <c r="J510" s="2" t="s">
        <v>2580</v>
      </c>
      <c r="K510" s="2" t="s">
        <v>4621</v>
      </c>
      <c r="L510" s="6" t="s">
        <v>1367</v>
      </c>
      <c r="M510" s="21" t="s">
        <v>1368</v>
      </c>
      <c r="P510" s="21" t="s">
        <v>22</v>
      </c>
    </row>
    <row r="511" spans="1:33" ht="28.9">
      <c r="A511" s="253" t="s">
        <v>4622</v>
      </c>
      <c r="B511" s="289"/>
      <c r="C511" s="21" t="s">
        <v>4598</v>
      </c>
      <c r="D511" s="2" t="s">
        <v>4623</v>
      </c>
      <c r="E511" s="2" t="s">
        <v>2584</v>
      </c>
      <c r="F511" s="2" t="s">
        <v>4608</v>
      </c>
      <c r="G511" s="2" t="s">
        <v>2586</v>
      </c>
      <c r="H511" s="2" t="s">
        <v>1442</v>
      </c>
      <c r="I511" s="2" t="s">
        <v>4624</v>
      </c>
      <c r="J511" s="2" t="s">
        <v>2588</v>
      </c>
      <c r="K511" s="2" t="s">
        <v>2589</v>
      </c>
      <c r="L511" s="6" t="s">
        <v>1367</v>
      </c>
      <c r="M511" s="21" t="s">
        <v>1368</v>
      </c>
      <c r="P511" s="21" t="s">
        <v>22</v>
      </c>
    </row>
    <row r="512" spans="1:33" ht="28.9">
      <c r="A512" s="253" t="s">
        <v>4625</v>
      </c>
      <c r="B512" s="289"/>
      <c r="C512" s="189" t="s">
        <v>4598</v>
      </c>
      <c r="D512" s="2" t="s">
        <v>2591</v>
      </c>
      <c r="E512" s="2" t="s">
        <v>2592</v>
      </c>
      <c r="F512" s="2" t="s">
        <v>2593</v>
      </c>
      <c r="G512" s="2" t="s">
        <v>4626</v>
      </c>
      <c r="H512" s="2" t="s">
        <v>2595</v>
      </c>
      <c r="I512" s="2" t="s">
        <v>2596</v>
      </c>
      <c r="J512" s="2" t="s">
        <v>2597</v>
      </c>
      <c r="K512" s="2" t="s">
        <v>2598</v>
      </c>
      <c r="L512" s="6" t="s">
        <v>1367</v>
      </c>
      <c r="M512" s="21" t="s">
        <v>1368</v>
      </c>
      <c r="P512" s="21" t="s">
        <v>22</v>
      </c>
    </row>
    <row r="513" spans="1:16" ht="43.15">
      <c r="A513" s="253" t="s">
        <v>4627</v>
      </c>
      <c r="B513" s="289"/>
      <c r="C513" s="189" t="s">
        <v>4598</v>
      </c>
      <c r="D513" s="2" t="s">
        <v>4628</v>
      </c>
      <c r="E513" s="2" t="s">
        <v>2601</v>
      </c>
      <c r="F513" s="2" t="s">
        <v>2602</v>
      </c>
      <c r="G513" s="2" t="s">
        <v>4629</v>
      </c>
      <c r="H513" s="2" t="s">
        <v>4630</v>
      </c>
      <c r="I513" s="2" t="s">
        <v>2605</v>
      </c>
      <c r="J513" s="2" t="s">
        <v>2606</v>
      </c>
      <c r="K513" s="2" t="s">
        <v>2607</v>
      </c>
      <c r="L513" s="6" t="s">
        <v>1367</v>
      </c>
      <c r="M513" s="21" t="s">
        <v>1368</v>
      </c>
      <c r="P513" s="21" t="s">
        <v>1371</v>
      </c>
    </row>
    <row r="514" spans="1:16" ht="28.9">
      <c r="A514" s="253" t="s">
        <v>4631</v>
      </c>
      <c r="B514" s="289"/>
      <c r="C514" s="189" t="s">
        <v>4598</v>
      </c>
      <c r="D514" s="2" t="s">
        <v>4632</v>
      </c>
      <c r="E514" s="2" t="s">
        <v>4633</v>
      </c>
      <c r="F514" s="2" t="s">
        <v>2593</v>
      </c>
      <c r="G514" s="2" t="s">
        <v>4040</v>
      </c>
      <c r="H514" s="2" t="s">
        <v>4634</v>
      </c>
      <c r="I514" s="2" t="s">
        <v>4635</v>
      </c>
      <c r="J514" s="2" t="s">
        <v>2614</v>
      </c>
      <c r="K514" s="2" t="s">
        <v>2615</v>
      </c>
      <c r="L514" s="6" t="s">
        <v>1367</v>
      </c>
      <c r="M514" s="21" t="s">
        <v>1368</v>
      </c>
      <c r="P514" s="21" t="s">
        <v>1393</v>
      </c>
    </row>
    <row r="515" spans="1:16" ht="28.9">
      <c r="A515" s="253" t="s">
        <v>4636</v>
      </c>
      <c r="B515" s="289"/>
      <c r="C515" s="189" t="s">
        <v>4598</v>
      </c>
      <c r="D515" s="2" t="s">
        <v>4637</v>
      </c>
      <c r="E515" s="2" t="s">
        <v>2618</v>
      </c>
      <c r="F515" s="2" t="s">
        <v>4635</v>
      </c>
      <c r="G515" s="2" t="s">
        <v>4638</v>
      </c>
      <c r="H515" s="2" t="s">
        <v>2620</v>
      </c>
      <c r="I515" s="2" t="s">
        <v>4639</v>
      </c>
      <c r="J515" s="2" t="s">
        <v>2622</v>
      </c>
      <c r="K515" s="2" t="s">
        <v>2623</v>
      </c>
      <c r="L515" s="6" t="s">
        <v>1367</v>
      </c>
      <c r="M515" s="21" t="s">
        <v>1368</v>
      </c>
      <c r="P515" s="21" t="s">
        <v>22</v>
      </c>
    </row>
    <row r="516" spans="1:16" ht="28.9">
      <c r="A516" s="253" t="s">
        <v>4640</v>
      </c>
      <c r="B516" s="289"/>
      <c r="C516" s="189" t="s">
        <v>4598</v>
      </c>
      <c r="D516" s="2" t="s">
        <v>4641</v>
      </c>
      <c r="E516" s="2" t="s">
        <v>2626</v>
      </c>
      <c r="F516" s="2" t="s">
        <v>2627</v>
      </c>
      <c r="G516" s="2" t="s">
        <v>4642</v>
      </c>
      <c r="H516" s="2" t="s">
        <v>4643</v>
      </c>
      <c r="I516" s="2" t="s">
        <v>2630</v>
      </c>
      <c r="J516" s="2" t="s">
        <v>2631</v>
      </c>
      <c r="K516" s="2" t="s">
        <v>2630</v>
      </c>
      <c r="L516" s="6" t="s">
        <v>1367</v>
      </c>
      <c r="M516" s="21" t="s">
        <v>1368</v>
      </c>
      <c r="P516" s="21" t="s">
        <v>1371</v>
      </c>
    </row>
    <row r="517" spans="1:16" ht="57.6">
      <c r="A517" s="253" t="s">
        <v>4644</v>
      </c>
      <c r="B517" s="289"/>
      <c r="C517" s="189" t="s">
        <v>4598</v>
      </c>
      <c r="D517" s="2" t="s">
        <v>4645</v>
      </c>
      <c r="E517" s="2" t="s">
        <v>2634</v>
      </c>
      <c r="F517" s="2" t="s">
        <v>4646</v>
      </c>
      <c r="G517" s="2" t="s">
        <v>4647</v>
      </c>
      <c r="H517" s="2" t="s">
        <v>4648</v>
      </c>
      <c r="I517" s="2" t="s">
        <v>2638</v>
      </c>
      <c r="J517" s="2" t="s">
        <v>2639</v>
      </c>
      <c r="K517" s="2" t="s">
        <v>4649</v>
      </c>
      <c r="L517" s="6" t="s">
        <v>1381</v>
      </c>
      <c r="M517" s="21" t="s">
        <v>1368</v>
      </c>
      <c r="P517" s="21" t="s">
        <v>1371</v>
      </c>
    </row>
    <row r="518" spans="1:16" ht="43.15">
      <c r="A518" s="253" t="s">
        <v>4650</v>
      </c>
      <c r="B518" s="289"/>
      <c r="C518" s="189" t="s">
        <v>4598</v>
      </c>
      <c r="D518" s="2" t="s">
        <v>4651</v>
      </c>
      <c r="E518" s="2" t="s">
        <v>4652</v>
      </c>
      <c r="F518" s="2" t="s">
        <v>4061</v>
      </c>
      <c r="G518" s="2" t="s">
        <v>4653</v>
      </c>
      <c r="H518" s="2" t="s">
        <v>4654</v>
      </c>
      <c r="I518" s="2" t="s">
        <v>4655</v>
      </c>
      <c r="J518" s="2" t="s">
        <v>2648</v>
      </c>
      <c r="K518" s="2" t="s">
        <v>4656</v>
      </c>
      <c r="L518" s="6" t="s">
        <v>1367</v>
      </c>
      <c r="M518" s="21" t="s">
        <v>1368</v>
      </c>
      <c r="P518" s="21" t="s">
        <v>22</v>
      </c>
    </row>
    <row r="519" spans="1:16" ht="43.15">
      <c r="A519" s="253" t="s">
        <v>4657</v>
      </c>
      <c r="B519" s="289"/>
      <c r="C519" s="189" t="s">
        <v>4598</v>
      </c>
      <c r="D519" s="2" t="s">
        <v>4658</v>
      </c>
      <c r="E519" s="2" t="s">
        <v>2652</v>
      </c>
      <c r="F519" s="2" t="s">
        <v>4659</v>
      </c>
      <c r="G519" s="2" t="s">
        <v>4660</v>
      </c>
      <c r="H519" s="2" t="s">
        <v>4661</v>
      </c>
      <c r="I519" s="2" t="s">
        <v>4662</v>
      </c>
      <c r="J519" s="2" t="s">
        <v>2657</v>
      </c>
      <c r="K519" s="2" t="s">
        <v>4663</v>
      </c>
      <c r="L519" s="6" t="s">
        <v>1367</v>
      </c>
      <c r="M519" s="21" t="s">
        <v>1368</v>
      </c>
      <c r="P519" s="21" t="s">
        <v>22</v>
      </c>
    </row>
    <row r="520" spans="1:16" ht="43.15">
      <c r="A520" s="253" t="s">
        <v>4664</v>
      </c>
      <c r="B520" s="289"/>
      <c r="C520" s="189" t="s">
        <v>4598</v>
      </c>
      <c r="D520" s="2" t="s">
        <v>4665</v>
      </c>
      <c r="E520" s="2" t="s">
        <v>4666</v>
      </c>
      <c r="F520" s="2" t="s">
        <v>2662</v>
      </c>
      <c r="G520" s="2" t="s">
        <v>4667</v>
      </c>
      <c r="H520" s="2" t="s">
        <v>4668</v>
      </c>
      <c r="I520" s="2" t="s">
        <v>4669</v>
      </c>
      <c r="J520" s="2" t="s">
        <v>2666</v>
      </c>
      <c r="K520" s="2" t="s">
        <v>2667</v>
      </c>
      <c r="L520" s="6" t="s">
        <v>1367</v>
      </c>
      <c r="M520" s="21" t="s">
        <v>1368</v>
      </c>
      <c r="P520" s="21" t="s">
        <v>22</v>
      </c>
    </row>
    <row r="521" spans="1:16" ht="28.9">
      <c r="A521" s="253" t="s">
        <v>4670</v>
      </c>
      <c r="B521" s="289"/>
      <c r="C521" s="189" t="s">
        <v>4598</v>
      </c>
      <c r="D521" s="2" t="s">
        <v>2669</v>
      </c>
      <c r="E521" s="2" t="s">
        <v>2670</v>
      </c>
      <c r="F521" s="2" t="s">
        <v>4671</v>
      </c>
      <c r="G521" s="2" t="s">
        <v>2671</v>
      </c>
      <c r="H521" s="2" t="s">
        <v>2672</v>
      </c>
      <c r="I521" s="2" t="s">
        <v>2673</v>
      </c>
      <c r="J521" s="2" t="s">
        <v>2674</v>
      </c>
      <c r="K521" s="2" t="s">
        <v>2675</v>
      </c>
      <c r="L521" s="6" t="s">
        <v>1367</v>
      </c>
      <c r="M521" s="21" t="s">
        <v>1368</v>
      </c>
      <c r="P521" s="21" t="s">
        <v>22</v>
      </c>
    </row>
    <row r="522" spans="1:16" ht="28.9">
      <c r="A522" s="253" t="s">
        <v>4672</v>
      </c>
      <c r="B522" s="289"/>
      <c r="C522" s="189" t="s">
        <v>4598</v>
      </c>
      <c r="D522" s="2" t="s">
        <v>4673</v>
      </c>
      <c r="E522" s="2" t="s">
        <v>2678</v>
      </c>
      <c r="F522" s="2" t="s">
        <v>2679</v>
      </c>
      <c r="G522" s="2" t="s">
        <v>4674</v>
      </c>
      <c r="H522" s="2" t="s">
        <v>2681</v>
      </c>
      <c r="I522" s="2" t="s">
        <v>2682</v>
      </c>
      <c r="J522" s="2" t="s">
        <v>2683</v>
      </c>
      <c r="K522" s="2" t="s">
        <v>2684</v>
      </c>
      <c r="L522" s="6" t="s">
        <v>1367</v>
      </c>
      <c r="M522" s="21" t="s">
        <v>1368</v>
      </c>
      <c r="P522" s="21" t="s">
        <v>1393</v>
      </c>
    </row>
    <row r="523" spans="1:16" ht="28.9">
      <c r="A523" s="253" t="s">
        <v>4675</v>
      </c>
      <c r="B523" s="289"/>
      <c r="C523" s="189" t="s">
        <v>4598</v>
      </c>
      <c r="D523" s="2" t="s">
        <v>4676</v>
      </c>
      <c r="E523" s="2" t="s">
        <v>2687</v>
      </c>
      <c r="F523" s="2" t="s">
        <v>2684</v>
      </c>
      <c r="G523" s="2" t="s">
        <v>4677</v>
      </c>
      <c r="H523" s="2" t="s">
        <v>4678</v>
      </c>
      <c r="I523" s="2" t="s">
        <v>2690</v>
      </c>
      <c r="J523" s="2" t="s">
        <v>2691</v>
      </c>
      <c r="K523" s="2" t="s">
        <v>2692</v>
      </c>
      <c r="L523" s="6" t="s">
        <v>1367</v>
      </c>
      <c r="M523" s="21" t="s">
        <v>1368</v>
      </c>
      <c r="P523" s="21" t="s">
        <v>22</v>
      </c>
    </row>
    <row r="524" spans="1:16" ht="43.15">
      <c r="A524" s="253" t="s">
        <v>4679</v>
      </c>
      <c r="B524" s="289"/>
      <c r="C524" s="189" t="s">
        <v>4598</v>
      </c>
      <c r="D524" s="2" t="s">
        <v>4680</v>
      </c>
      <c r="E524" s="2" t="s">
        <v>2695</v>
      </c>
      <c r="F524" s="2" t="s">
        <v>2696</v>
      </c>
      <c r="G524" s="2" t="s">
        <v>4681</v>
      </c>
      <c r="H524" s="2" t="s">
        <v>2698</v>
      </c>
      <c r="I524" s="2" t="s">
        <v>2630</v>
      </c>
      <c r="J524" s="2" t="s">
        <v>2699</v>
      </c>
      <c r="K524" s="2" t="s">
        <v>2630</v>
      </c>
      <c r="L524" s="6" t="s">
        <v>1367</v>
      </c>
      <c r="M524" s="21" t="s">
        <v>1368</v>
      </c>
      <c r="P524" s="21" t="s">
        <v>1371</v>
      </c>
    </row>
    <row r="525" spans="1:16" ht="86.45">
      <c r="A525" s="253" t="s">
        <v>4682</v>
      </c>
      <c r="B525" s="289"/>
      <c r="C525" s="189" t="s">
        <v>4598</v>
      </c>
      <c r="D525" s="2" t="s">
        <v>2701</v>
      </c>
      <c r="E525" s="2" t="s">
        <v>4683</v>
      </c>
      <c r="F525" s="2" t="s">
        <v>4671</v>
      </c>
      <c r="G525" s="2" t="s">
        <v>4684</v>
      </c>
      <c r="H525" s="2" t="s">
        <v>2704</v>
      </c>
      <c r="I525" s="2" t="s">
        <v>2705</v>
      </c>
      <c r="J525" s="2" t="s">
        <v>4685</v>
      </c>
      <c r="K525" s="2" t="s">
        <v>4686</v>
      </c>
      <c r="L525" s="6" t="s">
        <v>1381</v>
      </c>
      <c r="M525" s="21" t="s">
        <v>1368</v>
      </c>
      <c r="P525" s="21" t="s">
        <v>22</v>
      </c>
    </row>
    <row r="526" spans="1:16" ht="28.9">
      <c r="A526" s="253" t="s">
        <v>4687</v>
      </c>
      <c r="B526" s="289"/>
      <c r="C526" s="21" t="s">
        <v>4598</v>
      </c>
      <c r="D526" s="2" t="s">
        <v>4688</v>
      </c>
      <c r="E526" s="2" t="s">
        <v>2710</v>
      </c>
      <c r="F526" s="2" t="s">
        <v>4671</v>
      </c>
      <c r="G526" s="2" t="s">
        <v>2712</v>
      </c>
      <c r="H526" s="2" t="s">
        <v>2713</v>
      </c>
      <c r="I526" s="2" t="s">
        <v>2714</v>
      </c>
      <c r="J526" s="2" t="s">
        <v>2715</v>
      </c>
      <c r="K526" s="2" t="s">
        <v>2716</v>
      </c>
      <c r="L526" s="6" t="s">
        <v>1367</v>
      </c>
      <c r="M526" s="21" t="s">
        <v>1368</v>
      </c>
      <c r="P526" s="21" t="s">
        <v>1371</v>
      </c>
    </row>
    <row r="527" spans="1:16" ht="28.9">
      <c r="A527" s="253" t="s">
        <v>4689</v>
      </c>
      <c r="B527" s="289"/>
      <c r="C527" s="189" t="s">
        <v>4598</v>
      </c>
      <c r="D527" s="2" t="s">
        <v>2718</v>
      </c>
      <c r="E527" s="2" t="s">
        <v>2719</v>
      </c>
      <c r="F527" s="2" t="s">
        <v>2720</v>
      </c>
      <c r="G527" s="2" t="s">
        <v>4690</v>
      </c>
      <c r="H527" s="2" t="s">
        <v>4691</v>
      </c>
      <c r="I527" s="2" t="s">
        <v>2723</v>
      </c>
      <c r="J527" s="2" t="s">
        <v>2724</v>
      </c>
      <c r="K527" s="2" t="s">
        <v>2723</v>
      </c>
      <c r="L527" s="6" t="s">
        <v>1367</v>
      </c>
      <c r="M527" s="21" t="s">
        <v>1368</v>
      </c>
      <c r="P527" s="21" t="s">
        <v>22</v>
      </c>
    </row>
    <row r="528" spans="1:16" ht="28.9">
      <c r="A528" s="253" t="s">
        <v>4692</v>
      </c>
      <c r="B528" s="289"/>
      <c r="C528" s="189" t="s">
        <v>4598</v>
      </c>
      <c r="D528" s="2" t="s">
        <v>4693</v>
      </c>
      <c r="E528" s="2" t="s">
        <v>2727</v>
      </c>
      <c r="F528" s="2" t="s">
        <v>2728</v>
      </c>
      <c r="G528" s="2" t="s">
        <v>2729</v>
      </c>
      <c r="H528" s="2" t="s">
        <v>4691</v>
      </c>
      <c r="I528" s="2" t="s">
        <v>4694</v>
      </c>
      <c r="J528" s="2" t="s">
        <v>2731</v>
      </c>
      <c r="K528" s="2" t="s">
        <v>2732</v>
      </c>
      <c r="L528" s="6" t="s">
        <v>1367</v>
      </c>
      <c r="M528" s="21" t="s">
        <v>1368</v>
      </c>
      <c r="P528" s="21" t="s">
        <v>1393</v>
      </c>
    </row>
    <row r="529" spans="1:33" ht="28.9">
      <c r="A529" s="253" t="s">
        <v>4695</v>
      </c>
      <c r="B529" s="289"/>
      <c r="C529" s="189" t="s">
        <v>4598</v>
      </c>
      <c r="D529" s="2" t="s">
        <v>4696</v>
      </c>
      <c r="E529" s="2" t="s">
        <v>2735</v>
      </c>
      <c r="F529" s="2" t="s">
        <v>2732</v>
      </c>
      <c r="G529" s="2" t="s">
        <v>4697</v>
      </c>
      <c r="H529" s="2" t="s">
        <v>4698</v>
      </c>
      <c r="I529" s="2" t="s">
        <v>2738</v>
      </c>
      <c r="J529" s="2" t="s">
        <v>2739</v>
      </c>
      <c r="K529" s="2" t="s">
        <v>2740</v>
      </c>
      <c r="L529" s="6" t="s">
        <v>1367</v>
      </c>
      <c r="M529" s="21" t="s">
        <v>1368</v>
      </c>
      <c r="P529" s="21" t="s">
        <v>22</v>
      </c>
    </row>
    <row r="530" spans="1:33" ht="28.9">
      <c r="A530" s="253" t="s">
        <v>4699</v>
      </c>
      <c r="B530" s="289"/>
      <c r="C530" s="189" t="s">
        <v>4598</v>
      </c>
      <c r="D530" s="2" t="s">
        <v>4700</v>
      </c>
      <c r="E530" s="2" t="s">
        <v>2743</v>
      </c>
      <c r="F530" s="2" t="s">
        <v>2732</v>
      </c>
      <c r="G530" s="2" t="s">
        <v>4701</v>
      </c>
      <c r="H530" s="2" t="s">
        <v>4691</v>
      </c>
      <c r="I530" s="2" t="s">
        <v>2630</v>
      </c>
      <c r="J530" s="2" t="s">
        <v>2745</v>
      </c>
      <c r="K530" s="2" t="s">
        <v>2630</v>
      </c>
      <c r="L530" s="6" t="s">
        <v>1367</v>
      </c>
      <c r="M530" s="21" t="s">
        <v>1368</v>
      </c>
      <c r="P530" s="21" t="s">
        <v>1371</v>
      </c>
    </row>
    <row r="531" spans="1:33" ht="43.15">
      <c r="A531" s="253" t="s">
        <v>4702</v>
      </c>
      <c r="B531" s="289"/>
      <c r="C531" s="189" t="s">
        <v>4598</v>
      </c>
      <c r="D531" s="2" t="s">
        <v>4703</v>
      </c>
      <c r="E531" s="2" t="s">
        <v>2748</v>
      </c>
      <c r="F531" s="2" t="s">
        <v>4671</v>
      </c>
      <c r="G531" s="2" t="s">
        <v>4704</v>
      </c>
      <c r="H531" s="2" t="s">
        <v>4705</v>
      </c>
      <c r="I531" s="2" t="s">
        <v>4706</v>
      </c>
      <c r="J531" s="2" t="s">
        <v>2752</v>
      </c>
      <c r="K531" s="2" t="s">
        <v>4707</v>
      </c>
      <c r="L531" s="6" t="s">
        <v>1367</v>
      </c>
      <c r="M531" s="21" t="s">
        <v>1368</v>
      </c>
      <c r="P531" s="21" t="s">
        <v>22</v>
      </c>
    </row>
    <row r="532" spans="1:33" ht="43.15">
      <c r="A532" s="253" t="s">
        <v>4708</v>
      </c>
      <c r="B532" s="289"/>
      <c r="C532" s="189" t="s">
        <v>4598</v>
      </c>
      <c r="D532" s="2" t="s">
        <v>4709</v>
      </c>
      <c r="E532" s="2" t="s">
        <v>2756</v>
      </c>
      <c r="F532" s="2" t="s">
        <v>4710</v>
      </c>
      <c r="G532" s="2" t="s">
        <v>2758</v>
      </c>
      <c r="H532" s="2" t="s">
        <v>4691</v>
      </c>
      <c r="I532" s="2" t="s">
        <v>2759</v>
      </c>
      <c r="J532" s="2" t="s">
        <v>2760</v>
      </c>
      <c r="K532" s="2" t="s">
        <v>2761</v>
      </c>
      <c r="L532" s="6" t="s">
        <v>1367</v>
      </c>
      <c r="M532" s="21" t="s">
        <v>1368</v>
      </c>
      <c r="P532" s="21" t="s">
        <v>22</v>
      </c>
    </row>
    <row r="533" spans="1:33" ht="43.15">
      <c r="A533" s="253" t="s">
        <v>4711</v>
      </c>
      <c r="B533" s="289"/>
      <c r="C533" s="189" t="s">
        <v>4598</v>
      </c>
      <c r="D533" s="2" t="s">
        <v>4712</v>
      </c>
      <c r="E533" s="2" t="s">
        <v>4713</v>
      </c>
      <c r="F533" s="2" t="s">
        <v>4671</v>
      </c>
      <c r="G533" s="2" t="s">
        <v>4714</v>
      </c>
      <c r="H533" s="2" t="s">
        <v>4705</v>
      </c>
      <c r="I533" s="2" t="s">
        <v>4715</v>
      </c>
      <c r="J533" s="2" t="s">
        <v>2767</v>
      </c>
      <c r="K533" s="2" t="s">
        <v>4694</v>
      </c>
      <c r="L533" s="6" t="s">
        <v>1367</v>
      </c>
      <c r="M533" s="21" t="s">
        <v>1368</v>
      </c>
      <c r="P533" s="21" t="s">
        <v>1393</v>
      </c>
    </row>
    <row r="534" spans="1:33" ht="43.15">
      <c r="A534" s="253" t="s">
        <v>4716</v>
      </c>
      <c r="B534" s="289"/>
      <c r="C534" s="189" t="s">
        <v>4598</v>
      </c>
      <c r="D534" s="2" t="s">
        <v>4717</v>
      </c>
      <c r="E534" s="2" t="s">
        <v>2771</v>
      </c>
      <c r="F534" s="2" t="s">
        <v>4718</v>
      </c>
      <c r="G534" s="2" t="s">
        <v>2773</v>
      </c>
      <c r="H534" s="2" t="s">
        <v>2774</v>
      </c>
      <c r="I534" s="2" t="s">
        <v>4719</v>
      </c>
      <c r="J534" s="2" t="s">
        <v>2776</v>
      </c>
      <c r="K534" s="2" t="s">
        <v>2777</v>
      </c>
      <c r="L534" s="6" t="s">
        <v>1367</v>
      </c>
      <c r="M534" s="21" t="s">
        <v>1368</v>
      </c>
      <c r="P534" s="21" t="s">
        <v>1371</v>
      </c>
    </row>
    <row r="535" spans="1:33" ht="43.15">
      <c r="A535" s="253" t="s">
        <v>4720</v>
      </c>
      <c r="B535" s="289"/>
      <c r="C535" s="189" t="s">
        <v>4598</v>
      </c>
      <c r="D535" s="2" t="s">
        <v>4721</v>
      </c>
      <c r="E535" s="2" t="s">
        <v>2780</v>
      </c>
      <c r="F535" s="2" t="s">
        <v>4722</v>
      </c>
      <c r="G535" s="2" t="s">
        <v>4723</v>
      </c>
      <c r="H535" s="2" t="s">
        <v>1442</v>
      </c>
      <c r="I535" s="2" t="s">
        <v>2783</v>
      </c>
      <c r="J535" s="2" t="s">
        <v>2784</v>
      </c>
      <c r="K535" s="2" t="s">
        <v>2785</v>
      </c>
      <c r="L535" s="6" t="s">
        <v>1367</v>
      </c>
      <c r="M535" s="21" t="s">
        <v>1368</v>
      </c>
      <c r="P535" s="21" t="s">
        <v>1371</v>
      </c>
    </row>
    <row r="536" spans="1:33" ht="28.9">
      <c r="A536" s="253" t="s">
        <v>4724</v>
      </c>
      <c r="B536" s="289"/>
      <c r="C536" s="189" t="s">
        <v>4598</v>
      </c>
      <c r="D536" s="2" t="s">
        <v>2787</v>
      </c>
      <c r="E536" s="2" t="s">
        <v>4725</v>
      </c>
      <c r="F536" s="2" t="s">
        <v>4726</v>
      </c>
      <c r="G536" s="2" t="s">
        <v>4727</v>
      </c>
      <c r="H536" s="2" t="s">
        <v>1442</v>
      </c>
      <c r="I536" s="2" t="s">
        <v>2791</v>
      </c>
      <c r="J536" s="2" t="s">
        <v>2792</v>
      </c>
      <c r="K536" s="2" t="s">
        <v>2793</v>
      </c>
      <c r="L536" s="6" t="s">
        <v>1367</v>
      </c>
      <c r="M536" s="21" t="s">
        <v>1368</v>
      </c>
      <c r="P536" s="21" t="s">
        <v>1481</v>
      </c>
      <c r="AG536" s="78"/>
    </row>
    <row r="537" spans="1:33" s="45" customFormat="1">
      <c r="A537" s="247"/>
      <c r="B537" s="289"/>
      <c r="C537" s="78"/>
      <c r="D537" s="44"/>
      <c r="E537" s="44"/>
      <c r="F537" s="44"/>
      <c r="G537" s="44"/>
      <c r="H537" s="44"/>
      <c r="I537" s="44"/>
      <c r="J537" s="44"/>
      <c r="K537" s="44"/>
      <c r="L537" s="81"/>
      <c r="M537" s="78"/>
      <c r="P537" s="78"/>
      <c r="Q537" s="78"/>
      <c r="R537" s="303"/>
      <c r="W537" s="81"/>
      <c r="X537" s="81"/>
      <c r="AG537" s="21"/>
    </row>
    <row r="538" spans="1:33" ht="57.6">
      <c r="A538" s="253" t="s">
        <v>4728</v>
      </c>
      <c r="B538" s="289"/>
      <c r="C538" s="233" t="s">
        <v>4729</v>
      </c>
      <c r="D538" s="134" t="s">
        <v>4730</v>
      </c>
      <c r="E538" s="134" t="s">
        <v>4731</v>
      </c>
      <c r="F538" s="134" t="s">
        <v>4732</v>
      </c>
      <c r="G538" s="134" t="s">
        <v>4733</v>
      </c>
      <c r="H538" s="134" t="s">
        <v>4734</v>
      </c>
      <c r="I538" s="134" t="s">
        <v>4735</v>
      </c>
      <c r="J538" s="134" t="s">
        <v>4736</v>
      </c>
      <c r="K538" s="134" t="s">
        <v>4737</v>
      </c>
      <c r="L538" s="6" t="s">
        <v>1367</v>
      </c>
      <c r="M538" s="21" t="s">
        <v>1415</v>
      </c>
      <c r="O538" s="176" t="s">
        <v>1649</v>
      </c>
      <c r="P538" s="261" t="s">
        <v>22</v>
      </c>
      <c r="W538" s="81"/>
      <c r="X538" s="81"/>
    </row>
    <row r="539" spans="1:33" ht="28.9">
      <c r="A539" s="253" t="s">
        <v>4738</v>
      </c>
      <c r="B539" s="289"/>
      <c r="C539" s="233" t="s">
        <v>4729</v>
      </c>
      <c r="D539" s="134" t="s">
        <v>4739</v>
      </c>
      <c r="E539" s="134" t="s">
        <v>4740</v>
      </c>
      <c r="F539" s="134" t="s">
        <v>4741</v>
      </c>
      <c r="G539" s="134" t="s">
        <v>4742</v>
      </c>
      <c r="H539" s="134" t="s">
        <v>4743</v>
      </c>
      <c r="I539" s="134" t="s">
        <v>4744</v>
      </c>
      <c r="J539" s="134" t="s">
        <v>1442</v>
      </c>
      <c r="K539" s="134" t="s">
        <v>4745</v>
      </c>
      <c r="L539" s="6" t="s">
        <v>1367</v>
      </c>
      <c r="M539" s="21" t="s">
        <v>1415</v>
      </c>
      <c r="O539" s="176" t="s">
        <v>1649</v>
      </c>
      <c r="P539" s="261" t="s">
        <v>1371</v>
      </c>
    </row>
    <row r="540" spans="1:33" ht="43.15">
      <c r="A540" s="253" t="s">
        <v>4746</v>
      </c>
      <c r="B540" s="289"/>
      <c r="C540" s="233" t="s">
        <v>4729</v>
      </c>
      <c r="D540" s="134" t="s">
        <v>4747</v>
      </c>
      <c r="E540" s="134" t="s">
        <v>4748</v>
      </c>
      <c r="F540" s="134" t="s">
        <v>4749</v>
      </c>
      <c r="G540" s="134" t="s">
        <v>4750</v>
      </c>
      <c r="H540" s="134" t="s">
        <v>4751</v>
      </c>
      <c r="I540" s="134" t="s">
        <v>4752</v>
      </c>
      <c r="J540" s="134" t="s">
        <v>4753</v>
      </c>
      <c r="K540" s="134" t="s">
        <v>4754</v>
      </c>
      <c r="L540" s="6" t="s">
        <v>1367</v>
      </c>
      <c r="M540" s="21" t="s">
        <v>1415</v>
      </c>
      <c r="O540" s="176" t="s">
        <v>1649</v>
      </c>
      <c r="P540" s="261" t="s">
        <v>22</v>
      </c>
    </row>
    <row r="541" spans="1:33" ht="43.15">
      <c r="A541" s="253" t="s">
        <v>4755</v>
      </c>
      <c r="B541" s="289"/>
      <c r="C541" s="233" t="s">
        <v>4729</v>
      </c>
      <c r="D541" s="134" t="s">
        <v>4756</v>
      </c>
      <c r="E541" s="134" t="s">
        <v>4757</v>
      </c>
      <c r="F541" s="134" t="s">
        <v>4749</v>
      </c>
      <c r="G541" s="134" t="s">
        <v>4758</v>
      </c>
      <c r="H541" s="134" t="s">
        <v>4759</v>
      </c>
      <c r="I541" s="134" t="s">
        <v>4760</v>
      </c>
      <c r="J541" s="134" t="s">
        <v>4753</v>
      </c>
      <c r="K541" s="134" t="s">
        <v>4754</v>
      </c>
      <c r="L541" s="6" t="s">
        <v>1367</v>
      </c>
      <c r="M541" s="21" t="s">
        <v>1415</v>
      </c>
      <c r="O541" s="176" t="s">
        <v>1649</v>
      </c>
      <c r="P541" s="261" t="s">
        <v>22</v>
      </c>
    </row>
    <row r="542" spans="1:33" ht="43.15">
      <c r="A542" s="253" t="s">
        <v>4761</v>
      </c>
      <c r="B542" s="289"/>
      <c r="C542" s="233" t="s">
        <v>4729</v>
      </c>
      <c r="D542" s="134" t="s">
        <v>4762</v>
      </c>
      <c r="E542" s="134" t="s">
        <v>4763</v>
      </c>
      <c r="F542" s="134" t="s">
        <v>4749</v>
      </c>
      <c r="G542" s="134" t="s">
        <v>4764</v>
      </c>
      <c r="H542" s="134" t="s">
        <v>4751</v>
      </c>
      <c r="I542" s="134" t="s">
        <v>4765</v>
      </c>
      <c r="J542" s="134" t="s">
        <v>4766</v>
      </c>
      <c r="K542" s="134" t="s">
        <v>4767</v>
      </c>
      <c r="L542" s="6" t="s">
        <v>1367</v>
      </c>
      <c r="M542" s="21" t="s">
        <v>1415</v>
      </c>
      <c r="O542" s="176" t="s">
        <v>1649</v>
      </c>
      <c r="P542" s="261" t="s">
        <v>1371</v>
      </c>
    </row>
    <row r="543" spans="1:33" ht="43.15">
      <c r="A543" s="253" t="s">
        <v>4768</v>
      </c>
      <c r="B543" s="289"/>
      <c r="C543" s="233" t="s">
        <v>4729</v>
      </c>
      <c r="D543" s="134" t="s">
        <v>4769</v>
      </c>
      <c r="E543" s="134" t="s">
        <v>4770</v>
      </c>
      <c r="F543" s="134" t="s">
        <v>4749</v>
      </c>
      <c r="G543" s="134" t="s">
        <v>4771</v>
      </c>
      <c r="H543" s="134" t="s">
        <v>4772</v>
      </c>
      <c r="I543" s="134" t="s">
        <v>4773</v>
      </c>
      <c r="J543" s="134" t="s">
        <v>4774</v>
      </c>
      <c r="K543" s="134" t="s">
        <v>4775</v>
      </c>
      <c r="L543" s="6" t="s">
        <v>1367</v>
      </c>
      <c r="M543" s="21" t="s">
        <v>1415</v>
      </c>
      <c r="O543" s="176" t="s">
        <v>1649</v>
      </c>
      <c r="P543" s="261" t="s">
        <v>22</v>
      </c>
    </row>
    <row r="544" spans="1:33" ht="43.15">
      <c r="A544" s="253" t="s">
        <v>4776</v>
      </c>
      <c r="B544" s="289"/>
      <c r="C544" s="233" t="s">
        <v>4729</v>
      </c>
      <c r="D544" s="134" t="s">
        <v>4777</v>
      </c>
      <c r="E544" s="134" t="s">
        <v>4778</v>
      </c>
      <c r="F544" s="134" t="s">
        <v>4749</v>
      </c>
      <c r="G544" s="134" t="s">
        <v>4779</v>
      </c>
      <c r="H544" s="134" t="s">
        <v>4780</v>
      </c>
      <c r="I544" s="134" t="s">
        <v>4781</v>
      </c>
      <c r="J544" s="134" t="s">
        <v>4774</v>
      </c>
      <c r="K544" s="134" t="s">
        <v>4775</v>
      </c>
      <c r="L544" s="6" t="s">
        <v>1367</v>
      </c>
      <c r="M544" s="21" t="s">
        <v>1415</v>
      </c>
      <c r="O544" s="176" t="s">
        <v>1649</v>
      </c>
      <c r="P544" s="261" t="s">
        <v>1371</v>
      </c>
    </row>
    <row r="545" spans="1:33" ht="43.15">
      <c r="A545" s="253" t="s">
        <v>4782</v>
      </c>
      <c r="B545" s="289"/>
      <c r="C545" s="233" t="s">
        <v>4729</v>
      </c>
      <c r="D545" s="134" t="s">
        <v>4783</v>
      </c>
      <c r="E545" s="134" t="s">
        <v>4784</v>
      </c>
      <c r="F545" s="134" t="s">
        <v>4749</v>
      </c>
      <c r="G545" s="134" t="s">
        <v>4785</v>
      </c>
      <c r="H545" s="134" t="s">
        <v>4786</v>
      </c>
      <c r="I545" s="134" t="s">
        <v>4787</v>
      </c>
      <c r="J545" s="134" t="s">
        <v>4774</v>
      </c>
      <c r="K545" s="134" t="s">
        <v>4788</v>
      </c>
      <c r="L545" s="6" t="s">
        <v>1367</v>
      </c>
      <c r="M545" s="21" t="s">
        <v>1415</v>
      </c>
      <c r="O545" s="176" t="s">
        <v>1649</v>
      </c>
      <c r="P545" s="261" t="s">
        <v>22</v>
      </c>
    </row>
    <row r="546" spans="1:33" ht="43.15">
      <c r="A546" s="253" t="s">
        <v>4789</v>
      </c>
      <c r="B546" s="289"/>
      <c r="C546" s="233" t="s">
        <v>4729</v>
      </c>
      <c r="D546" s="134" t="s">
        <v>4790</v>
      </c>
      <c r="E546" s="134" t="s">
        <v>4791</v>
      </c>
      <c r="F546" s="134" t="s">
        <v>4749</v>
      </c>
      <c r="G546" s="134" t="s">
        <v>4792</v>
      </c>
      <c r="H546" s="134" t="s">
        <v>4793</v>
      </c>
      <c r="I546" s="134" t="s">
        <v>4794</v>
      </c>
      <c r="J546" s="134" t="s">
        <v>4795</v>
      </c>
      <c r="K546" s="134" t="s">
        <v>4796</v>
      </c>
      <c r="L546" s="6" t="s">
        <v>1367</v>
      </c>
      <c r="M546" s="21" t="s">
        <v>1415</v>
      </c>
      <c r="O546" s="176" t="s">
        <v>1649</v>
      </c>
      <c r="P546" s="261" t="s">
        <v>22</v>
      </c>
    </row>
    <row r="547" spans="1:33" ht="43.15">
      <c r="A547" s="253" t="s">
        <v>4797</v>
      </c>
      <c r="B547" s="289"/>
      <c r="C547" s="233" t="s">
        <v>4729</v>
      </c>
      <c r="D547" s="134" t="s">
        <v>4798</v>
      </c>
      <c r="E547" s="134" t="s">
        <v>4799</v>
      </c>
      <c r="F547" s="134" t="s">
        <v>4749</v>
      </c>
      <c r="G547" s="134" t="s">
        <v>4800</v>
      </c>
      <c r="H547" s="134" t="s">
        <v>4801</v>
      </c>
      <c r="I547" s="134" t="s">
        <v>4802</v>
      </c>
      <c r="J547" s="134" t="s">
        <v>4803</v>
      </c>
      <c r="K547" s="134" t="s">
        <v>4804</v>
      </c>
      <c r="L547" s="6" t="s">
        <v>1367</v>
      </c>
      <c r="M547" s="21" t="s">
        <v>1415</v>
      </c>
      <c r="O547" s="176" t="s">
        <v>1649</v>
      </c>
      <c r="P547" s="261" t="s">
        <v>1371</v>
      </c>
    </row>
    <row r="548" spans="1:33" ht="43.15">
      <c r="A548" s="253" t="s">
        <v>4805</v>
      </c>
      <c r="B548" s="289"/>
      <c r="C548" s="233" t="s">
        <v>4729</v>
      </c>
      <c r="D548" s="134" t="s">
        <v>4806</v>
      </c>
      <c r="E548" s="134" t="s">
        <v>4807</v>
      </c>
      <c r="F548" s="134" t="s">
        <v>4749</v>
      </c>
      <c r="G548" s="134" t="s">
        <v>4808</v>
      </c>
      <c r="H548" s="134" t="s">
        <v>4809</v>
      </c>
      <c r="I548" s="134" t="s">
        <v>4810</v>
      </c>
      <c r="J548" s="134" t="s">
        <v>4811</v>
      </c>
      <c r="K548" s="134" t="s">
        <v>4812</v>
      </c>
      <c r="L548" s="6" t="s">
        <v>1367</v>
      </c>
      <c r="M548" s="21" t="s">
        <v>1415</v>
      </c>
      <c r="O548" s="176" t="s">
        <v>1649</v>
      </c>
      <c r="P548" s="261" t="s">
        <v>1371</v>
      </c>
    </row>
    <row r="549" spans="1:33" ht="28.9">
      <c r="A549" s="253" t="s">
        <v>4813</v>
      </c>
      <c r="B549" s="289"/>
      <c r="C549" s="233" t="s">
        <v>4729</v>
      </c>
      <c r="D549" s="134" t="s">
        <v>4814</v>
      </c>
      <c r="E549" s="134" t="s">
        <v>4815</v>
      </c>
      <c r="F549" s="134" t="s">
        <v>4816</v>
      </c>
      <c r="G549" s="134" t="s">
        <v>4817</v>
      </c>
      <c r="H549" s="134" t="s">
        <v>1442</v>
      </c>
      <c r="I549" s="134" t="s">
        <v>4818</v>
      </c>
      <c r="J549" s="134" t="s">
        <v>4819</v>
      </c>
      <c r="K549" s="134" t="s">
        <v>4820</v>
      </c>
      <c r="L549" s="6" t="s">
        <v>1367</v>
      </c>
      <c r="M549" s="21" t="s">
        <v>1415</v>
      </c>
      <c r="O549" s="176" t="s">
        <v>1649</v>
      </c>
      <c r="P549" s="261" t="s">
        <v>22</v>
      </c>
    </row>
    <row r="550" spans="1:33" ht="43.15">
      <c r="A550" s="253" t="s">
        <v>4821</v>
      </c>
      <c r="B550" s="289"/>
      <c r="C550" s="233" t="s">
        <v>4729</v>
      </c>
      <c r="D550" s="134" t="s">
        <v>4822</v>
      </c>
      <c r="E550" s="134" t="s">
        <v>4823</v>
      </c>
      <c r="F550" s="134" t="s">
        <v>4824</v>
      </c>
      <c r="G550" s="134" t="s">
        <v>4825</v>
      </c>
      <c r="H550" s="134" t="s">
        <v>4826</v>
      </c>
      <c r="I550" s="134" t="s">
        <v>4827</v>
      </c>
      <c r="J550" s="134" t="s">
        <v>4828</v>
      </c>
      <c r="K550" s="134" t="s">
        <v>4829</v>
      </c>
      <c r="L550" s="6" t="s">
        <v>1367</v>
      </c>
      <c r="M550" s="21" t="s">
        <v>1415</v>
      </c>
      <c r="O550" s="176" t="s">
        <v>1649</v>
      </c>
      <c r="P550" s="261" t="s">
        <v>1393</v>
      </c>
    </row>
    <row r="551" spans="1:33" ht="28.9">
      <c r="A551" s="253" t="s">
        <v>4830</v>
      </c>
      <c r="B551" s="289"/>
      <c r="C551" s="233" t="s">
        <v>4729</v>
      </c>
      <c r="D551" s="134" t="s">
        <v>4831</v>
      </c>
      <c r="E551" s="134" t="s">
        <v>4832</v>
      </c>
      <c r="F551" s="134" t="s">
        <v>4833</v>
      </c>
      <c r="G551" s="134" t="s">
        <v>4834</v>
      </c>
      <c r="H551" s="134" t="s">
        <v>1442</v>
      </c>
      <c r="I551" s="134" t="s">
        <v>4835</v>
      </c>
      <c r="J551" s="134" t="s">
        <v>4836</v>
      </c>
      <c r="K551" s="134" t="s">
        <v>4837</v>
      </c>
      <c r="L551" s="6" t="s">
        <v>1367</v>
      </c>
      <c r="M551" s="21" t="s">
        <v>1415</v>
      </c>
      <c r="O551" s="176" t="s">
        <v>1649</v>
      </c>
      <c r="P551" s="261" t="s">
        <v>1371</v>
      </c>
      <c r="AG551" s="300"/>
    </row>
    <row r="552" spans="1:33" s="143" customFormat="1" ht="43.15">
      <c r="A552" s="322" t="s">
        <v>4838</v>
      </c>
      <c r="B552" s="289"/>
      <c r="C552" s="323" t="s">
        <v>4729</v>
      </c>
      <c r="D552" s="139" t="s">
        <v>4839</v>
      </c>
      <c r="E552" s="139" t="s">
        <v>4840</v>
      </c>
      <c r="F552" s="139" t="s">
        <v>4749</v>
      </c>
      <c r="G552" s="139" t="s">
        <v>4841</v>
      </c>
      <c r="H552" s="139" t="s">
        <v>4842</v>
      </c>
      <c r="I552" s="139" t="s">
        <v>4843</v>
      </c>
      <c r="J552" s="139" t="s">
        <v>4844</v>
      </c>
      <c r="K552" s="139" t="s">
        <v>4845</v>
      </c>
      <c r="L552" s="6" t="s">
        <v>1367</v>
      </c>
      <c r="M552" s="300" t="s">
        <v>1415</v>
      </c>
      <c r="O552" s="324" t="s">
        <v>1649</v>
      </c>
      <c r="P552" s="325" t="s">
        <v>22</v>
      </c>
      <c r="Q552" s="300"/>
      <c r="R552" s="293" t="s">
        <v>4846</v>
      </c>
      <c r="W552" s="326"/>
      <c r="X552" s="326"/>
      <c r="AG552" s="21"/>
    </row>
    <row r="553" spans="1:33" ht="43.15">
      <c r="A553" s="253" t="s">
        <v>4847</v>
      </c>
      <c r="B553" s="289"/>
      <c r="C553" s="233" t="s">
        <v>4729</v>
      </c>
      <c r="D553" s="134" t="s">
        <v>4848</v>
      </c>
      <c r="E553" s="134" t="s">
        <v>4849</v>
      </c>
      <c r="F553" s="134" t="s">
        <v>4749</v>
      </c>
      <c r="G553" s="134" t="s">
        <v>4850</v>
      </c>
      <c r="H553" s="134" t="s">
        <v>4851</v>
      </c>
      <c r="I553" s="134" t="s">
        <v>4852</v>
      </c>
      <c r="J553" s="134" t="s">
        <v>1442</v>
      </c>
      <c r="K553" s="134" t="s">
        <v>4853</v>
      </c>
      <c r="L553" s="6" t="s">
        <v>1367</v>
      </c>
      <c r="M553" s="21" t="s">
        <v>1415</v>
      </c>
      <c r="O553" s="176" t="s">
        <v>1649</v>
      </c>
      <c r="P553" s="261" t="s">
        <v>1371</v>
      </c>
    </row>
    <row r="554" spans="1:33" ht="43.15">
      <c r="A554" s="253" t="s">
        <v>4854</v>
      </c>
      <c r="B554" s="289"/>
      <c r="C554" s="233" t="s">
        <v>4729</v>
      </c>
      <c r="D554" s="134" t="s">
        <v>4855</v>
      </c>
      <c r="E554" s="134" t="s">
        <v>4856</v>
      </c>
      <c r="F554" s="134" t="s">
        <v>4749</v>
      </c>
      <c r="G554" s="134" t="s">
        <v>4857</v>
      </c>
      <c r="H554" s="134" t="s">
        <v>4858</v>
      </c>
      <c r="I554" s="134" t="s">
        <v>4859</v>
      </c>
      <c r="J554" s="134" t="s">
        <v>1442</v>
      </c>
      <c r="K554" s="134" t="s">
        <v>4860</v>
      </c>
      <c r="L554" s="6" t="s">
        <v>1367</v>
      </c>
      <c r="M554" s="21" t="s">
        <v>1415</v>
      </c>
      <c r="O554" s="176" t="s">
        <v>1649</v>
      </c>
      <c r="P554" s="261" t="s">
        <v>1481</v>
      </c>
    </row>
    <row r="555" spans="1:33" ht="43.15">
      <c r="A555" s="253" t="s">
        <v>4861</v>
      </c>
      <c r="B555" s="289"/>
      <c r="C555" s="233" t="s">
        <v>4729</v>
      </c>
      <c r="D555" s="134" t="s">
        <v>4862</v>
      </c>
      <c r="E555" s="134" t="s">
        <v>4863</v>
      </c>
      <c r="F555" s="134" t="s">
        <v>4749</v>
      </c>
      <c r="G555" s="134" t="s">
        <v>4864</v>
      </c>
      <c r="H555" s="134" t="s">
        <v>4865</v>
      </c>
      <c r="I555" s="134" t="s">
        <v>4866</v>
      </c>
      <c r="J555" s="134" t="s">
        <v>4774</v>
      </c>
      <c r="K555" s="134" t="s">
        <v>4867</v>
      </c>
      <c r="L555" s="6" t="s">
        <v>1367</v>
      </c>
      <c r="M555" s="21" t="s">
        <v>1415</v>
      </c>
      <c r="O555" s="176" t="s">
        <v>1649</v>
      </c>
      <c r="P555" s="261" t="s">
        <v>1371</v>
      </c>
    </row>
    <row r="556" spans="1:33" ht="28.9">
      <c r="A556" s="253" t="s">
        <v>4868</v>
      </c>
      <c r="B556" s="289"/>
      <c r="C556" s="233" t="s">
        <v>4729</v>
      </c>
      <c r="D556" s="134" t="s">
        <v>4869</v>
      </c>
      <c r="E556" s="134" t="s">
        <v>4870</v>
      </c>
      <c r="F556" s="134" t="s">
        <v>4871</v>
      </c>
      <c r="G556" s="134" t="s">
        <v>4872</v>
      </c>
      <c r="H556" s="134" t="s">
        <v>4873</v>
      </c>
      <c r="I556" s="134" t="s">
        <v>4874</v>
      </c>
      <c r="J556" s="134" t="s">
        <v>1442</v>
      </c>
      <c r="K556" s="134" t="s">
        <v>4875</v>
      </c>
      <c r="L556" s="6" t="s">
        <v>1367</v>
      </c>
      <c r="M556" s="21" t="s">
        <v>1415</v>
      </c>
      <c r="O556" s="176" t="s">
        <v>1649</v>
      </c>
      <c r="P556" s="261" t="s">
        <v>22</v>
      </c>
    </row>
    <row r="557" spans="1:33" ht="57.6">
      <c r="A557" s="253" t="s">
        <v>4876</v>
      </c>
      <c r="B557" s="289"/>
      <c r="C557" s="233" t="s">
        <v>4729</v>
      </c>
      <c r="D557" s="134" t="s">
        <v>4877</v>
      </c>
      <c r="E557" s="134" t="s">
        <v>4878</v>
      </c>
      <c r="F557" s="134" t="s">
        <v>4879</v>
      </c>
      <c r="G557" s="134" t="s">
        <v>4880</v>
      </c>
      <c r="H557" s="134" t="s">
        <v>1442</v>
      </c>
      <c r="I557" s="134" t="s">
        <v>4881</v>
      </c>
      <c r="J557" s="134" t="s">
        <v>4882</v>
      </c>
      <c r="K557" s="134" t="s">
        <v>4883</v>
      </c>
      <c r="L557" s="6" t="s">
        <v>1367</v>
      </c>
      <c r="M557" s="21" t="s">
        <v>1415</v>
      </c>
      <c r="O557" s="176" t="s">
        <v>1649</v>
      </c>
      <c r="P557" s="261" t="s">
        <v>22</v>
      </c>
      <c r="AG557" s="300"/>
    </row>
    <row r="558" spans="1:33" s="143" customFormat="1" ht="43.15">
      <c r="A558" s="322" t="s">
        <v>4884</v>
      </c>
      <c r="B558" s="289"/>
      <c r="C558" s="323" t="s">
        <v>4729</v>
      </c>
      <c r="D558" s="139" t="s">
        <v>4885</v>
      </c>
      <c r="E558" s="139" t="s">
        <v>4886</v>
      </c>
      <c r="F558" s="139" t="s">
        <v>4749</v>
      </c>
      <c r="G558" s="139" t="s">
        <v>4887</v>
      </c>
      <c r="H558" s="139" t="s">
        <v>4888</v>
      </c>
      <c r="I558" s="139" t="s">
        <v>4889</v>
      </c>
      <c r="J558" s="139" t="s">
        <v>1442</v>
      </c>
      <c r="K558" s="139" t="s">
        <v>4890</v>
      </c>
      <c r="L558" s="6" t="s">
        <v>1381</v>
      </c>
      <c r="M558" s="300" t="s">
        <v>1415</v>
      </c>
      <c r="O558" s="324" t="s">
        <v>1649</v>
      </c>
      <c r="P558" s="325" t="s">
        <v>1371</v>
      </c>
      <c r="Q558" s="300"/>
      <c r="R558" s="293" t="s">
        <v>4891</v>
      </c>
      <c r="W558" s="326"/>
      <c r="X558" s="326"/>
      <c r="AG558" s="21"/>
    </row>
    <row r="559" spans="1:33" ht="43.15">
      <c r="A559" s="253" t="s">
        <v>4892</v>
      </c>
      <c r="B559" s="289"/>
      <c r="C559" s="233" t="s">
        <v>4729</v>
      </c>
      <c r="D559" s="134" t="s">
        <v>4893</v>
      </c>
      <c r="E559" s="134" t="s">
        <v>4894</v>
      </c>
      <c r="F559" s="134" t="s">
        <v>4895</v>
      </c>
      <c r="G559" s="134" t="s">
        <v>4896</v>
      </c>
      <c r="H559" s="134" t="s">
        <v>4897</v>
      </c>
      <c r="I559" s="134" t="s">
        <v>4898</v>
      </c>
      <c r="J559" s="134" t="s">
        <v>4899</v>
      </c>
      <c r="K559" s="134" t="s">
        <v>4900</v>
      </c>
      <c r="L559" s="6" t="s">
        <v>1367</v>
      </c>
      <c r="M559" s="21" t="s">
        <v>1415</v>
      </c>
      <c r="O559" s="176" t="s">
        <v>1649</v>
      </c>
      <c r="P559" s="261" t="s">
        <v>1481</v>
      </c>
    </row>
    <row r="560" spans="1:33" ht="43.15">
      <c r="A560" s="253" t="s">
        <v>4901</v>
      </c>
      <c r="B560" s="289"/>
      <c r="C560" s="233" t="s">
        <v>4729</v>
      </c>
      <c r="D560" s="134" t="s">
        <v>4902</v>
      </c>
      <c r="E560" s="134" t="s">
        <v>4903</v>
      </c>
      <c r="F560" s="134" t="s">
        <v>4904</v>
      </c>
      <c r="G560" s="134" t="s">
        <v>4905</v>
      </c>
      <c r="H560" s="134" t="s">
        <v>4906</v>
      </c>
      <c r="I560" s="134" t="s">
        <v>4907</v>
      </c>
      <c r="J560" s="134" t="s">
        <v>4908</v>
      </c>
      <c r="K560" s="134" t="s">
        <v>4909</v>
      </c>
      <c r="L560" s="6" t="s">
        <v>1381</v>
      </c>
      <c r="M560" s="21" t="s">
        <v>1415</v>
      </c>
      <c r="O560" s="176" t="s">
        <v>1649</v>
      </c>
      <c r="P560" s="262" t="s">
        <v>1371</v>
      </c>
    </row>
    <row r="561" spans="1:33" ht="43.15">
      <c r="A561" s="253" t="s">
        <v>4910</v>
      </c>
      <c r="B561" s="289"/>
      <c r="C561" s="233" t="s">
        <v>4729</v>
      </c>
      <c r="D561" s="134" t="s">
        <v>4911</v>
      </c>
      <c r="E561" s="134" t="s">
        <v>4912</v>
      </c>
      <c r="F561" s="134" t="s">
        <v>4913</v>
      </c>
      <c r="G561" s="134" t="s">
        <v>4914</v>
      </c>
      <c r="H561" s="134" t="s">
        <v>4915</v>
      </c>
      <c r="I561" s="134" t="s">
        <v>4916</v>
      </c>
      <c r="J561" s="134" t="s">
        <v>4917</v>
      </c>
      <c r="K561" s="134" t="s">
        <v>4918</v>
      </c>
      <c r="L561" s="6" t="s">
        <v>1367</v>
      </c>
      <c r="M561" s="21" t="s">
        <v>1415</v>
      </c>
      <c r="O561" s="176" t="s">
        <v>1649</v>
      </c>
      <c r="P561" s="261" t="s">
        <v>22</v>
      </c>
    </row>
    <row r="562" spans="1:33" ht="28.9">
      <c r="A562" s="253" t="s">
        <v>4919</v>
      </c>
      <c r="B562" s="289"/>
      <c r="C562" s="233" t="s">
        <v>4729</v>
      </c>
      <c r="D562" s="134" t="s">
        <v>4920</v>
      </c>
      <c r="E562" s="134" t="s">
        <v>4921</v>
      </c>
      <c r="F562" s="134" t="s">
        <v>4922</v>
      </c>
      <c r="G562" s="134" t="s">
        <v>4923</v>
      </c>
      <c r="H562" s="134" t="s">
        <v>4924</v>
      </c>
      <c r="I562" s="134" t="s">
        <v>4925</v>
      </c>
      <c r="J562" s="134" t="s">
        <v>4926</v>
      </c>
      <c r="K562" s="134" t="s">
        <v>4927</v>
      </c>
      <c r="L562" s="6" t="s">
        <v>1367</v>
      </c>
      <c r="M562" s="21" t="s">
        <v>1415</v>
      </c>
      <c r="O562" s="176" t="s">
        <v>1649</v>
      </c>
      <c r="P562" s="261" t="s">
        <v>1481</v>
      </c>
    </row>
    <row r="563" spans="1:33" ht="43.15">
      <c r="A563" s="253" t="s">
        <v>4928</v>
      </c>
      <c r="B563" s="289"/>
      <c r="C563" s="233" t="s">
        <v>4729</v>
      </c>
      <c r="D563" s="134" t="s">
        <v>4929</v>
      </c>
      <c r="E563" s="134" t="s">
        <v>4930</v>
      </c>
      <c r="F563" s="134" t="s">
        <v>4913</v>
      </c>
      <c r="G563" s="134" t="s">
        <v>4931</v>
      </c>
      <c r="H563" s="134" t="s">
        <v>4932</v>
      </c>
      <c r="I563" s="134" t="s">
        <v>4933</v>
      </c>
      <c r="J563" s="134" t="s">
        <v>1442</v>
      </c>
      <c r="K563" s="134" t="s">
        <v>4934</v>
      </c>
      <c r="L563" s="6" t="s">
        <v>1381</v>
      </c>
      <c r="M563" s="21" t="s">
        <v>1415</v>
      </c>
      <c r="O563" s="176" t="s">
        <v>1649</v>
      </c>
      <c r="P563" s="262" t="s">
        <v>22</v>
      </c>
      <c r="R563" s="5" t="s">
        <v>4935</v>
      </c>
    </row>
    <row r="564" spans="1:33" ht="43.15">
      <c r="A564" s="253" t="s">
        <v>4936</v>
      </c>
      <c r="B564" s="289"/>
      <c r="C564" s="233" t="s">
        <v>4729</v>
      </c>
      <c r="D564" s="134" t="s">
        <v>4937</v>
      </c>
      <c r="E564" s="134" t="s">
        <v>4938</v>
      </c>
      <c r="F564" s="134" t="s">
        <v>4895</v>
      </c>
      <c r="G564" s="134" t="s">
        <v>4939</v>
      </c>
      <c r="H564" s="134" t="s">
        <v>4940</v>
      </c>
      <c r="I564" s="134" t="s">
        <v>4941</v>
      </c>
      <c r="J564" s="134" t="s">
        <v>1442</v>
      </c>
      <c r="K564" s="134" t="s">
        <v>4942</v>
      </c>
      <c r="L564" s="6" t="s">
        <v>1367</v>
      </c>
      <c r="M564" s="21" t="s">
        <v>1415</v>
      </c>
      <c r="O564" s="176" t="s">
        <v>1649</v>
      </c>
      <c r="P564" s="261" t="s">
        <v>1371</v>
      </c>
    </row>
    <row r="565" spans="1:33" ht="43.15">
      <c r="A565" s="253" t="s">
        <v>4943</v>
      </c>
      <c r="B565" s="289"/>
      <c r="C565" s="233" t="s">
        <v>4729</v>
      </c>
      <c r="D565" s="134" t="s">
        <v>4944</v>
      </c>
      <c r="E565" s="134" t="s">
        <v>4945</v>
      </c>
      <c r="F565" s="134" t="s">
        <v>4749</v>
      </c>
      <c r="G565" s="134" t="s">
        <v>4946</v>
      </c>
      <c r="H565" s="134" t="s">
        <v>4947</v>
      </c>
      <c r="I565" s="134" t="s">
        <v>4948</v>
      </c>
      <c r="J565" s="134" t="s">
        <v>1442</v>
      </c>
      <c r="K565" s="134" t="s">
        <v>4949</v>
      </c>
      <c r="L565" s="6" t="s">
        <v>1367</v>
      </c>
      <c r="M565" s="21" t="s">
        <v>1415</v>
      </c>
      <c r="O565" s="176" t="s">
        <v>1649</v>
      </c>
      <c r="P565" s="261" t="s">
        <v>1481</v>
      </c>
    </row>
    <row r="566" spans="1:33" ht="43.15">
      <c r="A566" s="253" t="s">
        <v>4950</v>
      </c>
      <c r="B566" s="289"/>
      <c r="C566" s="233" t="s">
        <v>4729</v>
      </c>
      <c r="D566" s="134" t="s">
        <v>4951</v>
      </c>
      <c r="E566" s="134" t="s">
        <v>4952</v>
      </c>
      <c r="F566" s="134" t="s">
        <v>4749</v>
      </c>
      <c r="G566" s="134" t="s">
        <v>4953</v>
      </c>
      <c r="H566" s="134" t="s">
        <v>4954</v>
      </c>
      <c r="I566" s="134" t="s">
        <v>4955</v>
      </c>
      <c r="J566" s="134" t="s">
        <v>4956</v>
      </c>
      <c r="K566" s="134" t="s">
        <v>4957</v>
      </c>
      <c r="L566" s="6" t="s">
        <v>1381</v>
      </c>
      <c r="M566" s="21" t="s">
        <v>1415</v>
      </c>
      <c r="O566" s="176" t="s">
        <v>1649</v>
      </c>
      <c r="P566" s="262" t="s">
        <v>1371</v>
      </c>
    </row>
    <row r="567" spans="1:33" ht="57.6">
      <c r="A567" s="253" t="s">
        <v>4958</v>
      </c>
      <c r="B567" s="289"/>
      <c r="C567" s="233" t="s">
        <v>4729</v>
      </c>
      <c r="D567" s="134" t="s">
        <v>4959</v>
      </c>
      <c r="E567" s="134" t="s">
        <v>4960</v>
      </c>
      <c r="F567" s="134" t="s">
        <v>4749</v>
      </c>
      <c r="G567" s="134" t="s">
        <v>4961</v>
      </c>
      <c r="H567" s="134" t="s">
        <v>4962</v>
      </c>
      <c r="I567" s="134" t="s">
        <v>4963</v>
      </c>
      <c r="J567" s="134" t="s">
        <v>1442</v>
      </c>
      <c r="K567" s="134" t="s">
        <v>4964</v>
      </c>
      <c r="L567" s="6" t="s">
        <v>1381</v>
      </c>
      <c r="M567" s="21" t="s">
        <v>1415</v>
      </c>
      <c r="O567" s="176" t="s">
        <v>1649</v>
      </c>
      <c r="P567" s="262" t="s">
        <v>1371</v>
      </c>
    </row>
    <row r="568" spans="1:33" ht="43.15">
      <c r="A568" s="253" t="s">
        <v>4965</v>
      </c>
      <c r="B568" s="289"/>
      <c r="C568" s="233" t="s">
        <v>4729</v>
      </c>
      <c r="D568" s="134" t="s">
        <v>4966</v>
      </c>
      <c r="E568" s="134" t="s">
        <v>4967</v>
      </c>
      <c r="F568" s="134" t="s">
        <v>4968</v>
      </c>
      <c r="G568" s="134" t="s">
        <v>4969</v>
      </c>
      <c r="H568" s="134" t="s">
        <v>4970</v>
      </c>
      <c r="I568" s="134" t="s">
        <v>4971</v>
      </c>
      <c r="J568" s="134" t="s">
        <v>1442</v>
      </c>
      <c r="K568" s="134" t="s">
        <v>4972</v>
      </c>
      <c r="L568" s="6" t="s">
        <v>1367</v>
      </c>
      <c r="M568" s="21" t="s">
        <v>1415</v>
      </c>
      <c r="O568" s="176" t="s">
        <v>1649</v>
      </c>
      <c r="P568" s="261" t="s">
        <v>1371</v>
      </c>
    </row>
    <row r="569" spans="1:33" ht="43.15">
      <c r="A569" s="253" t="s">
        <v>4973</v>
      </c>
      <c r="B569" s="289"/>
      <c r="C569" s="233" t="s">
        <v>4729</v>
      </c>
      <c r="D569" s="134" t="s">
        <v>4974</v>
      </c>
      <c r="E569" s="134" t="s">
        <v>4975</v>
      </c>
      <c r="F569" s="134" t="s">
        <v>4976</v>
      </c>
      <c r="G569" s="134" t="s">
        <v>4977</v>
      </c>
      <c r="H569" s="134" t="s">
        <v>4978</v>
      </c>
      <c r="I569" s="134" t="s">
        <v>4979</v>
      </c>
      <c r="J569" s="134" t="s">
        <v>1442</v>
      </c>
      <c r="K569" s="134" t="s">
        <v>4980</v>
      </c>
      <c r="L569" s="6" t="s">
        <v>1367</v>
      </c>
      <c r="M569" s="21" t="s">
        <v>1415</v>
      </c>
      <c r="O569" s="176" t="s">
        <v>1649</v>
      </c>
      <c r="P569" s="261" t="s">
        <v>22</v>
      </c>
    </row>
    <row r="570" spans="1:33" ht="43.15">
      <c r="A570" s="253" t="s">
        <v>4981</v>
      </c>
      <c r="B570" s="289"/>
      <c r="C570" s="233" t="s">
        <v>4729</v>
      </c>
      <c r="D570" s="134" t="s">
        <v>4982</v>
      </c>
      <c r="E570" s="134" t="s">
        <v>4983</v>
      </c>
      <c r="F570" s="134" t="s">
        <v>4984</v>
      </c>
      <c r="G570" s="134" t="s">
        <v>4985</v>
      </c>
      <c r="H570" s="134" t="s">
        <v>1442</v>
      </c>
      <c r="I570" s="134" t="s">
        <v>4986</v>
      </c>
      <c r="J570" s="134" t="s">
        <v>4987</v>
      </c>
      <c r="K570" s="134" t="s">
        <v>4988</v>
      </c>
      <c r="L570" s="6" t="s">
        <v>1367</v>
      </c>
      <c r="M570" s="21" t="s">
        <v>1415</v>
      </c>
      <c r="O570" s="176" t="s">
        <v>1649</v>
      </c>
      <c r="P570" s="261" t="s">
        <v>1371</v>
      </c>
    </row>
    <row r="571" spans="1:33" ht="43.15">
      <c r="A571" s="253" t="s">
        <v>4989</v>
      </c>
      <c r="B571" s="289"/>
      <c r="C571" s="233" t="s">
        <v>4729</v>
      </c>
      <c r="D571" s="134" t="s">
        <v>4990</v>
      </c>
      <c r="E571" s="134" t="s">
        <v>4991</v>
      </c>
      <c r="F571" s="134" t="s">
        <v>4749</v>
      </c>
      <c r="G571" s="134" t="s">
        <v>4992</v>
      </c>
      <c r="H571" s="134" t="s">
        <v>4993</v>
      </c>
      <c r="I571" s="134" t="s">
        <v>4994</v>
      </c>
      <c r="J571" s="134" t="s">
        <v>1442</v>
      </c>
      <c r="K571" s="134" t="s">
        <v>4995</v>
      </c>
      <c r="L571" s="6" t="s">
        <v>1367</v>
      </c>
      <c r="M571" s="21" t="s">
        <v>1415</v>
      </c>
      <c r="O571" s="176" t="s">
        <v>1649</v>
      </c>
      <c r="P571" s="261" t="s">
        <v>1481</v>
      </c>
    </row>
    <row r="572" spans="1:33" ht="43.15">
      <c r="A572" s="253" t="s">
        <v>4996</v>
      </c>
      <c r="B572" s="289"/>
      <c r="C572" s="233" t="s">
        <v>4729</v>
      </c>
      <c r="D572" s="134" t="s">
        <v>4997</v>
      </c>
      <c r="E572" s="134" t="s">
        <v>4998</v>
      </c>
      <c r="F572" s="134" t="s">
        <v>4879</v>
      </c>
      <c r="G572" s="134" t="s">
        <v>4999</v>
      </c>
      <c r="H572" s="134" t="s">
        <v>1442</v>
      </c>
      <c r="I572" s="134" t="s">
        <v>5000</v>
      </c>
      <c r="J572" s="134" t="s">
        <v>1442</v>
      </c>
      <c r="K572" s="134" t="s">
        <v>5001</v>
      </c>
      <c r="L572" s="6" t="s">
        <v>1381</v>
      </c>
      <c r="M572" s="21" t="s">
        <v>1415</v>
      </c>
      <c r="O572" s="176" t="s">
        <v>1649</v>
      </c>
      <c r="P572" s="262" t="s">
        <v>1481</v>
      </c>
    </row>
    <row r="573" spans="1:33" ht="43.15">
      <c r="A573" s="253" t="s">
        <v>5002</v>
      </c>
      <c r="B573" s="289"/>
      <c r="C573" s="233" t="s">
        <v>4729</v>
      </c>
      <c r="D573" s="134" t="s">
        <v>5003</v>
      </c>
      <c r="E573" s="134" t="s">
        <v>5004</v>
      </c>
      <c r="F573" s="134" t="s">
        <v>4749</v>
      </c>
      <c r="G573" s="134" t="s">
        <v>5005</v>
      </c>
      <c r="H573" s="134" t="s">
        <v>5006</v>
      </c>
      <c r="I573" s="134" t="s">
        <v>5007</v>
      </c>
      <c r="J573" s="134" t="s">
        <v>1442</v>
      </c>
      <c r="K573" s="134" t="s">
        <v>5008</v>
      </c>
      <c r="L573" s="177" t="s">
        <v>1367</v>
      </c>
      <c r="M573" s="21" t="s">
        <v>1415</v>
      </c>
      <c r="O573" s="176" t="s">
        <v>1649</v>
      </c>
      <c r="P573" s="261" t="s">
        <v>1481</v>
      </c>
    </row>
    <row r="574" spans="1:33" ht="43.15">
      <c r="A574" s="253" t="s">
        <v>5009</v>
      </c>
      <c r="B574" s="289"/>
      <c r="C574" s="233" t="s">
        <v>4729</v>
      </c>
      <c r="D574" s="134" t="s">
        <v>5010</v>
      </c>
      <c r="E574" s="134" t="s">
        <v>5011</v>
      </c>
      <c r="F574" s="134" t="s">
        <v>5012</v>
      </c>
      <c r="G574" s="134" t="s">
        <v>5013</v>
      </c>
      <c r="H574" s="134" t="s">
        <v>5014</v>
      </c>
      <c r="I574" s="134" t="s">
        <v>5015</v>
      </c>
      <c r="J574" s="134" t="s">
        <v>1442</v>
      </c>
      <c r="K574" s="134" t="s">
        <v>5016</v>
      </c>
      <c r="L574" s="177" t="s">
        <v>1367</v>
      </c>
      <c r="M574" s="21" t="s">
        <v>1415</v>
      </c>
      <c r="O574" s="176" t="s">
        <v>1649</v>
      </c>
      <c r="P574" s="261" t="s">
        <v>1371</v>
      </c>
      <c r="AG574" s="78"/>
    </row>
    <row r="575" spans="1:33" s="45" customFormat="1">
      <c r="A575" s="247"/>
      <c r="B575" s="289"/>
      <c r="C575" s="78"/>
      <c r="D575" s="44"/>
      <c r="E575" s="44"/>
      <c r="F575" s="44"/>
      <c r="G575" s="44"/>
      <c r="H575" s="44"/>
      <c r="I575" s="44"/>
      <c r="J575" s="44"/>
      <c r="K575" s="44"/>
      <c r="L575" s="81"/>
      <c r="M575" s="78"/>
      <c r="P575" s="78"/>
      <c r="Q575" s="78"/>
      <c r="R575" s="303"/>
      <c r="W575" s="81"/>
      <c r="X575" s="81"/>
      <c r="AG575" s="21"/>
    </row>
    <row r="576" spans="1:33" ht="43.15">
      <c r="A576" s="253" t="s">
        <v>5017</v>
      </c>
      <c r="B576" s="289"/>
      <c r="C576" s="21" t="s">
        <v>5018</v>
      </c>
      <c r="D576" s="2" t="s">
        <v>5019</v>
      </c>
      <c r="E576" s="2" t="s">
        <v>5020</v>
      </c>
      <c r="F576" s="2" t="s">
        <v>2553</v>
      </c>
      <c r="G576" s="2" t="s">
        <v>5021</v>
      </c>
      <c r="H576" s="2" t="s">
        <v>1442</v>
      </c>
      <c r="I576" s="2" t="s">
        <v>5022</v>
      </c>
      <c r="J576" s="2" t="s">
        <v>5023</v>
      </c>
      <c r="K576" s="2" t="s">
        <v>5024</v>
      </c>
      <c r="L576" s="6" t="s">
        <v>1367</v>
      </c>
      <c r="M576" s="21" t="s">
        <v>1368</v>
      </c>
      <c r="P576" s="21" t="s">
        <v>22</v>
      </c>
      <c r="W576" s="81"/>
      <c r="X576" s="81"/>
    </row>
    <row r="577" spans="1:18" ht="28.9">
      <c r="A577" s="253" t="s">
        <v>5025</v>
      </c>
      <c r="B577" s="289"/>
      <c r="C577" s="76" t="s">
        <v>5018</v>
      </c>
      <c r="D577" s="2" t="s">
        <v>5026</v>
      </c>
      <c r="E577" s="2" t="s">
        <v>5027</v>
      </c>
      <c r="F577" s="2" t="s">
        <v>5028</v>
      </c>
      <c r="G577" s="2" t="s">
        <v>5029</v>
      </c>
      <c r="H577" s="2" t="s">
        <v>5030</v>
      </c>
      <c r="I577" s="2" t="s">
        <v>5031</v>
      </c>
      <c r="J577" s="2" t="s">
        <v>5032</v>
      </c>
      <c r="K577" s="2" t="s">
        <v>5033</v>
      </c>
      <c r="L577" s="6" t="s">
        <v>1367</v>
      </c>
      <c r="M577" s="21" t="s">
        <v>1368</v>
      </c>
      <c r="P577" s="21" t="s">
        <v>1393</v>
      </c>
    </row>
    <row r="578" spans="1:18" ht="28.9">
      <c r="A578" s="253" t="s">
        <v>5034</v>
      </c>
      <c r="B578" s="289"/>
      <c r="C578" s="21" t="s">
        <v>5018</v>
      </c>
      <c r="D578" s="2" t="s">
        <v>5035</v>
      </c>
      <c r="E578" s="2" t="s">
        <v>5036</v>
      </c>
      <c r="F578" s="2" t="s">
        <v>5024</v>
      </c>
      <c r="G578" s="2" t="s">
        <v>5037</v>
      </c>
      <c r="H578" s="2" t="s">
        <v>1442</v>
      </c>
      <c r="I578" s="2" t="s">
        <v>5038</v>
      </c>
      <c r="J578" s="2" t="s">
        <v>5039</v>
      </c>
      <c r="K578" s="2" t="s">
        <v>5040</v>
      </c>
      <c r="L578" s="6" t="s">
        <v>1367</v>
      </c>
      <c r="M578" s="21" t="s">
        <v>1368</v>
      </c>
      <c r="P578" s="21" t="s">
        <v>1371</v>
      </c>
    </row>
    <row r="579" spans="1:18" ht="28.9">
      <c r="A579" s="253" t="s">
        <v>5041</v>
      </c>
      <c r="B579" s="289"/>
      <c r="C579" s="76" t="s">
        <v>5018</v>
      </c>
      <c r="D579" s="2" t="s">
        <v>5042</v>
      </c>
      <c r="E579" s="2" t="s">
        <v>5043</v>
      </c>
      <c r="F579" s="2" t="s">
        <v>5044</v>
      </c>
      <c r="G579" s="2" t="s">
        <v>5045</v>
      </c>
      <c r="H579" s="2" t="s">
        <v>5046</v>
      </c>
      <c r="I579" s="2" t="s">
        <v>5047</v>
      </c>
      <c r="J579" s="2" t="s">
        <v>5039</v>
      </c>
      <c r="K579" s="2" t="s">
        <v>5040</v>
      </c>
      <c r="L579" s="6" t="s">
        <v>1367</v>
      </c>
      <c r="M579" s="21" t="s">
        <v>1368</v>
      </c>
      <c r="P579" s="21" t="s">
        <v>1371</v>
      </c>
    </row>
    <row r="580" spans="1:18" ht="28.9">
      <c r="A580" s="253" t="s">
        <v>5048</v>
      </c>
      <c r="B580" s="289"/>
      <c r="C580" s="21" t="s">
        <v>5018</v>
      </c>
      <c r="D580" s="2" t="s">
        <v>5049</v>
      </c>
      <c r="E580" s="2" t="s">
        <v>5050</v>
      </c>
      <c r="F580" s="2" t="s">
        <v>5044</v>
      </c>
      <c r="G580" s="2" t="s">
        <v>5051</v>
      </c>
      <c r="H580" s="2" t="s">
        <v>5052</v>
      </c>
      <c r="I580" s="2" t="s">
        <v>5053</v>
      </c>
      <c r="J580" s="2" t="s">
        <v>5039</v>
      </c>
      <c r="K580" s="2" t="s">
        <v>5040</v>
      </c>
      <c r="L580" s="6" t="s">
        <v>1367</v>
      </c>
      <c r="M580" s="21" t="s">
        <v>1368</v>
      </c>
      <c r="P580" s="21" t="s">
        <v>1371</v>
      </c>
    </row>
    <row r="581" spans="1:18" ht="28.9">
      <c r="A581" s="253" t="s">
        <v>5054</v>
      </c>
      <c r="B581" s="289"/>
      <c r="C581" s="76" t="s">
        <v>5018</v>
      </c>
      <c r="D581" s="2" t="s">
        <v>5055</v>
      </c>
      <c r="E581" s="2" t="s">
        <v>5056</v>
      </c>
      <c r="F581" s="2" t="s">
        <v>5044</v>
      </c>
      <c r="G581" s="2" t="s">
        <v>5057</v>
      </c>
      <c r="H581" s="2">
        <v>587</v>
      </c>
      <c r="I581" s="2" t="s">
        <v>5058</v>
      </c>
      <c r="J581" s="2" t="s">
        <v>5039</v>
      </c>
      <c r="K581" s="2" t="s">
        <v>5040</v>
      </c>
      <c r="L581" s="6" t="s">
        <v>1367</v>
      </c>
      <c r="M581" s="21" t="s">
        <v>1368</v>
      </c>
      <c r="P581" s="21" t="s">
        <v>1371</v>
      </c>
    </row>
    <row r="582" spans="1:18" ht="28.9">
      <c r="A582" s="253" t="s">
        <v>5059</v>
      </c>
      <c r="B582" s="289"/>
      <c r="C582" s="21" t="s">
        <v>5018</v>
      </c>
      <c r="D582" s="2" t="s">
        <v>5060</v>
      </c>
      <c r="E582" s="2" t="s">
        <v>5061</v>
      </c>
      <c r="F582" s="2" t="s">
        <v>5044</v>
      </c>
      <c r="G582" s="2" t="s">
        <v>5062</v>
      </c>
      <c r="H582" s="2" t="s">
        <v>5063</v>
      </c>
      <c r="I582" s="2" t="s">
        <v>5064</v>
      </c>
      <c r="J582" s="2" t="s">
        <v>5065</v>
      </c>
      <c r="K582" s="2" t="s">
        <v>5066</v>
      </c>
      <c r="L582" s="6" t="s">
        <v>1367</v>
      </c>
      <c r="M582" s="21" t="s">
        <v>1368</v>
      </c>
      <c r="P582" s="21" t="s">
        <v>22</v>
      </c>
    </row>
    <row r="583" spans="1:18" ht="28.9">
      <c r="A583" s="253" t="s">
        <v>5067</v>
      </c>
      <c r="B583" s="289"/>
      <c r="C583" s="76" t="s">
        <v>5018</v>
      </c>
      <c r="D583" s="2" t="s">
        <v>5068</v>
      </c>
      <c r="E583" s="2" t="s">
        <v>5069</v>
      </c>
      <c r="F583" s="2" t="s">
        <v>5044</v>
      </c>
      <c r="G583" s="2" t="s">
        <v>5070</v>
      </c>
      <c r="H583" s="2" t="s">
        <v>5071</v>
      </c>
      <c r="I583" s="2" t="s">
        <v>5072</v>
      </c>
      <c r="J583" s="2" t="s">
        <v>5073</v>
      </c>
      <c r="K583" s="2" t="s">
        <v>5074</v>
      </c>
      <c r="L583" s="6" t="s">
        <v>1367</v>
      </c>
      <c r="M583" s="21" t="s">
        <v>1368</v>
      </c>
      <c r="P583" s="21" t="s">
        <v>22</v>
      </c>
    </row>
    <row r="584" spans="1:18" ht="57.6">
      <c r="A584" s="253" t="s">
        <v>5075</v>
      </c>
      <c r="B584" s="289"/>
      <c r="C584" s="21" t="s">
        <v>5018</v>
      </c>
      <c r="D584" s="2" t="s">
        <v>5076</v>
      </c>
      <c r="E584" s="2" t="s">
        <v>5077</v>
      </c>
      <c r="F584" s="2" t="s">
        <v>5028</v>
      </c>
      <c r="G584" s="2" t="s">
        <v>5078</v>
      </c>
      <c r="H584" s="2" t="s">
        <v>5079</v>
      </c>
      <c r="I584" s="2" t="s">
        <v>5080</v>
      </c>
      <c r="J584" s="2" t="s">
        <v>5081</v>
      </c>
      <c r="K584" s="2" t="s">
        <v>5082</v>
      </c>
      <c r="L584" s="6" t="s">
        <v>1381</v>
      </c>
      <c r="M584" s="21" t="s">
        <v>1368</v>
      </c>
      <c r="P584" s="21" t="s">
        <v>22</v>
      </c>
      <c r="Q584" s="21" t="s">
        <v>1404</v>
      </c>
    </row>
    <row r="585" spans="1:18" ht="72">
      <c r="A585" s="253" t="s">
        <v>5083</v>
      </c>
      <c r="B585" s="289"/>
      <c r="C585" s="76" t="s">
        <v>5018</v>
      </c>
      <c r="D585" s="2" t="s">
        <v>5084</v>
      </c>
      <c r="E585" s="2" t="s">
        <v>5085</v>
      </c>
      <c r="F585" s="2" t="s">
        <v>5028</v>
      </c>
      <c r="G585" s="2" t="s">
        <v>5086</v>
      </c>
      <c r="H585" s="2" t="s">
        <v>5087</v>
      </c>
      <c r="I585" s="2" t="s">
        <v>5088</v>
      </c>
      <c r="J585" s="2" t="s">
        <v>5089</v>
      </c>
      <c r="K585" s="2" t="s">
        <v>5090</v>
      </c>
      <c r="L585" s="6" t="s">
        <v>1381</v>
      </c>
      <c r="M585" s="21" t="s">
        <v>1368</v>
      </c>
      <c r="P585" s="21" t="s">
        <v>1371</v>
      </c>
    </row>
    <row r="586" spans="1:18" ht="28.9">
      <c r="A586" s="253" t="s">
        <v>5091</v>
      </c>
      <c r="B586" s="289"/>
      <c r="C586" s="21" t="s">
        <v>5018</v>
      </c>
      <c r="D586" s="2" t="s">
        <v>5092</v>
      </c>
      <c r="E586" s="2" t="s">
        <v>5093</v>
      </c>
      <c r="F586" s="2" t="s">
        <v>5094</v>
      </c>
      <c r="G586" s="2" t="s">
        <v>5095</v>
      </c>
      <c r="H586" s="2" t="s">
        <v>5096</v>
      </c>
      <c r="I586" s="2" t="s">
        <v>5097</v>
      </c>
      <c r="J586" s="2" t="s">
        <v>5098</v>
      </c>
      <c r="K586" s="2" t="s">
        <v>5099</v>
      </c>
      <c r="L586" s="6" t="s">
        <v>1367</v>
      </c>
      <c r="M586" s="21" t="s">
        <v>1368</v>
      </c>
      <c r="P586" s="21" t="s">
        <v>1371</v>
      </c>
    </row>
    <row r="587" spans="1:18" ht="28.9">
      <c r="A587" s="253" t="s">
        <v>5100</v>
      </c>
      <c r="B587" s="289"/>
      <c r="C587" s="76" t="s">
        <v>5018</v>
      </c>
      <c r="D587" s="2" t="s">
        <v>5101</v>
      </c>
      <c r="E587" s="2" t="s">
        <v>5102</v>
      </c>
      <c r="F587" s="2" t="s">
        <v>5103</v>
      </c>
      <c r="G587" s="2" t="s">
        <v>5104</v>
      </c>
      <c r="H587" s="2" t="s">
        <v>5105</v>
      </c>
      <c r="I587" s="2" t="s">
        <v>5106</v>
      </c>
      <c r="J587" s="2" t="s">
        <v>5107</v>
      </c>
      <c r="K587" s="2" t="s">
        <v>5108</v>
      </c>
      <c r="L587" s="6" t="s">
        <v>1367</v>
      </c>
      <c r="M587" s="21" t="s">
        <v>1368</v>
      </c>
      <c r="P587" s="21" t="s">
        <v>22</v>
      </c>
    </row>
    <row r="588" spans="1:18" ht="28.9">
      <c r="A588" s="253" t="s">
        <v>5109</v>
      </c>
      <c r="B588" s="289"/>
      <c r="C588" s="21" t="s">
        <v>5018</v>
      </c>
      <c r="D588" s="2" t="s">
        <v>5110</v>
      </c>
      <c r="E588" s="2" t="s">
        <v>5111</v>
      </c>
      <c r="F588" s="2" t="s">
        <v>5044</v>
      </c>
      <c r="G588" s="2" t="s">
        <v>5112</v>
      </c>
      <c r="H588" s="2" t="s">
        <v>5071</v>
      </c>
      <c r="I588" s="2" t="s">
        <v>5113</v>
      </c>
      <c r="J588" s="2" t="s">
        <v>5073</v>
      </c>
      <c r="K588" s="2" t="s">
        <v>5114</v>
      </c>
      <c r="L588" s="6" t="s">
        <v>1367</v>
      </c>
      <c r="M588" s="21" t="s">
        <v>1368</v>
      </c>
      <c r="P588" s="21" t="s">
        <v>22</v>
      </c>
    </row>
    <row r="589" spans="1:18" ht="28.9">
      <c r="A589" s="253" t="s">
        <v>5115</v>
      </c>
      <c r="B589" s="289"/>
      <c r="C589" s="76" t="s">
        <v>5018</v>
      </c>
      <c r="D589" s="2" t="s">
        <v>5116</v>
      </c>
      <c r="E589" s="2" t="s">
        <v>5117</v>
      </c>
      <c r="F589" s="2" t="s">
        <v>5118</v>
      </c>
      <c r="G589" s="2" t="s">
        <v>5119</v>
      </c>
      <c r="H589" s="2" t="s">
        <v>5120</v>
      </c>
      <c r="I589" s="2" t="s">
        <v>5121</v>
      </c>
      <c r="J589" s="2" t="s">
        <v>5122</v>
      </c>
      <c r="K589" s="2" t="s">
        <v>5123</v>
      </c>
      <c r="L589" s="6" t="s">
        <v>1367</v>
      </c>
      <c r="M589" s="21" t="s">
        <v>1368</v>
      </c>
      <c r="P589" s="21" t="s">
        <v>1393</v>
      </c>
    </row>
    <row r="590" spans="1:18" ht="129.6">
      <c r="A590" s="253" t="s">
        <v>5124</v>
      </c>
      <c r="B590" s="289"/>
      <c r="C590" s="76" t="s">
        <v>5018</v>
      </c>
      <c r="D590" s="2" t="s">
        <v>5125</v>
      </c>
      <c r="E590" s="2" t="s">
        <v>5126</v>
      </c>
      <c r="F590" s="2" t="s">
        <v>5127</v>
      </c>
      <c r="G590" s="2" t="s">
        <v>5128</v>
      </c>
      <c r="H590" s="2" t="s">
        <v>5129</v>
      </c>
      <c r="I590" s="2" t="s">
        <v>5130</v>
      </c>
      <c r="J590" s="2" t="s">
        <v>5131</v>
      </c>
      <c r="K590" s="2" t="s">
        <v>5132</v>
      </c>
      <c r="L590" s="6" t="s">
        <v>1367</v>
      </c>
      <c r="M590" s="21" t="s">
        <v>1368</v>
      </c>
      <c r="P590" s="21" t="s">
        <v>22</v>
      </c>
      <c r="R590" s="5" t="s">
        <v>5133</v>
      </c>
    </row>
    <row r="591" spans="1:18" ht="72">
      <c r="A591" s="253" t="s">
        <v>5134</v>
      </c>
      <c r="B591" s="289"/>
      <c r="C591" s="21" t="s">
        <v>5018</v>
      </c>
      <c r="D591" s="2" t="s">
        <v>5135</v>
      </c>
      <c r="E591" s="2" t="s">
        <v>5136</v>
      </c>
      <c r="F591" s="2" t="s">
        <v>5137</v>
      </c>
      <c r="G591" s="2" t="s">
        <v>5138</v>
      </c>
      <c r="H591" s="2" t="s">
        <v>5129</v>
      </c>
      <c r="I591" s="2" t="s">
        <v>5139</v>
      </c>
      <c r="J591" s="2" t="s">
        <v>5140</v>
      </c>
      <c r="K591" s="2" t="s">
        <v>5139</v>
      </c>
      <c r="L591" s="6" t="s">
        <v>1367</v>
      </c>
      <c r="M591" s="21" t="s">
        <v>1368</v>
      </c>
      <c r="P591" s="21" t="s">
        <v>1393</v>
      </c>
    </row>
    <row r="592" spans="1:18" ht="43.15">
      <c r="A592" s="253" t="s">
        <v>5141</v>
      </c>
      <c r="B592" s="289"/>
      <c r="C592" s="76" t="s">
        <v>5018</v>
      </c>
      <c r="D592" s="2" t="s">
        <v>5142</v>
      </c>
      <c r="E592" s="2" t="s">
        <v>5143</v>
      </c>
      <c r="F592" s="2" t="s">
        <v>5139</v>
      </c>
      <c r="G592" s="2" t="s">
        <v>5144</v>
      </c>
      <c r="H592" s="2" t="s">
        <v>5145</v>
      </c>
      <c r="I592" s="2" t="s">
        <v>3422</v>
      </c>
      <c r="J592" s="2" t="s">
        <v>5146</v>
      </c>
      <c r="K592" s="2" t="s">
        <v>2630</v>
      </c>
      <c r="L592" s="6" t="s">
        <v>1367</v>
      </c>
      <c r="M592" s="21" t="s">
        <v>1368</v>
      </c>
      <c r="P592" s="21" t="s">
        <v>22</v>
      </c>
    </row>
    <row r="593" spans="1:16" ht="43.15">
      <c r="A593" s="253" t="s">
        <v>5147</v>
      </c>
      <c r="B593" s="289"/>
      <c r="C593" s="21" t="s">
        <v>5018</v>
      </c>
      <c r="D593" s="2" t="s">
        <v>5148</v>
      </c>
      <c r="E593" s="2" t="s">
        <v>5149</v>
      </c>
      <c r="F593" s="2" t="s">
        <v>5150</v>
      </c>
      <c r="G593" s="2" t="s">
        <v>5151</v>
      </c>
      <c r="H593" s="2" t="s">
        <v>5152</v>
      </c>
      <c r="I593" s="2" t="s">
        <v>5153</v>
      </c>
      <c r="J593" s="2" t="s">
        <v>5154</v>
      </c>
      <c r="K593" s="2" t="s">
        <v>5155</v>
      </c>
      <c r="L593" s="6" t="s">
        <v>1367</v>
      </c>
      <c r="M593" s="21" t="s">
        <v>1368</v>
      </c>
      <c r="P593" s="21" t="s">
        <v>22</v>
      </c>
    </row>
    <row r="594" spans="1:16" ht="57.6">
      <c r="A594" s="253" t="s">
        <v>5156</v>
      </c>
      <c r="B594" s="289"/>
      <c r="C594" s="76" t="s">
        <v>5018</v>
      </c>
      <c r="D594" s="2" t="s">
        <v>5157</v>
      </c>
      <c r="E594" s="2" t="s">
        <v>5158</v>
      </c>
      <c r="F594" s="2" t="s">
        <v>5044</v>
      </c>
      <c r="G594" s="2" t="s">
        <v>5159</v>
      </c>
      <c r="H594" s="2" t="s">
        <v>5071</v>
      </c>
      <c r="I594" s="2" t="s">
        <v>5160</v>
      </c>
      <c r="J594" s="2" t="s">
        <v>5161</v>
      </c>
      <c r="K594" s="2" t="s">
        <v>5162</v>
      </c>
      <c r="L594" s="6" t="s">
        <v>1367</v>
      </c>
      <c r="M594" s="21" t="s">
        <v>1368</v>
      </c>
      <c r="P594" s="21" t="s">
        <v>1371</v>
      </c>
    </row>
    <row r="595" spans="1:16" ht="57.6">
      <c r="A595" s="253" t="s">
        <v>5163</v>
      </c>
      <c r="B595" s="289"/>
      <c r="C595" s="21" t="s">
        <v>5018</v>
      </c>
      <c r="D595" s="2" t="s">
        <v>5164</v>
      </c>
      <c r="E595" s="2" t="s">
        <v>5165</v>
      </c>
      <c r="F595" s="2" t="s">
        <v>5166</v>
      </c>
      <c r="G595" s="2" t="s">
        <v>5167</v>
      </c>
      <c r="H595" s="2" t="s">
        <v>5168</v>
      </c>
      <c r="I595" s="2" t="s">
        <v>5169</v>
      </c>
      <c r="J595" s="2" t="s">
        <v>5170</v>
      </c>
      <c r="K595" s="2" t="s">
        <v>5171</v>
      </c>
      <c r="L595" s="6" t="s">
        <v>1381</v>
      </c>
      <c r="M595" s="21" t="s">
        <v>1368</v>
      </c>
      <c r="P595" s="21" t="s">
        <v>22</v>
      </c>
    </row>
    <row r="596" spans="1:16" ht="57.6">
      <c r="A596" s="253" t="s">
        <v>5172</v>
      </c>
      <c r="B596" s="289"/>
      <c r="C596" s="76" t="s">
        <v>5018</v>
      </c>
      <c r="D596" s="2" t="s">
        <v>5173</v>
      </c>
      <c r="E596" s="2" t="s">
        <v>5174</v>
      </c>
      <c r="F596" s="2" t="s">
        <v>5175</v>
      </c>
      <c r="G596" s="2" t="s">
        <v>5176</v>
      </c>
      <c r="H596" s="2" t="s">
        <v>5152</v>
      </c>
      <c r="I596" s="2" t="s">
        <v>5177</v>
      </c>
      <c r="J596" s="2" t="s">
        <v>5178</v>
      </c>
      <c r="K596" s="2" t="s">
        <v>5179</v>
      </c>
      <c r="L596" s="6" t="s">
        <v>1367</v>
      </c>
      <c r="M596" s="21" t="s">
        <v>1368</v>
      </c>
      <c r="P596" s="21" t="s">
        <v>22</v>
      </c>
    </row>
    <row r="597" spans="1:16" ht="28.9">
      <c r="A597" s="253" t="s">
        <v>5180</v>
      </c>
      <c r="B597" s="289"/>
      <c r="C597" s="21" t="s">
        <v>5018</v>
      </c>
      <c r="D597" s="2" t="s">
        <v>5181</v>
      </c>
      <c r="E597" s="2" t="s">
        <v>5182</v>
      </c>
      <c r="F597" s="2" t="s">
        <v>5044</v>
      </c>
      <c r="G597" s="2" t="s">
        <v>5183</v>
      </c>
      <c r="H597" s="2" t="s">
        <v>5184</v>
      </c>
      <c r="I597" s="2" t="s">
        <v>5185</v>
      </c>
      <c r="J597" s="2" t="s">
        <v>5186</v>
      </c>
      <c r="K597" s="2" t="s">
        <v>5187</v>
      </c>
      <c r="L597" s="6" t="s">
        <v>1367</v>
      </c>
      <c r="M597" s="21" t="s">
        <v>1368</v>
      </c>
      <c r="P597" s="21" t="s">
        <v>1393</v>
      </c>
    </row>
    <row r="598" spans="1:16" ht="43.15">
      <c r="A598" s="253" t="s">
        <v>5188</v>
      </c>
      <c r="B598" s="289"/>
      <c r="C598" s="76" t="s">
        <v>5018</v>
      </c>
      <c r="D598" s="2" t="s">
        <v>5189</v>
      </c>
      <c r="E598" s="2" t="s">
        <v>5190</v>
      </c>
      <c r="F598" s="2" t="s">
        <v>5191</v>
      </c>
      <c r="G598" s="2" t="s">
        <v>5192</v>
      </c>
      <c r="H598" s="2" t="s">
        <v>5193</v>
      </c>
      <c r="I598" s="2" t="s">
        <v>5194</v>
      </c>
      <c r="J598" s="2" t="s">
        <v>5195</v>
      </c>
      <c r="K598" s="2" t="s">
        <v>5196</v>
      </c>
      <c r="L598" s="6" t="s">
        <v>1367</v>
      </c>
      <c r="M598" s="21" t="s">
        <v>1368</v>
      </c>
      <c r="P598" s="21" t="s">
        <v>22</v>
      </c>
    </row>
    <row r="599" spans="1:16" ht="43.15">
      <c r="A599" s="253" t="s">
        <v>5197</v>
      </c>
      <c r="B599" s="289"/>
      <c r="C599" s="21" t="s">
        <v>5018</v>
      </c>
      <c r="D599" s="2" t="s">
        <v>5198</v>
      </c>
      <c r="E599" s="2" t="s">
        <v>5199</v>
      </c>
      <c r="F599" s="2" t="s">
        <v>5200</v>
      </c>
      <c r="G599" s="2" t="s">
        <v>5201</v>
      </c>
      <c r="H599" s="2" t="s">
        <v>5202</v>
      </c>
      <c r="I599" s="2" t="s">
        <v>5203</v>
      </c>
      <c r="J599" s="2" t="s">
        <v>5204</v>
      </c>
      <c r="K599" s="2" t="s">
        <v>5205</v>
      </c>
      <c r="L599" s="6" t="s">
        <v>1367</v>
      </c>
      <c r="M599" s="21" t="s">
        <v>1368</v>
      </c>
      <c r="P599" s="21" t="s">
        <v>1393</v>
      </c>
    </row>
    <row r="600" spans="1:16" ht="28.9">
      <c r="A600" s="253" t="s">
        <v>5206</v>
      </c>
      <c r="B600" s="289"/>
      <c r="C600" s="76" t="s">
        <v>5018</v>
      </c>
      <c r="D600" s="2" t="s">
        <v>5207</v>
      </c>
      <c r="E600" s="2" t="s">
        <v>5208</v>
      </c>
      <c r="F600" s="2" t="s">
        <v>5191</v>
      </c>
      <c r="G600" s="2" t="s">
        <v>5209</v>
      </c>
      <c r="H600" s="2" t="s">
        <v>5193</v>
      </c>
      <c r="I600" s="2" t="s">
        <v>5210</v>
      </c>
      <c r="J600" s="2" t="s">
        <v>5211</v>
      </c>
      <c r="K600" s="2" t="s">
        <v>5212</v>
      </c>
      <c r="L600" s="6" t="s">
        <v>1367</v>
      </c>
      <c r="M600" s="21" t="s">
        <v>1368</v>
      </c>
      <c r="P600" s="21" t="s">
        <v>22</v>
      </c>
    </row>
    <row r="601" spans="1:16" ht="57.6">
      <c r="A601" s="253" t="s">
        <v>5213</v>
      </c>
      <c r="B601" s="289"/>
      <c r="C601" s="21" t="s">
        <v>5018</v>
      </c>
      <c r="D601" s="2" t="s">
        <v>5214</v>
      </c>
      <c r="E601" s="2" t="s">
        <v>5215</v>
      </c>
      <c r="F601" s="2" t="s">
        <v>5216</v>
      </c>
      <c r="G601" s="2" t="s">
        <v>5217</v>
      </c>
      <c r="H601" s="2" t="s">
        <v>5193</v>
      </c>
      <c r="I601" s="2" t="s">
        <v>5218</v>
      </c>
      <c r="J601" s="2" t="s">
        <v>5219</v>
      </c>
      <c r="K601" s="2" t="s">
        <v>5220</v>
      </c>
      <c r="L601" s="6" t="s">
        <v>1367</v>
      </c>
      <c r="M601" s="21" t="s">
        <v>1368</v>
      </c>
      <c r="P601" s="21" t="s">
        <v>1371</v>
      </c>
    </row>
    <row r="602" spans="1:16" ht="28.9">
      <c r="A602" s="253" t="s">
        <v>5221</v>
      </c>
      <c r="B602" s="289"/>
      <c r="C602" s="76" t="s">
        <v>5018</v>
      </c>
      <c r="D602" s="2" t="s">
        <v>5222</v>
      </c>
      <c r="E602" s="2" t="s">
        <v>5223</v>
      </c>
      <c r="F602" s="2" t="s">
        <v>5044</v>
      </c>
      <c r="G602" s="2" t="s">
        <v>5224</v>
      </c>
      <c r="H602" s="2" t="s">
        <v>5225</v>
      </c>
      <c r="I602" s="2" t="s">
        <v>5226</v>
      </c>
      <c r="J602" s="2" t="s">
        <v>5227</v>
      </c>
      <c r="K602" s="2" t="s">
        <v>5228</v>
      </c>
      <c r="L602" s="6" t="s">
        <v>1381</v>
      </c>
      <c r="M602" s="21" t="s">
        <v>1368</v>
      </c>
      <c r="P602" s="21" t="s">
        <v>22</v>
      </c>
    </row>
    <row r="603" spans="1:16" ht="72">
      <c r="A603" s="253" t="s">
        <v>5229</v>
      </c>
      <c r="B603" s="289"/>
      <c r="C603" s="21" t="s">
        <v>5018</v>
      </c>
      <c r="D603" s="2" t="s">
        <v>5230</v>
      </c>
      <c r="E603" s="2" t="s">
        <v>5231</v>
      </c>
      <c r="F603" s="2" t="s">
        <v>5139</v>
      </c>
      <c r="G603" s="2" t="s">
        <v>5232</v>
      </c>
      <c r="H603" s="2" t="s">
        <v>5145</v>
      </c>
      <c r="I603" s="2" t="s">
        <v>5233</v>
      </c>
      <c r="J603" s="2" t="s">
        <v>5234</v>
      </c>
      <c r="K603" s="2" t="s">
        <v>5235</v>
      </c>
      <c r="L603" s="6" t="s">
        <v>1367</v>
      </c>
      <c r="M603" s="21" t="s">
        <v>1368</v>
      </c>
      <c r="P603" s="21" t="s">
        <v>22</v>
      </c>
    </row>
    <row r="604" spans="1:16" ht="43.15">
      <c r="A604" s="253" t="s">
        <v>5236</v>
      </c>
      <c r="B604" s="289"/>
      <c r="C604" s="76" t="s">
        <v>5018</v>
      </c>
      <c r="D604" s="2" t="s">
        <v>5237</v>
      </c>
      <c r="E604" s="2" t="s">
        <v>5238</v>
      </c>
      <c r="F604" s="2" t="s">
        <v>5028</v>
      </c>
      <c r="G604" s="2" t="s">
        <v>5239</v>
      </c>
      <c r="H604" s="2" t="s">
        <v>5240</v>
      </c>
      <c r="I604" s="2" t="s">
        <v>5241</v>
      </c>
      <c r="J604" s="2" t="s">
        <v>5242</v>
      </c>
      <c r="K604" s="2" t="s">
        <v>5243</v>
      </c>
      <c r="L604" s="6" t="s">
        <v>1367</v>
      </c>
      <c r="M604" s="21" t="s">
        <v>1368</v>
      </c>
      <c r="P604" s="21" t="s">
        <v>1393</v>
      </c>
    </row>
    <row r="605" spans="1:16" ht="43.15">
      <c r="A605" s="253" t="s">
        <v>5244</v>
      </c>
      <c r="B605" s="289"/>
      <c r="C605" s="21" t="s">
        <v>5018</v>
      </c>
      <c r="D605" s="2" t="s">
        <v>5245</v>
      </c>
      <c r="E605" s="2" t="s">
        <v>5246</v>
      </c>
      <c r="F605" s="2" t="s">
        <v>5247</v>
      </c>
      <c r="G605" s="2" t="s">
        <v>5248</v>
      </c>
      <c r="H605" s="2" t="s">
        <v>5249</v>
      </c>
      <c r="I605" s="2" t="s">
        <v>5250</v>
      </c>
      <c r="J605" s="2" t="s">
        <v>5251</v>
      </c>
      <c r="K605" s="2" t="s">
        <v>5252</v>
      </c>
      <c r="L605" s="6" t="s">
        <v>1367</v>
      </c>
      <c r="M605" s="21" t="s">
        <v>1368</v>
      </c>
      <c r="P605" s="21" t="s">
        <v>1393</v>
      </c>
    </row>
    <row r="606" spans="1:16" ht="28.9">
      <c r="A606" s="253" t="s">
        <v>5253</v>
      </c>
      <c r="B606" s="289"/>
      <c r="C606" s="76" t="s">
        <v>5018</v>
      </c>
      <c r="D606" s="2" t="s">
        <v>5254</v>
      </c>
      <c r="E606" s="2" t="s">
        <v>5255</v>
      </c>
      <c r="F606" s="2" t="s">
        <v>5044</v>
      </c>
      <c r="G606" s="2" t="s">
        <v>5256</v>
      </c>
      <c r="H606" s="2" t="s">
        <v>5257</v>
      </c>
      <c r="I606" s="2" t="s">
        <v>5258</v>
      </c>
      <c r="J606" s="2" t="s">
        <v>5242</v>
      </c>
      <c r="K606" s="2" t="s">
        <v>2598</v>
      </c>
      <c r="L606" s="6" t="s">
        <v>1367</v>
      </c>
      <c r="M606" s="21" t="s">
        <v>1368</v>
      </c>
      <c r="P606" s="21" t="s">
        <v>1393</v>
      </c>
    </row>
    <row r="607" spans="1:16" ht="57.6">
      <c r="A607" s="253" t="s">
        <v>5259</v>
      </c>
      <c r="B607" s="289"/>
      <c r="C607" s="21" t="s">
        <v>5018</v>
      </c>
      <c r="D607" s="2" t="s">
        <v>5260</v>
      </c>
      <c r="E607" s="2" t="s">
        <v>5261</v>
      </c>
      <c r="F607" s="2" t="s">
        <v>5028</v>
      </c>
      <c r="G607" s="2" t="s">
        <v>5262</v>
      </c>
      <c r="H607" s="2" t="s">
        <v>5263</v>
      </c>
      <c r="I607" s="2" t="s">
        <v>5264</v>
      </c>
      <c r="J607" s="2" t="s">
        <v>5242</v>
      </c>
      <c r="K607" s="2" t="s">
        <v>5265</v>
      </c>
      <c r="L607" s="6" t="s">
        <v>1381</v>
      </c>
      <c r="M607" s="21" t="s">
        <v>1368</v>
      </c>
      <c r="P607" s="21" t="s">
        <v>1393</v>
      </c>
    </row>
    <row r="608" spans="1:16" ht="43.15">
      <c r="A608" s="253" t="s">
        <v>5266</v>
      </c>
      <c r="B608" s="289"/>
      <c r="C608" s="21" t="s">
        <v>5018</v>
      </c>
      <c r="D608" s="2" t="s">
        <v>5267</v>
      </c>
      <c r="E608" s="2" t="s">
        <v>5268</v>
      </c>
      <c r="F608" s="2" t="s">
        <v>5028</v>
      </c>
      <c r="G608" s="2" t="s">
        <v>5269</v>
      </c>
      <c r="H608" s="2" t="s">
        <v>5270</v>
      </c>
      <c r="I608" s="2" t="s">
        <v>5271</v>
      </c>
      <c r="J608" s="2" t="s">
        <v>5272</v>
      </c>
      <c r="K608" s="2" t="s">
        <v>5273</v>
      </c>
      <c r="L608" s="6" t="s">
        <v>1367</v>
      </c>
      <c r="M608" s="21" t="s">
        <v>1368</v>
      </c>
      <c r="P608" s="21" t="s">
        <v>22</v>
      </c>
    </row>
    <row r="609" spans="1:35" ht="43.15">
      <c r="A609" s="253" t="s">
        <v>5274</v>
      </c>
      <c r="B609" s="289"/>
      <c r="C609" s="76" t="s">
        <v>5018</v>
      </c>
      <c r="D609" s="2" t="s">
        <v>5275</v>
      </c>
      <c r="E609" s="2" t="s">
        <v>5276</v>
      </c>
      <c r="F609" s="2" t="s">
        <v>5277</v>
      </c>
      <c r="G609" s="2" t="s">
        <v>5278</v>
      </c>
      <c r="H609" s="2" t="s">
        <v>5279</v>
      </c>
      <c r="I609" s="2" t="s">
        <v>5280</v>
      </c>
      <c r="J609" s="2" t="s">
        <v>5281</v>
      </c>
      <c r="K609" s="2" t="s">
        <v>5282</v>
      </c>
      <c r="L609" s="6" t="s">
        <v>1367</v>
      </c>
      <c r="M609" s="21" t="s">
        <v>1368</v>
      </c>
      <c r="P609" s="21" t="s">
        <v>22</v>
      </c>
    </row>
    <row r="610" spans="1:35" ht="72">
      <c r="A610" s="253" t="s">
        <v>5283</v>
      </c>
      <c r="B610" s="289"/>
      <c r="C610" s="21" t="s">
        <v>5018</v>
      </c>
      <c r="D610" s="2" t="s">
        <v>5284</v>
      </c>
      <c r="E610" s="2" t="s">
        <v>5285</v>
      </c>
      <c r="F610" s="2" t="s">
        <v>5286</v>
      </c>
      <c r="G610" s="2" t="s">
        <v>5287</v>
      </c>
      <c r="H610" s="2" t="s">
        <v>5288</v>
      </c>
      <c r="I610" s="2" t="s">
        <v>5289</v>
      </c>
      <c r="J610" s="2" t="s">
        <v>5290</v>
      </c>
      <c r="K610" s="2" t="s">
        <v>5291</v>
      </c>
      <c r="L610" s="6" t="s">
        <v>1367</v>
      </c>
      <c r="M610" s="21" t="s">
        <v>1368</v>
      </c>
      <c r="P610" s="21" t="s">
        <v>1393</v>
      </c>
    </row>
    <row r="611" spans="1:35" ht="43.15">
      <c r="A611" s="253" t="s">
        <v>5292</v>
      </c>
      <c r="B611" s="289"/>
      <c r="C611" s="76" t="s">
        <v>5018</v>
      </c>
      <c r="D611" s="2" t="s">
        <v>5293</v>
      </c>
      <c r="E611" s="2" t="s">
        <v>5294</v>
      </c>
      <c r="F611" s="2" t="s">
        <v>5295</v>
      </c>
      <c r="G611" s="2" t="s">
        <v>5296</v>
      </c>
      <c r="H611" s="2" t="s">
        <v>5297</v>
      </c>
      <c r="I611" s="2" t="s">
        <v>5298</v>
      </c>
      <c r="J611" s="2" t="s">
        <v>5235</v>
      </c>
      <c r="K611" s="2" t="s">
        <v>5299</v>
      </c>
      <c r="L611" s="6" t="s">
        <v>1367</v>
      </c>
      <c r="M611" s="21" t="s">
        <v>1368</v>
      </c>
      <c r="P611" s="21" t="s">
        <v>1371</v>
      </c>
    </row>
    <row r="612" spans="1:35" ht="28.9">
      <c r="A612" s="253" t="s">
        <v>5300</v>
      </c>
      <c r="B612" s="289"/>
      <c r="C612" s="21" t="s">
        <v>5018</v>
      </c>
      <c r="D612" s="2" t="s">
        <v>5222</v>
      </c>
      <c r="E612" s="2" t="s">
        <v>5223</v>
      </c>
      <c r="F612" s="2" t="s">
        <v>5044</v>
      </c>
      <c r="G612" s="2" t="s">
        <v>5224</v>
      </c>
      <c r="H612" s="2" t="s">
        <v>5225</v>
      </c>
      <c r="I612" s="2" t="s">
        <v>5226</v>
      </c>
      <c r="J612" s="2" t="s">
        <v>5227</v>
      </c>
      <c r="K612" s="2" t="s">
        <v>5228</v>
      </c>
      <c r="L612" s="6" t="s">
        <v>1381</v>
      </c>
      <c r="M612" s="21" t="s">
        <v>1368</v>
      </c>
      <c r="P612" s="21" t="s">
        <v>22</v>
      </c>
    </row>
    <row r="613" spans="1:35" ht="57.6">
      <c r="A613" s="253" t="s">
        <v>5301</v>
      </c>
      <c r="B613" s="289"/>
      <c r="C613" s="21" t="s">
        <v>5018</v>
      </c>
      <c r="D613" s="2" t="s">
        <v>5302</v>
      </c>
      <c r="E613" s="2" t="s">
        <v>5303</v>
      </c>
      <c r="F613" s="2" t="s">
        <v>5277</v>
      </c>
      <c r="G613" s="2" t="s">
        <v>5304</v>
      </c>
      <c r="H613" s="2" t="s">
        <v>5305</v>
      </c>
      <c r="I613" s="2" t="s">
        <v>5306</v>
      </c>
      <c r="J613" s="2" t="s">
        <v>5307</v>
      </c>
      <c r="K613" s="2" t="s">
        <v>5308</v>
      </c>
      <c r="L613" s="6" t="s">
        <v>1367</v>
      </c>
      <c r="M613" s="21" t="s">
        <v>1368</v>
      </c>
      <c r="P613" s="21" t="s">
        <v>22</v>
      </c>
      <c r="R613" s="5" t="s">
        <v>5309</v>
      </c>
      <c r="T613" t="s">
        <v>5310</v>
      </c>
      <c r="V613" s="1"/>
      <c r="W613" s="228"/>
      <c r="X613" s="2"/>
      <c r="Y613" s="2"/>
      <c r="Z613" s="2"/>
      <c r="AA613" s="2"/>
      <c r="AB613" s="2"/>
      <c r="AC613" s="2"/>
      <c r="AD613" s="2"/>
      <c r="AE613" s="2"/>
      <c r="AF613" s="2"/>
      <c r="AH613" s="21"/>
      <c r="AI613" s="21"/>
    </row>
    <row r="614" spans="1:35" ht="43.15">
      <c r="A614" s="253" t="s">
        <v>5311</v>
      </c>
      <c r="B614" s="289"/>
      <c r="C614" s="21" t="s">
        <v>5018</v>
      </c>
      <c r="D614" s="2" t="s">
        <v>5312</v>
      </c>
      <c r="E614" s="2" t="s">
        <v>5313</v>
      </c>
      <c r="F614" s="2" t="s">
        <v>5175</v>
      </c>
      <c r="G614" s="2" t="s">
        <v>5314</v>
      </c>
      <c r="H614" s="2" t="s">
        <v>5145</v>
      </c>
      <c r="I614" s="2" t="s">
        <v>5315</v>
      </c>
      <c r="J614" s="2" t="s">
        <v>5316</v>
      </c>
      <c r="K614" s="2" t="s">
        <v>5317</v>
      </c>
      <c r="L614" s="6" t="s">
        <v>1367</v>
      </c>
      <c r="M614" s="21" t="s">
        <v>1368</v>
      </c>
      <c r="P614" s="21" t="s">
        <v>1371</v>
      </c>
    </row>
    <row r="615" spans="1:35" ht="28.9">
      <c r="A615" s="253" t="s">
        <v>5318</v>
      </c>
      <c r="B615" s="289"/>
      <c r="C615" s="76" t="s">
        <v>5018</v>
      </c>
      <c r="D615" s="2" t="s">
        <v>5319</v>
      </c>
      <c r="E615" s="2" t="s">
        <v>5320</v>
      </c>
      <c r="F615" s="2" t="s">
        <v>5321</v>
      </c>
      <c r="G615" s="2" t="s">
        <v>5322</v>
      </c>
      <c r="H615" s="2" t="s">
        <v>5323</v>
      </c>
      <c r="I615" s="2" t="s">
        <v>5324</v>
      </c>
      <c r="J615" s="2" t="s">
        <v>5325</v>
      </c>
      <c r="K615" s="2" t="s">
        <v>5326</v>
      </c>
      <c r="L615" s="6" t="s">
        <v>1367</v>
      </c>
      <c r="M615" s="21" t="s">
        <v>1368</v>
      </c>
      <c r="P615" s="21" t="s">
        <v>1371</v>
      </c>
    </row>
    <row r="616" spans="1:35" ht="72">
      <c r="A616" s="253" t="s">
        <v>5327</v>
      </c>
      <c r="B616" s="289"/>
      <c r="C616" s="21" t="s">
        <v>5018</v>
      </c>
      <c r="D616" s="2" t="s">
        <v>5328</v>
      </c>
      <c r="E616" s="2" t="s">
        <v>5329</v>
      </c>
      <c r="F616" s="2" t="s">
        <v>5330</v>
      </c>
      <c r="G616" s="2" t="s">
        <v>5331</v>
      </c>
      <c r="H616" s="2" t="s">
        <v>5323</v>
      </c>
      <c r="I616" s="2" t="s">
        <v>5332</v>
      </c>
      <c r="J616" s="2" t="s">
        <v>5333</v>
      </c>
      <c r="K616" s="2" t="s">
        <v>5334</v>
      </c>
      <c r="L616" s="6" t="s">
        <v>1381</v>
      </c>
      <c r="M616" s="21" t="s">
        <v>1368</v>
      </c>
      <c r="P616" s="21" t="s">
        <v>1393</v>
      </c>
    </row>
    <row r="617" spans="1:35" ht="43.15">
      <c r="A617" s="253" t="s">
        <v>5335</v>
      </c>
      <c r="B617" s="289"/>
      <c r="C617" s="76" t="s">
        <v>5018</v>
      </c>
      <c r="D617" s="2" t="s">
        <v>5336</v>
      </c>
      <c r="E617" s="2" t="s">
        <v>5337</v>
      </c>
      <c r="F617" s="2" t="s">
        <v>5321</v>
      </c>
      <c r="G617" s="2" t="s">
        <v>5338</v>
      </c>
      <c r="H617" s="2" t="s">
        <v>5339</v>
      </c>
      <c r="I617" s="2" t="s">
        <v>5340</v>
      </c>
      <c r="J617" s="2" t="s">
        <v>5341</v>
      </c>
      <c r="K617" s="2" t="s">
        <v>5342</v>
      </c>
      <c r="L617" s="6" t="s">
        <v>1367</v>
      </c>
      <c r="M617" s="21" t="s">
        <v>1368</v>
      </c>
      <c r="P617" s="21" t="s">
        <v>22</v>
      </c>
    </row>
    <row r="618" spans="1:35" ht="43.15">
      <c r="A618" s="253" t="s">
        <v>5343</v>
      </c>
      <c r="B618" s="289"/>
      <c r="C618" s="21" t="s">
        <v>5018</v>
      </c>
      <c r="D618" s="2" t="s">
        <v>5344</v>
      </c>
      <c r="E618" s="2" t="s">
        <v>5345</v>
      </c>
      <c r="F618" s="2" t="s">
        <v>5330</v>
      </c>
      <c r="G618" s="2" t="s">
        <v>5346</v>
      </c>
      <c r="H618" s="2" t="s">
        <v>5339</v>
      </c>
      <c r="I618" s="2" t="s">
        <v>5347</v>
      </c>
      <c r="J618" s="2" t="s">
        <v>5348</v>
      </c>
      <c r="K618" s="2" t="s">
        <v>5349</v>
      </c>
      <c r="L618" s="6" t="s">
        <v>1381</v>
      </c>
      <c r="M618" s="21" t="s">
        <v>1368</v>
      </c>
      <c r="P618" s="21" t="s">
        <v>1371</v>
      </c>
    </row>
    <row r="619" spans="1:35" ht="57.6">
      <c r="A619" s="253" t="s">
        <v>5350</v>
      </c>
      <c r="B619" s="289"/>
      <c r="C619" s="76" t="s">
        <v>5018</v>
      </c>
      <c r="D619" s="2" t="s">
        <v>5351</v>
      </c>
      <c r="E619" s="2" t="s">
        <v>5352</v>
      </c>
      <c r="F619" s="2" t="s">
        <v>5353</v>
      </c>
      <c r="G619" s="2" t="s">
        <v>5354</v>
      </c>
      <c r="H619" s="2" t="s">
        <v>5339</v>
      </c>
      <c r="I619" s="2" t="s">
        <v>5355</v>
      </c>
      <c r="J619" s="2" t="s">
        <v>5356</v>
      </c>
      <c r="K619" s="2" t="s">
        <v>5357</v>
      </c>
      <c r="L619" s="6" t="s">
        <v>1381</v>
      </c>
      <c r="M619" s="21" t="s">
        <v>1368</v>
      </c>
      <c r="P619" s="21" t="s">
        <v>1393</v>
      </c>
    </row>
    <row r="620" spans="1:35" ht="28.9">
      <c r="A620" s="253" t="s">
        <v>5358</v>
      </c>
      <c r="B620" s="289"/>
      <c r="C620" s="21" t="s">
        <v>5018</v>
      </c>
      <c r="D620" s="2" t="s">
        <v>5359</v>
      </c>
      <c r="E620" s="2" t="s">
        <v>5360</v>
      </c>
      <c r="F620" s="2" t="s">
        <v>5321</v>
      </c>
      <c r="G620" s="2" t="s">
        <v>5361</v>
      </c>
      <c r="H620" s="2" t="s">
        <v>5362</v>
      </c>
      <c r="I620" s="2" t="s">
        <v>5363</v>
      </c>
      <c r="J620" s="2" t="s">
        <v>5364</v>
      </c>
      <c r="K620" s="2" t="s">
        <v>2598</v>
      </c>
      <c r="L620" s="6" t="s">
        <v>1367</v>
      </c>
      <c r="M620" s="21" t="s">
        <v>1368</v>
      </c>
      <c r="P620" s="21" t="s">
        <v>22</v>
      </c>
    </row>
    <row r="621" spans="1:35" ht="57.6">
      <c r="A621" s="253" t="s">
        <v>5365</v>
      </c>
      <c r="B621" s="289"/>
      <c r="C621" s="76" t="s">
        <v>5018</v>
      </c>
      <c r="D621" s="2" t="s">
        <v>5366</v>
      </c>
      <c r="E621" s="2" t="s">
        <v>5367</v>
      </c>
      <c r="F621" s="2" t="s">
        <v>5044</v>
      </c>
      <c r="G621" s="2" t="s">
        <v>5368</v>
      </c>
      <c r="H621" s="2" t="s">
        <v>5339</v>
      </c>
      <c r="I621" s="2" t="s">
        <v>5369</v>
      </c>
      <c r="J621" s="2" t="s">
        <v>5370</v>
      </c>
      <c r="K621" s="2" t="s">
        <v>5371</v>
      </c>
      <c r="L621" s="6" t="s">
        <v>1381</v>
      </c>
      <c r="M621" s="21" t="s">
        <v>1368</v>
      </c>
      <c r="P621" s="21" t="s">
        <v>1371</v>
      </c>
    </row>
    <row r="622" spans="1:35" ht="28.9">
      <c r="A622" s="253" t="s">
        <v>5372</v>
      </c>
      <c r="B622" s="289"/>
      <c r="C622" s="21" t="s">
        <v>5018</v>
      </c>
      <c r="D622" s="2" t="s">
        <v>5373</v>
      </c>
      <c r="E622" s="2" t="s">
        <v>5374</v>
      </c>
      <c r="F622" s="2" t="s">
        <v>5321</v>
      </c>
      <c r="G622" s="2" t="s">
        <v>5375</v>
      </c>
      <c r="H622" s="2" t="s">
        <v>5376</v>
      </c>
      <c r="I622" s="2" t="s">
        <v>5363</v>
      </c>
      <c r="J622" s="2" t="s">
        <v>5364</v>
      </c>
      <c r="K622" s="2" t="s">
        <v>2598</v>
      </c>
      <c r="L622" s="6" t="s">
        <v>1367</v>
      </c>
      <c r="M622" s="21" t="s">
        <v>1368</v>
      </c>
      <c r="P622" s="21" t="s">
        <v>22</v>
      </c>
    </row>
    <row r="623" spans="1:35" ht="57.6">
      <c r="A623" s="253" t="s">
        <v>5377</v>
      </c>
      <c r="B623" s="289"/>
      <c r="C623" s="76" t="s">
        <v>5018</v>
      </c>
      <c r="D623" s="2" t="s">
        <v>5378</v>
      </c>
      <c r="E623" s="2" t="s">
        <v>5379</v>
      </c>
      <c r="F623" s="2" t="s">
        <v>5321</v>
      </c>
      <c r="G623" s="2" t="s">
        <v>5380</v>
      </c>
      <c r="H623" s="2" t="s">
        <v>5339</v>
      </c>
      <c r="I623" s="2" t="s">
        <v>5381</v>
      </c>
      <c r="J623" s="2" t="s">
        <v>5382</v>
      </c>
      <c r="K623" s="2" t="s">
        <v>5383</v>
      </c>
      <c r="L623" s="6" t="s">
        <v>1381</v>
      </c>
      <c r="M623" s="21" t="s">
        <v>1368</v>
      </c>
      <c r="P623" s="21" t="s">
        <v>1371</v>
      </c>
    </row>
    <row r="624" spans="1:35" ht="43.15">
      <c r="A624" s="253" t="s">
        <v>5384</v>
      </c>
      <c r="B624" s="289"/>
      <c r="C624" s="76" t="s">
        <v>5018</v>
      </c>
      <c r="D624" s="2" t="s">
        <v>5385</v>
      </c>
      <c r="E624" s="2" t="s">
        <v>5386</v>
      </c>
      <c r="F624" s="2" t="s">
        <v>5321</v>
      </c>
      <c r="G624" s="2" t="s">
        <v>5387</v>
      </c>
      <c r="H624" s="2" t="s">
        <v>5388</v>
      </c>
      <c r="I624" s="2" t="s">
        <v>5389</v>
      </c>
      <c r="J624" s="2" t="s">
        <v>5364</v>
      </c>
      <c r="K624" s="2" t="s">
        <v>5390</v>
      </c>
      <c r="L624" s="6" t="s">
        <v>1367</v>
      </c>
      <c r="M624" s="21" t="s">
        <v>1368</v>
      </c>
      <c r="P624" s="189" t="s">
        <v>22</v>
      </c>
    </row>
    <row r="625" spans="1:33" ht="86.45">
      <c r="A625" s="253" t="s">
        <v>5391</v>
      </c>
      <c r="B625" s="289"/>
      <c r="C625" s="21" t="s">
        <v>5018</v>
      </c>
      <c r="D625" s="2" t="s">
        <v>5392</v>
      </c>
      <c r="E625" s="2" t="s">
        <v>5393</v>
      </c>
      <c r="F625" s="2" t="s">
        <v>5321</v>
      </c>
      <c r="G625" s="2" t="s">
        <v>5394</v>
      </c>
      <c r="H625" s="2" t="s">
        <v>5395</v>
      </c>
      <c r="I625" s="2" t="s">
        <v>5396</v>
      </c>
      <c r="J625" s="2" t="s">
        <v>5397</v>
      </c>
      <c r="K625" s="2" t="s">
        <v>5398</v>
      </c>
      <c r="L625" s="6" t="s">
        <v>1381</v>
      </c>
      <c r="M625" s="21" t="s">
        <v>1368</v>
      </c>
      <c r="P625" s="189" t="s">
        <v>1371</v>
      </c>
    </row>
    <row r="626" spans="1:33" ht="43.15">
      <c r="A626" s="253" t="s">
        <v>5399</v>
      </c>
      <c r="B626" s="289"/>
      <c r="C626" s="76" t="s">
        <v>5018</v>
      </c>
      <c r="D626" s="2" t="s">
        <v>5400</v>
      </c>
      <c r="E626" s="2" t="s">
        <v>5401</v>
      </c>
      <c r="F626" s="2" t="s">
        <v>5321</v>
      </c>
      <c r="G626" s="2" t="s">
        <v>5402</v>
      </c>
      <c r="H626" s="2" t="s">
        <v>5403</v>
      </c>
      <c r="I626" s="2" t="s">
        <v>5404</v>
      </c>
      <c r="J626" s="2" t="s">
        <v>5364</v>
      </c>
      <c r="K626" s="2" t="s">
        <v>5405</v>
      </c>
      <c r="L626" s="6" t="s">
        <v>1367</v>
      </c>
      <c r="M626" s="21" t="s">
        <v>1368</v>
      </c>
      <c r="P626" s="189" t="s">
        <v>22</v>
      </c>
      <c r="S626" s="180"/>
    </row>
    <row r="627" spans="1:33" ht="43.15">
      <c r="A627" s="253" t="s">
        <v>5406</v>
      </c>
      <c r="B627" s="289"/>
      <c r="C627" s="21" t="s">
        <v>5018</v>
      </c>
      <c r="D627" s="2" t="s">
        <v>5407</v>
      </c>
      <c r="E627" s="2" t="s">
        <v>5408</v>
      </c>
      <c r="F627" s="2" t="s">
        <v>5321</v>
      </c>
      <c r="G627" s="2" t="s">
        <v>5409</v>
      </c>
      <c r="H627" s="3" t="s">
        <v>5410</v>
      </c>
      <c r="I627" s="2" t="s">
        <v>5411</v>
      </c>
      <c r="J627" s="2" t="s">
        <v>5364</v>
      </c>
      <c r="K627" s="2" t="s">
        <v>5412</v>
      </c>
      <c r="L627" s="6" t="s">
        <v>1381</v>
      </c>
      <c r="M627" s="21" t="s">
        <v>1368</v>
      </c>
      <c r="P627" s="21" t="s">
        <v>1371</v>
      </c>
      <c r="S627" s="180"/>
    </row>
    <row r="628" spans="1:33" ht="57.6">
      <c r="A628" s="253" t="s">
        <v>5413</v>
      </c>
      <c r="B628" s="289"/>
      <c r="C628" s="21" t="s">
        <v>5018</v>
      </c>
      <c r="D628" s="2" t="s">
        <v>5414</v>
      </c>
      <c r="E628" s="2" t="s">
        <v>5415</v>
      </c>
      <c r="F628" s="2" t="s">
        <v>5028</v>
      </c>
      <c r="G628" s="2" t="s">
        <v>5416</v>
      </c>
      <c r="H628" s="2" t="s">
        <v>5417</v>
      </c>
      <c r="I628" s="2" t="s">
        <v>5418</v>
      </c>
      <c r="J628" s="2" t="s">
        <v>5419</v>
      </c>
      <c r="K628" s="2" t="s">
        <v>5420</v>
      </c>
      <c r="L628" s="6" t="s">
        <v>1367</v>
      </c>
      <c r="M628" s="21" t="s">
        <v>1368</v>
      </c>
      <c r="P628" s="21" t="s">
        <v>22</v>
      </c>
    </row>
    <row r="629" spans="1:33" ht="57.6">
      <c r="A629" s="253" t="s">
        <v>5421</v>
      </c>
      <c r="B629" s="289"/>
      <c r="C629" s="76" t="s">
        <v>5018</v>
      </c>
      <c r="D629" s="2" t="s">
        <v>5422</v>
      </c>
      <c r="E629" s="2" t="s">
        <v>5423</v>
      </c>
      <c r="F629" s="2" t="s">
        <v>5028</v>
      </c>
      <c r="G629" s="2" t="s">
        <v>5424</v>
      </c>
      <c r="H629" s="2" t="s">
        <v>5425</v>
      </c>
      <c r="I629" s="2" t="s">
        <v>5426</v>
      </c>
      <c r="J629" s="2" t="s">
        <v>5427</v>
      </c>
      <c r="K629" s="2" t="s">
        <v>5428</v>
      </c>
      <c r="L629" s="6" t="s">
        <v>1367</v>
      </c>
      <c r="M629" s="21" t="s">
        <v>1368</v>
      </c>
      <c r="P629" s="21" t="s">
        <v>22</v>
      </c>
    </row>
    <row r="630" spans="1:33" ht="57.6">
      <c r="A630" s="253" t="s">
        <v>5429</v>
      </c>
      <c r="B630" s="289"/>
      <c r="C630" s="21" t="s">
        <v>5018</v>
      </c>
      <c r="D630" s="2" t="s">
        <v>5430</v>
      </c>
      <c r="E630" s="2" t="s">
        <v>5431</v>
      </c>
      <c r="F630" s="2" t="s">
        <v>5432</v>
      </c>
      <c r="G630" s="2" t="s">
        <v>5433</v>
      </c>
      <c r="H630" s="2" t="s">
        <v>5434</v>
      </c>
      <c r="I630" s="2" t="s">
        <v>5435</v>
      </c>
      <c r="J630" s="2" t="s">
        <v>5436</v>
      </c>
      <c r="K630" s="2" t="s">
        <v>5437</v>
      </c>
      <c r="L630" s="6" t="s">
        <v>1367</v>
      </c>
      <c r="M630" s="21" t="s">
        <v>1368</v>
      </c>
      <c r="P630" s="21" t="s">
        <v>22</v>
      </c>
    </row>
    <row r="631" spans="1:33" ht="57.6">
      <c r="A631" s="253" t="s">
        <v>5438</v>
      </c>
      <c r="B631" s="289"/>
      <c r="C631" s="76" t="s">
        <v>5018</v>
      </c>
      <c r="D631" s="2" t="s">
        <v>5439</v>
      </c>
      <c r="E631" s="2" t="s">
        <v>5440</v>
      </c>
      <c r="F631" s="2" t="s">
        <v>5420</v>
      </c>
      <c r="G631" s="2" t="s">
        <v>5441</v>
      </c>
      <c r="H631" s="2" t="s">
        <v>5417</v>
      </c>
      <c r="I631" s="2" t="s">
        <v>5442</v>
      </c>
      <c r="J631" s="2" t="s">
        <v>5443</v>
      </c>
      <c r="K631" s="2" t="s">
        <v>5444</v>
      </c>
      <c r="L631" s="6" t="s">
        <v>1367</v>
      </c>
      <c r="M631" s="21" t="s">
        <v>1368</v>
      </c>
      <c r="P631" s="21" t="s">
        <v>1371</v>
      </c>
    </row>
    <row r="632" spans="1:33" ht="57.6">
      <c r="A632" s="253" t="s">
        <v>5445</v>
      </c>
      <c r="B632" s="289"/>
      <c r="C632" s="21" t="s">
        <v>5018</v>
      </c>
      <c r="D632" s="2" t="s">
        <v>5446</v>
      </c>
      <c r="E632" s="2" t="s">
        <v>5447</v>
      </c>
      <c r="F632" s="2" t="s">
        <v>5166</v>
      </c>
      <c r="G632" s="2" t="s">
        <v>5448</v>
      </c>
      <c r="H632" s="2" t="s">
        <v>5449</v>
      </c>
      <c r="I632" s="2" t="s">
        <v>5450</v>
      </c>
      <c r="J632" s="2" t="s">
        <v>5451</v>
      </c>
      <c r="K632" s="2" t="s">
        <v>5452</v>
      </c>
      <c r="L632" s="6" t="s">
        <v>1367</v>
      </c>
      <c r="M632" s="21" t="s">
        <v>1368</v>
      </c>
      <c r="P632" s="21" t="s">
        <v>22</v>
      </c>
    </row>
    <row r="633" spans="1:33" ht="43.15">
      <c r="A633" s="253" t="s">
        <v>5453</v>
      </c>
      <c r="B633" s="289"/>
      <c r="C633" s="76" t="s">
        <v>5018</v>
      </c>
      <c r="D633" s="2" t="s">
        <v>5454</v>
      </c>
      <c r="E633" s="2" t="s">
        <v>5455</v>
      </c>
      <c r="F633" s="2" t="s">
        <v>5166</v>
      </c>
      <c r="G633" s="2" t="s">
        <v>5456</v>
      </c>
      <c r="H633" s="2" t="s">
        <v>5457</v>
      </c>
      <c r="I633" s="2" t="s">
        <v>5458</v>
      </c>
      <c r="J633" s="2" t="s">
        <v>5291</v>
      </c>
      <c r="K633" s="2" t="s">
        <v>5291</v>
      </c>
      <c r="L633" s="6" t="s">
        <v>1367</v>
      </c>
      <c r="M633" s="21" t="s">
        <v>1368</v>
      </c>
      <c r="P633" s="21" t="s">
        <v>1371</v>
      </c>
    </row>
    <row r="634" spans="1:33" ht="57.6">
      <c r="A634" s="253" t="s">
        <v>5459</v>
      </c>
      <c r="B634" s="289"/>
      <c r="C634" s="21" t="s">
        <v>5018</v>
      </c>
      <c r="D634" s="2" t="s">
        <v>5460</v>
      </c>
      <c r="E634" s="2" t="s">
        <v>5461</v>
      </c>
      <c r="F634" s="2" t="s">
        <v>5462</v>
      </c>
      <c r="G634" s="2" t="s">
        <v>5463</v>
      </c>
      <c r="H634" s="2" t="s">
        <v>5434</v>
      </c>
      <c r="I634" s="2" t="s">
        <v>5464</v>
      </c>
      <c r="J634" s="2" t="s">
        <v>5465</v>
      </c>
      <c r="K634" s="2" t="s">
        <v>5466</v>
      </c>
      <c r="L634" s="6" t="s">
        <v>1367</v>
      </c>
      <c r="M634" s="21" t="s">
        <v>1368</v>
      </c>
      <c r="P634" s="21" t="s">
        <v>22</v>
      </c>
    </row>
    <row r="635" spans="1:33" ht="43.15">
      <c r="A635" s="253" t="s">
        <v>5467</v>
      </c>
      <c r="B635" s="289"/>
      <c r="C635" s="76" t="s">
        <v>5018</v>
      </c>
      <c r="D635" s="2" t="s">
        <v>5468</v>
      </c>
      <c r="E635" s="2" t="s">
        <v>5469</v>
      </c>
      <c r="F635" s="2" t="s">
        <v>5166</v>
      </c>
      <c r="G635" s="2" t="s">
        <v>5470</v>
      </c>
      <c r="H635" s="2" t="s">
        <v>5471</v>
      </c>
      <c r="I635" s="2" t="s">
        <v>5291</v>
      </c>
      <c r="J635" s="2" t="s">
        <v>5472</v>
      </c>
      <c r="K635" s="2" t="s">
        <v>5291</v>
      </c>
      <c r="L635" s="6" t="s">
        <v>1367</v>
      </c>
      <c r="M635" s="21" t="s">
        <v>1368</v>
      </c>
      <c r="P635" s="21" t="s">
        <v>1371</v>
      </c>
    </row>
    <row r="636" spans="1:33" ht="57.6">
      <c r="A636" s="253" t="s">
        <v>5473</v>
      </c>
      <c r="B636" s="289"/>
      <c r="C636" s="21" t="s">
        <v>5018</v>
      </c>
      <c r="D636" s="2" t="s">
        <v>5474</v>
      </c>
      <c r="E636" s="2" t="s">
        <v>5475</v>
      </c>
      <c r="F636" s="2" t="s">
        <v>5166</v>
      </c>
      <c r="G636" s="2" t="s">
        <v>5476</v>
      </c>
      <c r="H636" s="2" t="s">
        <v>5449</v>
      </c>
      <c r="I636" s="2" t="s">
        <v>5477</v>
      </c>
      <c r="J636" s="2" t="s">
        <v>5478</v>
      </c>
      <c r="K636" s="2" t="s">
        <v>5479</v>
      </c>
      <c r="L636" s="6" t="s">
        <v>1367</v>
      </c>
      <c r="M636" s="21" t="s">
        <v>1368</v>
      </c>
      <c r="P636" s="21" t="s">
        <v>22</v>
      </c>
    </row>
    <row r="637" spans="1:33" ht="57.6">
      <c r="A637" s="253" t="s">
        <v>5480</v>
      </c>
      <c r="B637" s="289"/>
      <c r="C637" s="76" t="s">
        <v>5018</v>
      </c>
      <c r="D637" s="2" t="s">
        <v>5481</v>
      </c>
      <c r="E637" s="2" t="s">
        <v>5482</v>
      </c>
      <c r="F637" s="2" t="s">
        <v>5483</v>
      </c>
      <c r="G637" s="2" t="s">
        <v>5484</v>
      </c>
      <c r="H637" s="2" t="s">
        <v>5485</v>
      </c>
      <c r="I637" s="2" t="s">
        <v>5486</v>
      </c>
      <c r="J637" s="2" t="s">
        <v>5487</v>
      </c>
      <c r="K637" s="2" t="s">
        <v>5161</v>
      </c>
      <c r="L637" s="6" t="s">
        <v>1367</v>
      </c>
      <c r="M637" s="21" t="s">
        <v>1368</v>
      </c>
      <c r="P637" s="21" t="s">
        <v>1371</v>
      </c>
    </row>
    <row r="638" spans="1:33" ht="43.15">
      <c r="A638" s="253" t="s">
        <v>5488</v>
      </c>
      <c r="B638" s="289"/>
      <c r="C638" s="21" t="s">
        <v>5018</v>
      </c>
      <c r="D638" s="2" t="s">
        <v>5489</v>
      </c>
      <c r="E638" s="2" t="s">
        <v>5490</v>
      </c>
      <c r="F638" s="2" t="s">
        <v>5028</v>
      </c>
      <c r="G638" s="2" t="s">
        <v>5491</v>
      </c>
      <c r="H638" s="2" t="s">
        <v>5492</v>
      </c>
      <c r="I638" s="2" t="s">
        <v>5493</v>
      </c>
      <c r="J638" s="2" t="s">
        <v>5494</v>
      </c>
      <c r="K638" s="2" t="s">
        <v>5495</v>
      </c>
      <c r="L638" s="6" t="s">
        <v>1381</v>
      </c>
      <c r="M638" s="21" t="s">
        <v>1368</v>
      </c>
      <c r="P638" s="21" t="s">
        <v>22</v>
      </c>
      <c r="AG638" s="78"/>
    </row>
    <row r="639" spans="1:33" s="45" customFormat="1">
      <c r="A639" s="247"/>
      <c r="B639" s="289"/>
      <c r="C639" s="78"/>
      <c r="D639" s="44"/>
      <c r="E639" s="44"/>
      <c r="F639" s="44"/>
      <c r="G639" s="44"/>
      <c r="H639" s="44"/>
      <c r="I639" s="44"/>
      <c r="J639" s="44"/>
      <c r="K639" s="44"/>
      <c r="L639" s="81"/>
      <c r="M639" s="78"/>
      <c r="P639" s="78"/>
      <c r="Q639" s="78"/>
      <c r="R639" s="303"/>
      <c r="W639" s="81"/>
      <c r="X639" s="81"/>
      <c r="AG639" s="21"/>
    </row>
    <row r="640" spans="1:33" ht="43.15">
      <c r="A640" s="253" t="s">
        <v>5496</v>
      </c>
      <c r="B640" s="289"/>
      <c r="C640" s="76" t="s">
        <v>5497</v>
      </c>
      <c r="D640" s="2" t="s">
        <v>5498</v>
      </c>
      <c r="E640" s="2" t="s">
        <v>5499</v>
      </c>
      <c r="F640" s="2" t="s">
        <v>5500</v>
      </c>
      <c r="G640" s="2" t="s">
        <v>5501</v>
      </c>
      <c r="H640" s="2" t="s">
        <v>1442</v>
      </c>
      <c r="I640" s="2" t="s">
        <v>5502</v>
      </c>
      <c r="J640" s="2" t="s">
        <v>5503</v>
      </c>
      <c r="K640" s="2" t="s">
        <v>5504</v>
      </c>
      <c r="L640" s="6" t="s">
        <v>1367</v>
      </c>
      <c r="M640" s="21" t="s">
        <v>1368</v>
      </c>
      <c r="P640" s="21" t="s">
        <v>22</v>
      </c>
    </row>
    <row r="641" spans="1:16" ht="43.15">
      <c r="A641" s="253" t="s">
        <v>5505</v>
      </c>
      <c r="B641" s="289"/>
      <c r="C641" s="76" t="s">
        <v>5497</v>
      </c>
      <c r="D641" s="2" t="s">
        <v>5506</v>
      </c>
      <c r="E641" s="2" t="s">
        <v>5507</v>
      </c>
      <c r="F641" s="2" t="s">
        <v>5508</v>
      </c>
      <c r="G641" s="2" t="s">
        <v>5509</v>
      </c>
      <c r="H641" s="2" t="s">
        <v>1442</v>
      </c>
      <c r="I641" s="2" t="s">
        <v>5510</v>
      </c>
      <c r="J641" s="2" t="s">
        <v>5510</v>
      </c>
      <c r="K641" s="2" t="s">
        <v>5511</v>
      </c>
      <c r="L641" s="6" t="s">
        <v>1367</v>
      </c>
      <c r="M641" s="21" t="s">
        <v>1368</v>
      </c>
      <c r="P641" s="21" t="s">
        <v>22</v>
      </c>
    </row>
    <row r="642" spans="1:16" ht="28.9">
      <c r="A642" s="253" t="s">
        <v>5512</v>
      </c>
      <c r="B642" s="289"/>
      <c r="C642" s="76" t="s">
        <v>5497</v>
      </c>
      <c r="D642" s="2" t="s">
        <v>5513</v>
      </c>
      <c r="E642" s="2" t="s">
        <v>5514</v>
      </c>
      <c r="F642" s="2" t="s">
        <v>5515</v>
      </c>
      <c r="G642" s="2" t="s">
        <v>5516</v>
      </c>
      <c r="H642" s="2" t="s">
        <v>1442</v>
      </c>
      <c r="I642" s="2" t="s">
        <v>5517</v>
      </c>
      <c r="J642" s="2" t="s">
        <v>5518</v>
      </c>
      <c r="K642" s="2" t="s">
        <v>5519</v>
      </c>
      <c r="L642" s="6" t="s">
        <v>1367</v>
      </c>
      <c r="M642" s="21" t="s">
        <v>1368</v>
      </c>
      <c r="P642" s="21" t="s">
        <v>1371</v>
      </c>
    </row>
    <row r="643" spans="1:16" ht="43.15">
      <c r="A643" s="253" t="s">
        <v>5520</v>
      </c>
      <c r="B643" s="289"/>
      <c r="C643" s="76" t="s">
        <v>5497</v>
      </c>
      <c r="D643" s="2" t="s">
        <v>5521</v>
      </c>
      <c r="E643" s="2" t="s">
        <v>5522</v>
      </c>
      <c r="F643" s="2" t="s">
        <v>5508</v>
      </c>
      <c r="G643" s="2" t="s">
        <v>5523</v>
      </c>
      <c r="H643" s="2" t="s">
        <v>1442</v>
      </c>
      <c r="I643" s="2" t="s">
        <v>5524</v>
      </c>
      <c r="J643" s="2" t="s">
        <v>5525</v>
      </c>
      <c r="K643" s="2" t="s">
        <v>5526</v>
      </c>
      <c r="L643" s="6" t="s">
        <v>1367</v>
      </c>
      <c r="M643" s="21" t="s">
        <v>1368</v>
      </c>
      <c r="P643" s="21" t="s">
        <v>1371</v>
      </c>
    </row>
    <row r="644" spans="1:16" ht="28.9">
      <c r="A644" s="253" t="s">
        <v>5527</v>
      </c>
      <c r="B644" s="289"/>
      <c r="C644" s="76" t="s">
        <v>5497</v>
      </c>
      <c r="D644" s="2" t="s">
        <v>5528</v>
      </c>
      <c r="E644" s="2" t="s">
        <v>5529</v>
      </c>
      <c r="F644" s="2" t="s">
        <v>5515</v>
      </c>
      <c r="G644" s="2" t="s">
        <v>5530</v>
      </c>
      <c r="H644" s="2" t="s">
        <v>1442</v>
      </c>
      <c r="I644" s="2" t="s">
        <v>5531</v>
      </c>
      <c r="J644" s="2" t="s">
        <v>5532</v>
      </c>
      <c r="K644" s="2" t="s">
        <v>5533</v>
      </c>
      <c r="L644" s="6" t="s">
        <v>1367</v>
      </c>
      <c r="M644" s="21" t="s">
        <v>1368</v>
      </c>
      <c r="P644" s="21" t="s">
        <v>1371</v>
      </c>
    </row>
    <row r="645" spans="1:16" ht="43.15">
      <c r="A645" s="253" t="s">
        <v>5534</v>
      </c>
      <c r="B645" s="289"/>
      <c r="C645" s="76" t="s">
        <v>5497</v>
      </c>
      <c r="D645" s="2" t="s">
        <v>5535</v>
      </c>
      <c r="E645" s="2" t="s">
        <v>5536</v>
      </c>
      <c r="F645" s="2" t="s">
        <v>5515</v>
      </c>
      <c r="G645" s="2" t="s">
        <v>5537</v>
      </c>
      <c r="H645" s="2" t="s">
        <v>1442</v>
      </c>
      <c r="I645" s="2" t="s">
        <v>5538</v>
      </c>
      <c r="J645" s="2" t="s">
        <v>5539</v>
      </c>
      <c r="K645" s="2" t="s">
        <v>5540</v>
      </c>
      <c r="L645" s="6" t="s">
        <v>1367</v>
      </c>
      <c r="M645" s="21" t="s">
        <v>1368</v>
      </c>
      <c r="P645" s="21" t="s">
        <v>1371</v>
      </c>
    </row>
    <row r="646" spans="1:16" ht="28.9">
      <c r="A646" s="253" t="s">
        <v>5541</v>
      </c>
      <c r="B646" s="289"/>
      <c r="C646" s="76" t="s">
        <v>5497</v>
      </c>
      <c r="D646" s="2" t="s">
        <v>5542</v>
      </c>
      <c r="E646" s="2" t="s">
        <v>5543</v>
      </c>
      <c r="F646" s="2" t="s">
        <v>5544</v>
      </c>
      <c r="G646" s="2" t="s">
        <v>5545</v>
      </c>
      <c r="H646" s="2" t="s">
        <v>1442</v>
      </c>
      <c r="I646" s="2" t="s">
        <v>5546</v>
      </c>
      <c r="J646" s="2" t="s">
        <v>5547</v>
      </c>
      <c r="K646" s="2" t="s">
        <v>5548</v>
      </c>
      <c r="L646" s="6" t="s">
        <v>1367</v>
      </c>
      <c r="M646" s="21" t="s">
        <v>1368</v>
      </c>
      <c r="P646" s="21" t="s">
        <v>1481</v>
      </c>
    </row>
    <row r="647" spans="1:16" ht="28.9">
      <c r="A647" s="253" t="s">
        <v>5549</v>
      </c>
      <c r="B647" s="289"/>
      <c r="C647" s="76" t="s">
        <v>5497</v>
      </c>
      <c r="D647" s="2" t="s">
        <v>5550</v>
      </c>
      <c r="E647" s="2" t="s">
        <v>5551</v>
      </c>
      <c r="F647" s="2" t="s">
        <v>5515</v>
      </c>
      <c r="G647" s="2" t="s">
        <v>5552</v>
      </c>
      <c r="H647" s="2" t="s">
        <v>1442</v>
      </c>
      <c r="I647" s="2" t="s">
        <v>5553</v>
      </c>
      <c r="J647" s="2" t="s">
        <v>5554</v>
      </c>
      <c r="K647" s="2" t="s">
        <v>5555</v>
      </c>
      <c r="L647" s="6" t="s">
        <v>1367</v>
      </c>
      <c r="M647" s="21" t="s">
        <v>1368</v>
      </c>
      <c r="P647" s="21" t="s">
        <v>1371</v>
      </c>
    </row>
    <row r="648" spans="1:16" ht="43.15">
      <c r="A648" s="253" t="s">
        <v>5556</v>
      </c>
      <c r="B648" s="289"/>
      <c r="C648" s="76" t="s">
        <v>5497</v>
      </c>
      <c r="D648" s="2" t="s">
        <v>5557</v>
      </c>
      <c r="E648" s="2" t="s">
        <v>5558</v>
      </c>
      <c r="F648" s="2" t="s">
        <v>5515</v>
      </c>
      <c r="G648" s="2" t="s">
        <v>5559</v>
      </c>
      <c r="H648" s="2" t="s">
        <v>1442</v>
      </c>
      <c r="I648" s="2" t="s">
        <v>5560</v>
      </c>
      <c r="J648" s="2" t="s">
        <v>5561</v>
      </c>
      <c r="K648" s="2" t="s">
        <v>5562</v>
      </c>
      <c r="L648" s="6" t="s">
        <v>1367</v>
      </c>
      <c r="M648" s="21" t="s">
        <v>1368</v>
      </c>
      <c r="P648" s="21" t="s">
        <v>1371</v>
      </c>
    </row>
    <row r="649" spans="1:16" ht="28.9">
      <c r="A649" s="253" t="s">
        <v>5563</v>
      </c>
      <c r="B649" s="289"/>
      <c r="C649" s="76" t="s">
        <v>5497</v>
      </c>
      <c r="D649" s="2" t="s">
        <v>5564</v>
      </c>
      <c r="E649" s="2" t="s">
        <v>5565</v>
      </c>
      <c r="F649" s="2" t="s">
        <v>5515</v>
      </c>
      <c r="G649" s="2" t="s">
        <v>5566</v>
      </c>
      <c r="H649" s="2" t="s">
        <v>1442</v>
      </c>
      <c r="I649" s="2" t="s">
        <v>5567</v>
      </c>
      <c r="J649" s="2" t="s">
        <v>5568</v>
      </c>
      <c r="K649" s="2" t="s">
        <v>5569</v>
      </c>
      <c r="L649" s="6" t="s">
        <v>1367</v>
      </c>
      <c r="M649" s="21" t="s">
        <v>1368</v>
      </c>
      <c r="P649" s="21" t="s">
        <v>22</v>
      </c>
    </row>
    <row r="650" spans="1:16" ht="72">
      <c r="A650" s="253" t="s">
        <v>5570</v>
      </c>
      <c r="B650" s="289"/>
      <c r="C650" s="76" t="s">
        <v>5497</v>
      </c>
      <c r="D650" s="2" t="s">
        <v>5084</v>
      </c>
      <c r="E650" s="2" t="s">
        <v>5085</v>
      </c>
      <c r="F650" s="2" t="s">
        <v>5028</v>
      </c>
      <c r="G650" s="2" t="s">
        <v>5086</v>
      </c>
      <c r="H650" s="2" t="s">
        <v>5087</v>
      </c>
      <c r="I650" s="2" t="s">
        <v>5088</v>
      </c>
      <c r="J650" s="2" t="s">
        <v>5089</v>
      </c>
      <c r="K650" s="2" t="s">
        <v>5090</v>
      </c>
      <c r="L650" s="6" t="s">
        <v>1381</v>
      </c>
      <c r="M650" s="21" t="s">
        <v>1368</v>
      </c>
      <c r="P650" s="21" t="s">
        <v>1371</v>
      </c>
    </row>
    <row r="651" spans="1:16" ht="43.15">
      <c r="A651" s="253" t="s">
        <v>5571</v>
      </c>
      <c r="B651" s="289"/>
      <c r="C651" s="76" t="s">
        <v>5497</v>
      </c>
      <c r="D651" s="2" t="s">
        <v>5572</v>
      </c>
      <c r="E651" s="2" t="s">
        <v>5573</v>
      </c>
      <c r="F651" s="2" t="s">
        <v>2553</v>
      </c>
      <c r="G651" s="2" t="s">
        <v>5574</v>
      </c>
      <c r="H651" s="2" t="s">
        <v>1442</v>
      </c>
      <c r="I651" s="2" t="s">
        <v>5575</v>
      </c>
      <c r="J651" s="2" t="s">
        <v>5576</v>
      </c>
      <c r="K651" s="2" t="s">
        <v>5577</v>
      </c>
      <c r="L651" s="6" t="s">
        <v>1367</v>
      </c>
      <c r="M651" s="21" t="s">
        <v>1368</v>
      </c>
      <c r="P651" s="21" t="s">
        <v>22</v>
      </c>
    </row>
    <row r="652" spans="1:16" ht="28.9">
      <c r="A652" s="253" t="s">
        <v>5578</v>
      </c>
      <c r="B652" s="289"/>
      <c r="C652" s="76" t="s">
        <v>5497</v>
      </c>
      <c r="D652" s="2" t="s">
        <v>5579</v>
      </c>
      <c r="E652" s="2" t="s">
        <v>5580</v>
      </c>
      <c r="F652" s="2" t="s">
        <v>5581</v>
      </c>
      <c r="G652" s="2" t="s">
        <v>5582</v>
      </c>
      <c r="H652" s="2" t="s">
        <v>1442</v>
      </c>
      <c r="I652" s="2" t="s">
        <v>5583</v>
      </c>
      <c r="J652" s="2" t="s">
        <v>2564</v>
      </c>
      <c r="K652" s="2" t="s">
        <v>4015</v>
      </c>
      <c r="L652" s="6" t="s">
        <v>1367</v>
      </c>
      <c r="M652" s="21" t="s">
        <v>1368</v>
      </c>
      <c r="P652" s="21" t="s">
        <v>22</v>
      </c>
    </row>
    <row r="653" spans="1:16" ht="28.9">
      <c r="A653" s="253" t="s">
        <v>5584</v>
      </c>
      <c r="B653" s="289"/>
      <c r="C653" s="76" t="s">
        <v>5497</v>
      </c>
      <c r="D653" s="2" t="s">
        <v>5585</v>
      </c>
      <c r="E653" s="2" t="s">
        <v>5586</v>
      </c>
      <c r="F653" s="2" t="s">
        <v>5515</v>
      </c>
      <c r="G653" s="2" t="s">
        <v>2569</v>
      </c>
      <c r="H653" s="2" t="s">
        <v>1442</v>
      </c>
      <c r="I653" s="2" t="s">
        <v>2812</v>
      </c>
      <c r="J653" s="2" t="s">
        <v>2571</v>
      </c>
      <c r="K653" s="2" t="s">
        <v>2813</v>
      </c>
      <c r="L653" s="6" t="s">
        <v>1367</v>
      </c>
      <c r="M653" s="21" t="s">
        <v>1368</v>
      </c>
      <c r="P653" s="21" t="s">
        <v>1371</v>
      </c>
    </row>
    <row r="654" spans="1:16" ht="28.9">
      <c r="A654" s="253" t="s">
        <v>5587</v>
      </c>
      <c r="B654" s="289"/>
      <c r="C654" s="76" t="s">
        <v>5497</v>
      </c>
      <c r="D654" s="2" t="s">
        <v>5588</v>
      </c>
      <c r="E654" s="2" t="s">
        <v>5589</v>
      </c>
      <c r="F654" s="2" t="s">
        <v>5590</v>
      </c>
      <c r="G654" s="2" t="s">
        <v>5591</v>
      </c>
      <c r="H654" s="2" t="s">
        <v>1442</v>
      </c>
      <c r="I654" s="2" t="s">
        <v>5592</v>
      </c>
      <c r="J654" s="2" t="s">
        <v>2580</v>
      </c>
      <c r="K654" s="2" t="s">
        <v>5593</v>
      </c>
      <c r="L654" s="6" t="s">
        <v>1367</v>
      </c>
      <c r="M654" s="21" t="s">
        <v>1368</v>
      </c>
      <c r="P654" s="21" t="s">
        <v>22</v>
      </c>
    </row>
    <row r="655" spans="1:16" ht="28.9">
      <c r="A655" s="253" t="s">
        <v>5594</v>
      </c>
      <c r="B655" s="289"/>
      <c r="C655" s="76" t="s">
        <v>5497</v>
      </c>
      <c r="D655" s="2" t="s">
        <v>5595</v>
      </c>
      <c r="E655" s="2" t="s">
        <v>2584</v>
      </c>
      <c r="F655" s="2" t="s">
        <v>5581</v>
      </c>
      <c r="G655" s="2" t="s">
        <v>2586</v>
      </c>
      <c r="H655" s="2" t="s">
        <v>1442</v>
      </c>
      <c r="I655" s="2" t="s">
        <v>5596</v>
      </c>
      <c r="J655" s="2" t="s">
        <v>2588</v>
      </c>
      <c r="K655" s="2" t="s">
        <v>2589</v>
      </c>
      <c r="L655" s="6" t="s">
        <v>1367</v>
      </c>
      <c r="M655" s="21" t="s">
        <v>1368</v>
      </c>
      <c r="P655" s="21" t="s">
        <v>22</v>
      </c>
    </row>
    <row r="656" spans="1:16" ht="28.9">
      <c r="A656" s="253" t="s">
        <v>5597</v>
      </c>
      <c r="B656" s="289"/>
      <c r="C656" s="76" t="s">
        <v>5497</v>
      </c>
      <c r="D656" s="2" t="s">
        <v>2591</v>
      </c>
      <c r="E656" s="2" t="s">
        <v>2592</v>
      </c>
      <c r="F656" s="2" t="s">
        <v>2593</v>
      </c>
      <c r="G656" s="2" t="s">
        <v>5598</v>
      </c>
      <c r="H656" s="2" t="s">
        <v>2595</v>
      </c>
      <c r="I656" s="2" t="s">
        <v>2596</v>
      </c>
      <c r="J656" s="2" t="s">
        <v>2597</v>
      </c>
      <c r="K656" s="2" t="s">
        <v>2598</v>
      </c>
      <c r="L656" s="6" t="s">
        <v>1367</v>
      </c>
      <c r="M656" s="21" t="s">
        <v>1368</v>
      </c>
      <c r="P656" s="21" t="s">
        <v>22</v>
      </c>
    </row>
    <row r="657" spans="1:42" ht="43.15">
      <c r="A657" s="253" t="s">
        <v>5599</v>
      </c>
      <c r="B657" s="289"/>
      <c r="C657" s="76" t="s">
        <v>5497</v>
      </c>
      <c r="D657" s="2" t="s">
        <v>5600</v>
      </c>
      <c r="E657" s="2" t="s">
        <v>2601</v>
      </c>
      <c r="F657" s="2" t="s">
        <v>2602</v>
      </c>
      <c r="G657" s="2" t="s">
        <v>5601</v>
      </c>
      <c r="H657" s="2" t="s">
        <v>5602</v>
      </c>
      <c r="I657" s="2" t="s">
        <v>2605</v>
      </c>
      <c r="J657" s="2" t="s">
        <v>2606</v>
      </c>
      <c r="K657" s="2" t="s">
        <v>2607</v>
      </c>
      <c r="L657" s="6" t="s">
        <v>1367</v>
      </c>
      <c r="M657" s="21" t="s">
        <v>1368</v>
      </c>
      <c r="P657" s="21" t="s">
        <v>1371</v>
      </c>
    </row>
    <row r="658" spans="1:42" ht="28.9">
      <c r="A658" s="253" t="s">
        <v>5603</v>
      </c>
      <c r="B658" s="289"/>
      <c r="C658" s="76" t="s">
        <v>5497</v>
      </c>
      <c r="D658" s="2" t="s">
        <v>5604</v>
      </c>
      <c r="E658" s="2" t="s">
        <v>5605</v>
      </c>
      <c r="F658" s="2" t="s">
        <v>2593</v>
      </c>
      <c r="G658" s="2" t="s">
        <v>4040</v>
      </c>
      <c r="H658" s="2" t="s">
        <v>5606</v>
      </c>
      <c r="I658" s="2" t="s">
        <v>5607</v>
      </c>
      <c r="J658" s="2" t="s">
        <v>2614</v>
      </c>
      <c r="K658" s="2" t="s">
        <v>2615</v>
      </c>
      <c r="L658" s="6" t="s">
        <v>1367</v>
      </c>
      <c r="M658" s="21" t="s">
        <v>1368</v>
      </c>
      <c r="P658" s="21" t="s">
        <v>1393</v>
      </c>
    </row>
    <row r="659" spans="1:42" ht="28.9">
      <c r="A659" s="253" t="s">
        <v>5608</v>
      </c>
      <c r="B659" s="289"/>
      <c r="C659" s="76" t="s">
        <v>5497</v>
      </c>
      <c r="D659" s="2" t="s">
        <v>5609</v>
      </c>
      <c r="E659" s="2" t="s">
        <v>2618</v>
      </c>
      <c r="F659" s="2" t="s">
        <v>5607</v>
      </c>
      <c r="G659" s="2" t="s">
        <v>5610</v>
      </c>
      <c r="H659" s="2" t="s">
        <v>2620</v>
      </c>
      <c r="I659" s="2" t="s">
        <v>5611</v>
      </c>
      <c r="J659" s="2" t="s">
        <v>2622</v>
      </c>
      <c r="K659" s="2" t="s">
        <v>2623</v>
      </c>
      <c r="L659" s="6" t="s">
        <v>1367</v>
      </c>
      <c r="M659" s="21" t="s">
        <v>1368</v>
      </c>
      <c r="P659" s="21" t="s">
        <v>22</v>
      </c>
    </row>
    <row r="660" spans="1:42" ht="28.9">
      <c r="A660" s="253" t="s">
        <v>5612</v>
      </c>
      <c r="B660" s="289"/>
      <c r="C660" s="76" t="s">
        <v>5497</v>
      </c>
      <c r="D660" s="2" t="s">
        <v>5613</v>
      </c>
      <c r="E660" s="2" t="s">
        <v>2626</v>
      </c>
      <c r="F660" s="2" t="s">
        <v>2627</v>
      </c>
      <c r="G660" s="2" t="s">
        <v>5614</v>
      </c>
      <c r="H660" s="2" t="s">
        <v>5615</v>
      </c>
      <c r="I660" s="2" t="s">
        <v>2630</v>
      </c>
      <c r="J660" s="2" t="s">
        <v>2631</v>
      </c>
      <c r="K660" s="2" t="s">
        <v>2630</v>
      </c>
      <c r="L660" s="6" t="s">
        <v>1367</v>
      </c>
      <c r="M660" s="21" t="s">
        <v>1368</v>
      </c>
      <c r="P660" s="21" t="s">
        <v>1371</v>
      </c>
    </row>
    <row r="661" spans="1:42" ht="57.6">
      <c r="A661" s="253" t="s">
        <v>5616</v>
      </c>
      <c r="B661" s="289"/>
      <c r="C661" s="76" t="s">
        <v>5497</v>
      </c>
      <c r="D661" s="2" t="s">
        <v>5617</v>
      </c>
      <c r="E661" s="2" t="s">
        <v>2634</v>
      </c>
      <c r="F661" s="2" t="s">
        <v>5618</v>
      </c>
      <c r="G661" s="2" t="s">
        <v>4647</v>
      </c>
      <c r="H661" s="2" t="s">
        <v>5619</v>
      </c>
      <c r="I661" s="2" t="s">
        <v>2638</v>
      </c>
      <c r="J661" s="2" t="s">
        <v>2639</v>
      </c>
      <c r="K661" s="2" t="s">
        <v>5620</v>
      </c>
      <c r="L661" s="6" t="s">
        <v>1381</v>
      </c>
      <c r="M661" s="21" t="s">
        <v>1368</v>
      </c>
      <c r="P661" s="21" t="s">
        <v>1371</v>
      </c>
      <c r="AI661" s="21"/>
      <c r="AO661" s="6"/>
      <c r="AP661" s="6"/>
    </row>
    <row r="662" spans="1:42" ht="43.15">
      <c r="A662" s="253" t="s">
        <v>5621</v>
      </c>
      <c r="B662" s="289"/>
      <c r="C662" s="76" t="s">
        <v>5497</v>
      </c>
      <c r="D662" s="2" t="s">
        <v>5622</v>
      </c>
      <c r="E662" s="2" t="s">
        <v>5623</v>
      </c>
      <c r="F662" s="2" t="s">
        <v>4061</v>
      </c>
      <c r="G662" s="2" t="s">
        <v>5624</v>
      </c>
      <c r="H662" s="2" t="s">
        <v>5625</v>
      </c>
      <c r="I662" s="2" t="s">
        <v>5626</v>
      </c>
      <c r="J662" s="2" t="s">
        <v>2648</v>
      </c>
      <c r="K662" s="2" t="s">
        <v>5627</v>
      </c>
      <c r="L662" s="6" t="s">
        <v>1367</v>
      </c>
      <c r="M662" s="21" t="s">
        <v>1368</v>
      </c>
      <c r="P662" s="21" t="s">
        <v>22</v>
      </c>
    </row>
    <row r="663" spans="1:42" ht="43.15">
      <c r="A663" s="253" t="s">
        <v>5628</v>
      </c>
      <c r="B663" s="289"/>
      <c r="C663" s="76" t="s">
        <v>5497</v>
      </c>
      <c r="D663" s="2" t="s">
        <v>5629</v>
      </c>
      <c r="E663" s="2" t="s">
        <v>2652</v>
      </c>
      <c r="F663" s="2" t="s">
        <v>5630</v>
      </c>
      <c r="G663" s="2" t="s">
        <v>5631</v>
      </c>
      <c r="H663" s="2" t="s">
        <v>5632</v>
      </c>
      <c r="I663" s="2" t="s">
        <v>5633</v>
      </c>
      <c r="J663" s="2" t="s">
        <v>2657</v>
      </c>
      <c r="K663" s="2" t="s">
        <v>5634</v>
      </c>
      <c r="L663" s="6" t="s">
        <v>1367</v>
      </c>
      <c r="M663" s="21" t="s">
        <v>1368</v>
      </c>
      <c r="P663" s="21" t="s">
        <v>22</v>
      </c>
    </row>
    <row r="664" spans="1:42" ht="43.15">
      <c r="A664" s="253" t="s">
        <v>5635</v>
      </c>
      <c r="B664" s="289"/>
      <c r="C664" s="76" t="s">
        <v>5497</v>
      </c>
      <c r="D664" s="2" t="s">
        <v>5636</v>
      </c>
      <c r="E664" s="2" t="s">
        <v>5637</v>
      </c>
      <c r="F664" s="2" t="s">
        <v>2662</v>
      </c>
      <c r="G664" s="2" t="s">
        <v>5638</v>
      </c>
      <c r="H664" s="2" t="s">
        <v>5639</v>
      </c>
      <c r="I664" s="2" t="s">
        <v>5640</v>
      </c>
      <c r="J664" s="2" t="s">
        <v>2666</v>
      </c>
      <c r="K664" s="2" t="s">
        <v>2667</v>
      </c>
      <c r="L664" s="6" t="s">
        <v>1367</v>
      </c>
      <c r="M664" s="21" t="s">
        <v>1368</v>
      </c>
      <c r="P664" s="21" t="s">
        <v>22</v>
      </c>
    </row>
    <row r="665" spans="1:42" ht="28.9">
      <c r="A665" s="253" t="s">
        <v>5641</v>
      </c>
      <c r="B665" s="289"/>
      <c r="C665" s="76" t="s">
        <v>5497</v>
      </c>
      <c r="D665" s="2" t="s">
        <v>2669</v>
      </c>
      <c r="E665" s="2" t="s">
        <v>2670</v>
      </c>
      <c r="F665" s="2" t="s">
        <v>5642</v>
      </c>
      <c r="G665" s="2" t="s">
        <v>2671</v>
      </c>
      <c r="H665" s="2" t="s">
        <v>2672</v>
      </c>
      <c r="I665" s="2" t="s">
        <v>2673</v>
      </c>
      <c r="J665" s="2" t="s">
        <v>2674</v>
      </c>
      <c r="K665" s="2" t="s">
        <v>2675</v>
      </c>
      <c r="L665" s="6" t="s">
        <v>1367</v>
      </c>
      <c r="M665" s="21" t="s">
        <v>1368</v>
      </c>
      <c r="P665" s="21" t="s">
        <v>22</v>
      </c>
    </row>
    <row r="666" spans="1:42" ht="28.9">
      <c r="A666" s="253" t="s">
        <v>5643</v>
      </c>
      <c r="B666" s="289"/>
      <c r="C666" s="76" t="s">
        <v>5497</v>
      </c>
      <c r="D666" s="2" t="s">
        <v>5644</v>
      </c>
      <c r="E666" s="2" t="s">
        <v>2678</v>
      </c>
      <c r="F666" s="2" t="s">
        <v>2679</v>
      </c>
      <c r="G666" s="2" t="s">
        <v>5645</v>
      </c>
      <c r="H666" s="2" t="s">
        <v>2681</v>
      </c>
      <c r="I666" s="2" t="s">
        <v>2682</v>
      </c>
      <c r="J666" s="2" t="s">
        <v>2683</v>
      </c>
      <c r="K666" s="2" t="s">
        <v>2684</v>
      </c>
      <c r="L666" s="6" t="s">
        <v>1367</v>
      </c>
      <c r="M666" s="21" t="s">
        <v>1368</v>
      </c>
      <c r="P666" s="21" t="s">
        <v>1393</v>
      </c>
    </row>
    <row r="667" spans="1:42" ht="28.9">
      <c r="A667" s="253" t="s">
        <v>5646</v>
      </c>
      <c r="B667" s="289"/>
      <c r="C667" s="76" t="s">
        <v>5497</v>
      </c>
      <c r="D667" s="2" t="s">
        <v>5647</v>
      </c>
      <c r="E667" s="2" t="s">
        <v>2687</v>
      </c>
      <c r="F667" s="2" t="s">
        <v>2684</v>
      </c>
      <c r="G667" s="2" t="s">
        <v>5648</v>
      </c>
      <c r="H667" s="2" t="s">
        <v>5649</v>
      </c>
      <c r="I667" s="2" t="s">
        <v>2690</v>
      </c>
      <c r="J667" s="2" t="s">
        <v>2691</v>
      </c>
      <c r="K667" s="2" t="s">
        <v>2692</v>
      </c>
      <c r="L667" s="6" t="s">
        <v>1367</v>
      </c>
      <c r="M667" s="21" t="s">
        <v>1368</v>
      </c>
      <c r="P667" s="21" t="s">
        <v>22</v>
      </c>
    </row>
    <row r="668" spans="1:42" ht="43.15">
      <c r="A668" s="253" t="s">
        <v>5650</v>
      </c>
      <c r="B668" s="289"/>
      <c r="C668" s="76" t="s">
        <v>5497</v>
      </c>
      <c r="D668" s="2" t="s">
        <v>5651</v>
      </c>
      <c r="E668" s="2" t="s">
        <v>2695</v>
      </c>
      <c r="F668" s="2" t="s">
        <v>2696</v>
      </c>
      <c r="G668" s="2" t="s">
        <v>5652</v>
      </c>
      <c r="H668" s="2" t="s">
        <v>2698</v>
      </c>
      <c r="I668" s="2" t="s">
        <v>2630</v>
      </c>
      <c r="J668" s="2" t="s">
        <v>2699</v>
      </c>
      <c r="K668" s="2" t="s">
        <v>2630</v>
      </c>
      <c r="L668" s="6" t="s">
        <v>1367</v>
      </c>
      <c r="M668" s="21" t="s">
        <v>1368</v>
      </c>
      <c r="P668" s="21" t="s">
        <v>1371</v>
      </c>
    </row>
    <row r="669" spans="1:42" ht="86.45">
      <c r="A669" s="253" t="s">
        <v>5653</v>
      </c>
      <c r="B669" s="289"/>
      <c r="C669" s="76" t="s">
        <v>5497</v>
      </c>
      <c r="D669" s="2" t="s">
        <v>2701</v>
      </c>
      <c r="E669" s="2" t="s">
        <v>5654</v>
      </c>
      <c r="F669" s="2" t="s">
        <v>5642</v>
      </c>
      <c r="G669" s="2" t="s">
        <v>5655</v>
      </c>
      <c r="H669" s="2" t="s">
        <v>2704</v>
      </c>
      <c r="I669" s="2" t="s">
        <v>2705</v>
      </c>
      <c r="J669" s="2" t="s">
        <v>5656</v>
      </c>
      <c r="K669" s="2" t="s">
        <v>5657</v>
      </c>
      <c r="L669" s="6" t="s">
        <v>1381</v>
      </c>
      <c r="M669" s="21" t="s">
        <v>1368</v>
      </c>
      <c r="P669" s="21" t="s">
        <v>22</v>
      </c>
    </row>
    <row r="670" spans="1:42" ht="28.9">
      <c r="A670" s="253" t="s">
        <v>5658</v>
      </c>
      <c r="B670" s="289"/>
      <c r="C670" s="76" t="s">
        <v>5497</v>
      </c>
      <c r="D670" s="2" t="s">
        <v>5659</v>
      </c>
      <c r="E670" s="2" t="s">
        <v>5660</v>
      </c>
      <c r="F670" s="2" t="s">
        <v>5321</v>
      </c>
      <c r="G670" s="2" t="s">
        <v>5661</v>
      </c>
      <c r="H670" s="2" t="s">
        <v>5662</v>
      </c>
      <c r="I670" s="2" t="s">
        <v>5363</v>
      </c>
      <c r="J670" s="2" t="s">
        <v>5364</v>
      </c>
      <c r="K670" s="2" t="s">
        <v>2598</v>
      </c>
      <c r="L670" s="6" t="s">
        <v>1367</v>
      </c>
      <c r="M670" s="21" t="s">
        <v>1368</v>
      </c>
      <c r="P670" s="21" t="s">
        <v>22</v>
      </c>
    </row>
    <row r="671" spans="1:42" ht="57.6">
      <c r="A671" s="253" t="s">
        <v>5663</v>
      </c>
      <c r="B671" s="289"/>
      <c r="C671" s="76" t="s">
        <v>5497</v>
      </c>
      <c r="D671" s="2" t="s">
        <v>5664</v>
      </c>
      <c r="E671" s="2" t="s">
        <v>5665</v>
      </c>
      <c r="F671" s="2" t="s">
        <v>5321</v>
      </c>
      <c r="G671" s="2" t="s">
        <v>5666</v>
      </c>
      <c r="H671" s="2" t="s">
        <v>5667</v>
      </c>
      <c r="I671" s="2" t="s">
        <v>5381</v>
      </c>
      <c r="J671" s="2" t="s">
        <v>5382</v>
      </c>
      <c r="K671" s="2" t="s">
        <v>5383</v>
      </c>
      <c r="L671" s="6" t="s">
        <v>1381</v>
      </c>
      <c r="M671" s="21" t="s">
        <v>1368</v>
      </c>
      <c r="P671" s="21" t="s">
        <v>1371</v>
      </c>
    </row>
    <row r="672" spans="1:42" ht="43.15">
      <c r="A672" s="253" t="s">
        <v>5668</v>
      </c>
      <c r="B672" s="289"/>
      <c r="C672" s="76" t="s">
        <v>5497</v>
      </c>
      <c r="D672" s="2" t="s">
        <v>5669</v>
      </c>
      <c r="E672" s="2" t="s">
        <v>5670</v>
      </c>
      <c r="F672" s="2" t="s">
        <v>5321</v>
      </c>
      <c r="G672" s="2" t="s">
        <v>5671</v>
      </c>
      <c r="H672" s="2" t="s">
        <v>5672</v>
      </c>
      <c r="I672" s="2" t="s">
        <v>5389</v>
      </c>
      <c r="J672" s="2" t="s">
        <v>5364</v>
      </c>
      <c r="K672" s="2" t="s">
        <v>5390</v>
      </c>
      <c r="L672" s="6" t="s">
        <v>1367</v>
      </c>
      <c r="M672" s="21" t="s">
        <v>1368</v>
      </c>
      <c r="P672" s="189" t="s">
        <v>22</v>
      </c>
    </row>
    <row r="673" spans="1:20" ht="86.45">
      <c r="A673" s="253" t="s">
        <v>5673</v>
      </c>
      <c r="B673" s="289"/>
      <c r="C673" s="76" t="s">
        <v>5497</v>
      </c>
      <c r="D673" s="2" t="s">
        <v>5674</v>
      </c>
      <c r="E673" s="2" t="s">
        <v>5675</v>
      </c>
      <c r="F673" s="2" t="s">
        <v>5321</v>
      </c>
      <c r="G673" s="2" t="s">
        <v>5394</v>
      </c>
      <c r="H673" s="2" t="s">
        <v>5676</v>
      </c>
      <c r="I673" s="2" t="s">
        <v>5677</v>
      </c>
      <c r="J673" s="2" t="s">
        <v>5397</v>
      </c>
      <c r="K673" s="2" t="s">
        <v>5398</v>
      </c>
      <c r="L673" s="6" t="s">
        <v>1381</v>
      </c>
      <c r="M673" s="21" t="s">
        <v>1368</v>
      </c>
      <c r="P673" s="189" t="s">
        <v>1371</v>
      </c>
    </row>
    <row r="674" spans="1:20" ht="43.15">
      <c r="A674" s="253" t="s">
        <v>5678</v>
      </c>
      <c r="B674" s="289"/>
      <c r="C674" s="76" t="s">
        <v>5497</v>
      </c>
      <c r="D674" s="2" t="s">
        <v>5679</v>
      </c>
      <c r="E674" s="2" t="s">
        <v>5680</v>
      </c>
      <c r="F674" s="2" t="s">
        <v>5321</v>
      </c>
      <c r="G674" s="2" t="s">
        <v>5681</v>
      </c>
      <c r="H674" s="2" t="s">
        <v>5682</v>
      </c>
      <c r="I674" s="2" t="s">
        <v>5404</v>
      </c>
      <c r="J674" s="2" t="s">
        <v>5364</v>
      </c>
      <c r="K674" s="2" t="s">
        <v>5405</v>
      </c>
      <c r="L674" s="6" t="s">
        <v>1367</v>
      </c>
      <c r="M674" s="21" t="s">
        <v>1368</v>
      </c>
      <c r="P674" s="189" t="s">
        <v>22</v>
      </c>
    </row>
    <row r="675" spans="1:20" ht="43.15">
      <c r="A675" s="253" t="s">
        <v>5683</v>
      </c>
      <c r="B675" s="289"/>
      <c r="C675" s="76" t="s">
        <v>5497</v>
      </c>
      <c r="D675" s="2" t="s">
        <v>5684</v>
      </c>
      <c r="E675" s="2" t="s">
        <v>5685</v>
      </c>
      <c r="F675" s="2" t="s">
        <v>5321</v>
      </c>
      <c r="G675" s="2" t="s">
        <v>5409</v>
      </c>
      <c r="H675" s="3" t="s">
        <v>5410</v>
      </c>
      <c r="I675" s="2" t="s">
        <v>5411</v>
      </c>
      <c r="J675" s="2" t="s">
        <v>5364</v>
      </c>
      <c r="K675" s="2" t="s">
        <v>5412</v>
      </c>
      <c r="L675" s="6" t="s">
        <v>1381</v>
      </c>
      <c r="M675" s="21" t="s">
        <v>1368</v>
      </c>
      <c r="P675" s="21" t="s">
        <v>1371</v>
      </c>
    </row>
    <row r="676" spans="1:20" ht="28.9">
      <c r="A676" s="253" t="s">
        <v>5686</v>
      </c>
      <c r="B676" s="289"/>
      <c r="C676" s="76" t="s">
        <v>5497</v>
      </c>
      <c r="D676" s="2" t="s">
        <v>5687</v>
      </c>
      <c r="E676" s="2" t="s">
        <v>2710</v>
      </c>
      <c r="F676" s="2" t="s">
        <v>5642</v>
      </c>
      <c r="G676" s="2" t="s">
        <v>2712</v>
      </c>
      <c r="H676" s="2" t="s">
        <v>2713</v>
      </c>
      <c r="I676" s="2" t="s">
        <v>2714</v>
      </c>
      <c r="J676" s="2" t="s">
        <v>2715</v>
      </c>
      <c r="K676" s="2" t="s">
        <v>2716</v>
      </c>
      <c r="L676" s="6" t="s">
        <v>1367</v>
      </c>
      <c r="M676" s="21" t="s">
        <v>1368</v>
      </c>
      <c r="P676" s="21" t="s">
        <v>1371</v>
      </c>
    </row>
    <row r="677" spans="1:20" ht="28.9">
      <c r="A677" s="253" t="s">
        <v>5688</v>
      </c>
      <c r="B677" s="289"/>
      <c r="C677" s="76" t="s">
        <v>5497</v>
      </c>
      <c r="D677" s="2" t="s">
        <v>2718</v>
      </c>
      <c r="E677" s="2" t="s">
        <v>2719</v>
      </c>
      <c r="F677" s="2" t="s">
        <v>2720</v>
      </c>
      <c r="G677" s="2" t="s">
        <v>5689</v>
      </c>
      <c r="H677" s="2" t="s">
        <v>5690</v>
      </c>
      <c r="I677" s="2" t="s">
        <v>2723</v>
      </c>
      <c r="J677" s="2" t="s">
        <v>2724</v>
      </c>
      <c r="K677" s="2" t="s">
        <v>2723</v>
      </c>
      <c r="L677" s="6" t="s">
        <v>1367</v>
      </c>
      <c r="M677" s="21" t="s">
        <v>1368</v>
      </c>
      <c r="P677" s="21" t="s">
        <v>22</v>
      </c>
    </row>
    <row r="678" spans="1:20" ht="28.9">
      <c r="A678" s="253" t="s">
        <v>5691</v>
      </c>
      <c r="B678" s="289"/>
      <c r="C678" s="76" t="s">
        <v>5497</v>
      </c>
      <c r="D678" s="2" t="s">
        <v>5692</v>
      </c>
      <c r="E678" s="2" t="s">
        <v>2727</v>
      </c>
      <c r="F678" s="2" t="s">
        <v>2728</v>
      </c>
      <c r="G678" s="2" t="s">
        <v>2729</v>
      </c>
      <c r="H678" s="2" t="s">
        <v>5690</v>
      </c>
      <c r="I678" s="2" t="s">
        <v>5693</v>
      </c>
      <c r="J678" s="2" t="s">
        <v>2731</v>
      </c>
      <c r="K678" s="2" t="s">
        <v>2732</v>
      </c>
      <c r="L678" s="6" t="s">
        <v>1367</v>
      </c>
      <c r="M678" s="21" t="s">
        <v>1368</v>
      </c>
      <c r="P678" s="21" t="s">
        <v>1393</v>
      </c>
    </row>
    <row r="679" spans="1:20" ht="28.9">
      <c r="A679" s="253" t="s">
        <v>5694</v>
      </c>
      <c r="B679" s="289"/>
      <c r="C679" s="76" t="s">
        <v>5497</v>
      </c>
      <c r="D679" s="2" t="s">
        <v>5695</v>
      </c>
      <c r="E679" s="2" t="s">
        <v>2735</v>
      </c>
      <c r="F679" s="2" t="s">
        <v>2732</v>
      </c>
      <c r="G679" s="2" t="s">
        <v>5696</v>
      </c>
      <c r="H679" s="2" t="s">
        <v>5697</v>
      </c>
      <c r="I679" s="2" t="s">
        <v>2738</v>
      </c>
      <c r="J679" s="2" t="s">
        <v>2739</v>
      </c>
      <c r="K679" s="2" t="s">
        <v>2740</v>
      </c>
      <c r="L679" s="6" t="s">
        <v>1367</v>
      </c>
      <c r="M679" s="21" t="s">
        <v>1368</v>
      </c>
      <c r="P679" s="21" t="s">
        <v>22</v>
      </c>
    </row>
    <row r="680" spans="1:20" ht="28.9">
      <c r="A680" s="253" t="s">
        <v>5698</v>
      </c>
      <c r="B680" s="289"/>
      <c r="C680" s="76" t="s">
        <v>5497</v>
      </c>
      <c r="D680" s="2" t="s">
        <v>5699</v>
      </c>
      <c r="E680" s="2" t="s">
        <v>2743</v>
      </c>
      <c r="F680" s="2" t="s">
        <v>2732</v>
      </c>
      <c r="G680" s="2" t="s">
        <v>5700</v>
      </c>
      <c r="H680" s="2" t="s">
        <v>5690</v>
      </c>
      <c r="I680" s="2" t="s">
        <v>2630</v>
      </c>
      <c r="J680" s="2" t="s">
        <v>2745</v>
      </c>
      <c r="K680" s="2" t="s">
        <v>2630</v>
      </c>
      <c r="L680" s="6" t="s">
        <v>1367</v>
      </c>
      <c r="M680" s="21" t="s">
        <v>1368</v>
      </c>
      <c r="P680" s="21" t="s">
        <v>1371</v>
      </c>
    </row>
    <row r="681" spans="1:20" ht="43.15">
      <c r="A681" s="253" t="s">
        <v>5701</v>
      </c>
      <c r="B681" s="289"/>
      <c r="C681" s="76" t="s">
        <v>5497</v>
      </c>
      <c r="D681" s="2" t="s">
        <v>5702</v>
      </c>
      <c r="E681" s="2" t="s">
        <v>2748</v>
      </c>
      <c r="F681" s="2" t="s">
        <v>5642</v>
      </c>
      <c r="G681" s="2" t="s">
        <v>5703</v>
      </c>
      <c r="H681" s="2" t="s">
        <v>5704</v>
      </c>
      <c r="I681" s="2" t="s">
        <v>5705</v>
      </c>
      <c r="J681" s="2" t="s">
        <v>2752</v>
      </c>
      <c r="K681" s="2" t="s">
        <v>5706</v>
      </c>
      <c r="L681" s="6" t="s">
        <v>1367</v>
      </c>
      <c r="M681" s="21" t="s">
        <v>1368</v>
      </c>
      <c r="P681" s="21" t="s">
        <v>22</v>
      </c>
    </row>
    <row r="682" spans="1:20" ht="43.15">
      <c r="A682" s="253" t="s">
        <v>5707</v>
      </c>
      <c r="B682" s="289"/>
      <c r="C682" s="76" t="s">
        <v>5497</v>
      </c>
      <c r="D682" s="2" t="s">
        <v>5708</v>
      </c>
      <c r="E682" s="2" t="s">
        <v>2756</v>
      </c>
      <c r="F682" s="2" t="s">
        <v>5709</v>
      </c>
      <c r="G682" s="2" t="s">
        <v>2758</v>
      </c>
      <c r="H682" s="2" t="s">
        <v>5690</v>
      </c>
      <c r="I682" s="2" t="s">
        <v>2759</v>
      </c>
      <c r="J682" s="2" t="s">
        <v>2760</v>
      </c>
      <c r="K682" s="2" t="s">
        <v>2761</v>
      </c>
      <c r="L682" s="6" t="s">
        <v>1367</v>
      </c>
      <c r="M682" s="21" t="s">
        <v>1368</v>
      </c>
      <c r="P682" s="21" t="s">
        <v>22</v>
      </c>
    </row>
    <row r="683" spans="1:20" ht="43.15">
      <c r="A683" s="253" t="s">
        <v>5710</v>
      </c>
      <c r="B683" s="289"/>
      <c r="C683" s="76" t="s">
        <v>5497</v>
      </c>
      <c r="D683" s="2" t="s">
        <v>5711</v>
      </c>
      <c r="E683" s="2" t="s">
        <v>5712</v>
      </c>
      <c r="F683" s="2" t="s">
        <v>5642</v>
      </c>
      <c r="G683" s="2" t="s">
        <v>5713</v>
      </c>
      <c r="H683" s="2" t="s">
        <v>5704</v>
      </c>
      <c r="I683" s="2" t="s">
        <v>5714</v>
      </c>
      <c r="J683" s="2" t="s">
        <v>2767</v>
      </c>
      <c r="K683" s="2" t="s">
        <v>5693</v>
      </c>
      <c r="L683" s="6" t="s">
        <v>1367</v>
      </c>
      <c r="M683" s="21" t="s">
        <v>1368</v>
      </c>
      <c r="P683" s="21" t="s">
        <v>1393</v>
      </c>
    </row>
    <row r="684" spans="1:20" ht="43.15">
      <c r="A684" s="253" t="s">
        <v>5715</v>
      </c>
      <c r="B684" s="289"/>
      <c r="C684" s="76" t="s">
        <v>5497</v>
      </c>
      <c r="D684" s="2" t="s">
        <v>5716</v>
      </c>
      <c r="E684" s="2" t="s">
        <v>2771</v>
      </c>
      <c r="F684" s="2" t="s">
        <v>5717</v>
      </c>
      <c r="G684" s="2" t="s">
        <v>2773</v>
      </c>
      <c r="H684" s="2" t="s">
        <v>2774</v>
      </c>
      <c r="I684" s="2" t="s">
        <v>5718</v>
      </c>
      <c r="J684" s="2" t="s">
        <v>2776</v>
      </c>
      <c r="K684" s="2" t="s">
        <v>2777</v>
      </c>
      <c r="L684" s="6" t="s">
        <v>1367</v>
      </c>
      <c r="M684" s="21" t="s">
        <v>1368</v>
      </c>
      <c r="P684" s="21" t="s">
        <v>1371</v>
      </c>
    </row>
    <row r="685" spans="1:20" ht="43.15">
      <c r="A685" s="253" t="s">
        <v>5719</v>
      </c>
      <c r="B685" s="289"/>
      <c r="C685" s="76" t="s">
        <v>5497</v>
      </c>
      <c r="D685" s="2" t="s">
        <v>5720</v>
      </c>
      <c r="E685" s="2" t="s">
        <v>2780</v>
      </c>
      <c r="F685" s="2" t="s">
        <v>5721</v>
      </c>
      <c r="G685" s="2" t="s">
        <v>5722</v>
      </c>
      <c r="H685" s="2" t="s">
        <v>1442</v>
      </c>
      <c r="I685" s="2" t="s">
        <v>2783</v>
      </c>
      <c r="J685" s="2" t="s">
        <v>2784</v>
      </c>
      <c r="K685" s="2" t="s">
        <v>2785</v>
      </c>
      <c r="L685" s="6" t="s">
        <v>1367</v>
      </c>
      <c r="M685" s="21" t="s">
        <v>1368</v>
      </c>
      <c r="P685" s="21" t="s">
        <v>1371</v>
      </c>
    </row>
    <row r="686" spans="1:20" ht="28.9">
      <c r="A686" s="253" t="s">
        <v>5723</v>
      </c>
      <c r="B686" s="289"/>
      <c r="C686" s="76" t="s">
        <v>5497</v>
      </c>
      <c r="D686" s="2" t="s">
        <v>2787</v>
      </c>
      <c r="E686" s="2" t="s">
        <v>5724</v>
      </c>
      <c r="F686" s="2" t="s">
        <v>5725</v>
      </c>
      <c r="G686" s="2" t="s">
        <v>5726</v>
      </c>
      <c r="H686" s="2" t="s">
        <v>1442</v>
      </c>
      <c r="I686" s="2" t="s">
        <v>2791</v>
      </c>
      <c r="J686" s="2" t="s">
        <v>2792</v>
      </c>
      <c r="K686" s="2" t="s">
        <v>2793</v>
      </c>
      <c r="L686" s="6" t="s">
        <v>1367</v>
      </c>
      <c r="M686" s="21" t="s">
        <v>1368</v>
      </c>
      <c r="P686" s="21" t="s">
        <v>1481</v>
      </c>
    </row>
    <row r="687" spans="1:20" ht="28.9">
      <c r="A687" s="253" t="s">
        <v>5727</v>
      </c>
      <c r="B687" s="289"/>
      <c r="C687" s="76" t="s">
        <v>5497</v>
      </c>
      <c r="D687" s="2" t="s">
        <v>5728</v>
      </c>
      <c r="E687" s="2" t="s">
        <v>5729</v>
      </c>
      <c r="F687" s="2" t="s">
        <v>5730</v>
      </c>
      <c r="G687" s="2" t="s">
        <v>5731</v>
      </c>
      <c r="H687" s="2" t="s">
        <v>5732</v>
      </c>
      <c r="I687" s="2" t="s">
        <v>5733</v>
      </c>
      <c r="J687" s="2" t="s">
        <v>5734</v>
      </c>
      <c r="K687" s="2" t="s">
        <v>5733</v>
      </c>
      <c r="L687" s="6" t="s">
        <v>1367</v>
      </c>
      <c r="M687" s="21" t="s">
        <v>1368</v>
      </c>
      <c r="T687" t="s">
        <v>5735</v>
      </c>
    </row>
    <row r="688" spans="1:20" ht="43.15">
      <c r="A688" s="253" t="s">
        <v>5736</v>
      </c>
      <c r="B688" s="289"/>
      <c r="C688" s="76" t="s">
        <v>5497</v>
      </c>
      <c r="D688" s="2" t="s">
        <v>5737</v>
      </c>
      <c r="E688" s="2" t="s">
        <v>5738</v>
      </c>
      <c r="F688" s="2" t="s">
        <v>5739</v>
      </c>
      <c r="G688" s="2" t="s">
        <v>5740</v>
      </c>
      <c r="H688" s="2" t="s">
        <v>1796</v>
      </c>
      <c r="I688" s="2" t="s">
        <v>1843</v>
      </c>
      <c r="J688" s="2" t="s">
        <v>5741</v>
      </c>
      <c r="K688" s="2" t="s">
        <v>2630</v>
      </c>
      <c r="L688" s="6" t="s">
        <v>1367</v>
      </c>
      <c r="M688" s="21" t="s">
        <v>1368</v>
      </c>
      <c r="T688" t="s">
        <v>5735</v>
      </c>
    </row>
    <row r="689" spans="1:33" ht="43.15">
      <c r="A689" s="253" t="s">
        <v>5742</v>
      </c>
      <c r="B689" s="289"/>
      <c r="C689" s="76" t="s">
        <v>5497</v>
      </c>
      <c r="D689" s="2" t="s">
        <v>5743</v>
      </c>
      <c r="E689" s="2" t="s">
        <v>5744</v>
      </c>
      <c r="F689" s="2" t="s">
        <v>5745</v>
      </c>
      <c r="G689" s="2" t="s">
        <v>5746</v>
      </c>
      <c r="H689" s="2" t="s">
        <v>5747</v>
      </c>
      <c r="I689" s="2" t="s">
        <v>5748</v>
      </c>
      <c r="J689" s="2" t="s">
        <v>5749</v>
      </c>
      <c r="K689" s="2" t="s">
        <v>2682</v>
      </c>
      <c r="L689" s="6" t="s">
        <v>1367</v>
      </c>
      <c r="M689" s="21" t="s">
        <v>1368</v>
      </c>
      <c r="T689" t="s">
        <v>5735</v>
      </c>
    </row>
    <row r="690" spans="1:33">
      <c r="A690" s="253" t="s">
        <v>5750</v>
      </c>
      <c r="B690" s="289"/>
      <c r="C690" s="76" t="s">
        <v>5497</v>
      </c>
      <c r="D690" s="2" t="s">
        <v>5751</v>
      </c>
      <c r="E690" s="2" t="s">
        <v>5752</v>
      </c>
      <c r="F690" s="2" t="s">
        <v>5753</v>
      </c>
      <c r="G690" s="2" t="s">
        <v>5754</v>
      </c>
      <c r="H690" s="2" t="s">
        <v>1442</v>
      </c>
      <c r="I690" s="2" t="s">
        <v>5755</v>
      </c>
      <c r="J690" s="2" t="s">
        <v>5756</v>
      </c>
      <c r="K690" s="2" t="s">
        <v>5757</v>
      </c>
      <c r="L690" s="6" t="s">
        <v>1367</v>
      </c>
      <c r="M690" s="21" t="s">
        <v>1368</v>
      </c>
      <c r="T690" t="s">
        <v>5735</v>
      </c>
    </row>
    <row r="691" spans="1:33" ht="28.9">
      <c r="A691" s="253" t="s">
        <v>5758</v>
      </c>
      <c r="B691" s="289"/>
      <c r="C691" s="76" t="s">
        <v>5497</v>
      </c>
      <c r="D691" s="2" t="s">
        <v>5759</v>
      </c>
      <c r="E691" s="2" t="s">
        <v>5760</v>
      </c>
      <c r="F691" s="2" t="s">
        <v>5745</v>
      </c>
      <c r="G691" s="2" t="s">
        <v>5761</v>
      </c>
      <c r="H691" s="2" t="s">
        <v>1442</v>
      </c>
      <c r="I691" s="2" t="s">
        <v>5762</v>
      </c>
      <c r="J691" s="2" t="s">
        <v>5763</v>
      </c>
      <c r="K691" s="2" t="s">
        <v>5764</v>
      </c>
      <c r="L691" s="6" t="s">
        <v>1367</v>
      </c>
      <c r="M691" s="21" t="s">
        <v>1368</v>
      </c>
      <c r="T691" t="s">
        <v>5735</v>
      </c>
    </row>
    <row r="692" spans="1:33" ht="28.9">
      <c r="A692" s="253" t="s">
        <v>5765</v>
      </c>
      <c r="B692" s="289"/>
      <c r="C692" s="76" t="s">
        <v>5497</v>
      </c>
      <c r="D692" s="2" t="s">
        <v>5766</v>
      </c>
      <c r="E692" s="2" t="s">
        <v>5767</v>
      </c>
      <c r="F692" s="2" t="s">
        <v>5768</v>
      </c>
      <c r="G692" s="2" t="s">
        <v>5769</v>
      </c>
      <c r="H692" s="2" t="s">
        <v>1442</v>
      </c>
      <c r="I692" s="2" t="s">
        <v>5770</v>
      </c>
      <c r="J692" s="2" t="s">
        <v>5771</v>
      </c>
      <c r="K692" s="2" t="s">
        <v>5772</v>
      </c>
      <c r="L692" s="6" t="s">
        <v>1367</v>
      </c>
      <c r="M692" s="21" t="s">
        <v>1368</v>
      </c>
      <c r="T692" t="s">
        <v>5735</v>
      </c>
    </row>
    <row r="693" spans="1:33" ht="43.15">
      <c r="A693" s="253" t="s">
        <v>5773</v>
      </c>
      <c r="B693" s="289"/>
      <c r="C693" s="76" t="s">
        <v>5497</v>
      </c>
      <c r="D693" s="2" t="s">
        <v>5774</v>
      </c>
      <c r="E693" s="2" t="s">
        <v>5775</v>
      </c>
      <c r="F693" s="2" t="s">
        <v>5776</v>
      </c>
      <c r="G693" s="2" t="s">
        <v>5777</v>
      </c>
      <c r="H693" s="2" t="s">
        <v>1442</v>
      </c>
      <c r="I693" s="2" t="s">
        <v>5778</v>
      </c>
      <c r="J693" s="2" t="s">
        <v>5779</v>
      </c>
      <c r="K693" s="2" t="s">
        <v>5780</v>
      </c>
      <c r="L693" s="6" t="s">
        <v>1367</v>
      </c>
      <c r="M693" s="21" t="s">
        <v>1368</v>
      </c>
      <c r="T693" t="s">
        <v>5735</v>
      </c>
    </row>
    <row r="694" spans="1:33" ht="57.6">
      <c r="A694" s="253" t="s">
        <v>5781</v>
      </c>
      <c r="B694" s="289"/>
      <c r="C694" s="76" t="s">
        <v>5497</v>
      </c>
      <c r="D694" s="2" t="s">
        <v>5782</v>
      </c>
      <c r="E694" s="2" t="s">
        <v>5783</v>
      </c>
      <c r="F694" s="2" t="s">
        <v>5784</v>
      </c>
      <c r="G694" s="2" t="s">
        <v>5785</v>
      </c>
      <c r="H694" s="2" t="s">
        <v>1442</v>
      </c>
      <c r="I694" s="2" t="s">
        <v>5786</v>
      </c>
      <c r="J694" s="2" t="s">
        <v>5787</v>
      </c>
      <c r="K694" s="2" t="s">
        <v>5788</v>
      </c>
      <c r="L694" s="6" t="s">
        <v>1367</v>
      </c>
      <c r="M694" s="21" t="s">
        <v>1368</v>
      </c>
      <c r="T694" t="s">
        <v>5735</v>
      </c>
      <c r="AG694" s="78"/>
    </row>
    <row r="695" spans="1:33" s="45" customFormat="1">
      <c r="A695" s="247"/>
      <c r="B695" s="289"/>
      <c r="C695" s="79"/>
      <c r="D695" s="44"/>
      <c r="E695" s="44"/>
      <c r="F695" s="44"/>
      <c r="G695" s="44"/>
      <c r="H695" s="44"/>
      <c r="I695" s="44"/>
      <c r="J695" s="44"/>
      <c r="K695" s="44"/>
      <c r="L695" s="81"/>
      <c r="M695" s="78"/>
      <c r="P695" s="78"/>
      <c r="Q695" s="78"/>
      <c r="R695" s="303"/>
      <c r="W695" s="81"/>
      <c r="X695" s="81"/>
      <c r="AG695" s="21"/>
    </row>
    <row r="696" spans="1:33" ht="28.9">
      <c r="A696" s="253" t="s">
        <v>5789</v>
      </c>
      <c r="B696" s="289"/>
      <c r="C696" s="21" t="s">
        <v>5790</v>
      </c>
      <c r="D696" s="2" t="s">
        <v>5791</v>
      </c>
      <c r="E696" s="2" t="s">
        <v>5792</v>
      </c>
      <c r="F696" s="2" t="s">
        <v>5500</v>
      </c>
      <c r="G696" s="2" t="s">
        <v>5793</v>
      </c>
      <c r="H696" s="2" t="s">
        <v>1442</v>
      </c>
      <c r="I696" s="2" t="s">
        <v>5794</v>
      </c>
      <c r="J696" s="2" t="s">
        <v>5795</v>
      </c>
      <c r="K696" s="2" t="s">
        <v>5796</v>
      </c>
      <c r="L696" s="6" t="s">
        <v>1367</v>
      </c>
      <c r="M696" s="21" t="s">
        <v>1368</v>
      </c>
      <c r="P696" s="21" t="s">
        <v>22</v>
      </c>
    </row>
    <row r="697" spans="1:33" ht="28.9">
      <c r="A697" s="253" t="s">
        <v>5797</v>
      </c>
      <c r="B697" s="289"/>
      <c r="C697" s="76" t="s">
        <v>5790</v>
      </c>
      <c r="D697" s="2" t="s">
        <v>5798</v>
      </c>
      <c r="E697" s="2" t="s">
        <v>5799</v>
      </c>
      <c r="F697" s="2" t="s">
        <v>5800</v>
      </c>
      <c r="G697" s="2" t="s">
        <v>5801</v>
      </c>
      <c r="H697" s="2" t="s">
        <v>1442</v>
      </c>
      <c r="I697" s="2" t="s">
        <v>5802</v>
      </c>
      <c r="J697" s="2" t="s">
        <v>5803</v>
      </c>
      <c r="K697" s="2" t="s">
        <v>5802</v>
      </c>
      <c r="L697" s="6" t="s">
        <v>1367</v>
      </c>
      <c r="M697" s="21" t="s">
        <v>1368</v>
      </c>
      <c r="P697" s="21" t="s">
        <v>22</v>
      </c>
    </row>
    <row r="698" spans="1:33" ht="28.9">
      <c r="A698" s="253" t="s">
        <v>5804</v>
      </c>
      <c r="B698" s="289"/>
      <c r="C698" s="21" t="s">
        <v>5790</v>
      </c>
      <c r="D698" s="2" t="s">
        <v>5805</v>
      </c>
      <c r="E698" s="2" t="s">
        <v>5806</v>
      </c>
      <c r="F698" s="2" t="s">
        <v>5807</v>
      </c>
      <c r="G698" s="2" t="s">
        <v>5808</v>
      </c>
      <c r="H698" s="2" t="s">
        <v>1442</v>
      </c>
      <c r="I698" s="2" t="s">
        <v>5809</v>
      </c>
      <c r="J698" s="2" t="s">
        <v>5810</v>
      </c>
      <c r="K698" s="2" t="s">
        <v>5809</v>
      </c>
      <c r="L698" s="6" t="s">
        <v>1367</v>
      </c>
      <c r="M698" s="21" t="s">
        <v>1368</v>
      </c>
      <c r="P698" s="21" t="s">
        <v>1371</v>
      </c>
    </row>
    <row r="699" spans="1:33" ht="28.9">
      <c r="A699" s="253" t="s">
        <v>5811</v>
      </c>
      <c r="B699" s="289"/>
      <c r="C699" s="76" t="s">
        <v>5790</v>
      </c>
      <c r="D699" s="2" t="s">
        <v>5812</v>
      </c>
      <c r="E699" s="2" t="s">
        <v>5813</v>
      </c>
      <c r="F699" s="2" t="s">
        <v>5814</v>
      </c>
      <c r="G699" s="2" t="s">
        <v>5815</v>
      </c>
      <c r="H699" s="2" t="s">
        <v>1442</v>
      </c>
      <c r="I699" s="2" t="s">
        <v>5816</v>
      </c>
      <c r="J699" s="2" t="s">
        <v>5817</v>
      </c>
      <c r="K699" s="2" t="s">
        <v>5816</v>
      </c>
      <c r="L699" s="6" t="s">
        <v>1367</v>
      </c>
      <c r="M699" s="21" t="s">
        <v>1368</v>
      </c>
      <c r="P699" s="21" t="s">
        <v>1371</v>
      </c>
    </row>
    <row r="700" spans="1:33" ht="28.9">
      <c r="A700" s="253" t="s">
        <v>5818</v>
      </c>
      <c r="B700" s="289"/>
      <c r="C700" s="21" t="s">
        <v>5790</v>
      </c>
      <c r="D700" s="2" t="s">
        <v>5819</v>
      </c>
      <c r="E700" s="2" t="s">
        <v>5820</v>
      </c>
      <c r="F700" s="2" t="s">
        <v>5821</v>
      </c>
      <c r="G700" s="2" t="s">
        <v>5822</v>
      </c>
      <c r="H700" s="2" t="s">
        <v>5823</v>
      </c>
      <c r="I700" s="2" t="s">
        <v>5824</v>
      </c>
      <c r="J700" s="2" t="s">
        <v>5825</v>
      </c>
      <c r="K700" s="2" t="s">
        <v>5826</v>
      </c>
      <c r="L700" s="6" t="s">
        <v>1367</v>
      </c>
      <c r="M700" s="21" t="s">
        <v>1368</v>
      </c>
      <c r="P700" s="21" t="s">
        <v>22</v>
      </c>
    </row>
    <row r="701" spans="1:33" ht="72">
      <c r="A701" s="253" t="s">
        <v>5827</v>
      </c>
      <c r="B701" s="289"/>
      <c r="C701" s="76" t="s">
        <v>5790</v>
      </c>
      <c r="D701" s="2" t="s">
        <v>5084</v>
      </c>
      <c r="E701" s="2" t="s">
        <v>5085</v>
      </c>
      <c r="F701" s="2" t="s">
        <v>5028</v>
      </c>
      <c r="G701" s="2" t="s">
        <v>5086</v>
      </c>
      <c r="H701" s="2" t="s">
        <v>5087</v>
      </c>
      <c r="I701" s="2" t="s">
        <v>5088</v>
      </c>
      <c r="J701" s="2" t="s">
        <v>5089</v>
      </c>
      <c r="K701" s="2" t="s">
        <v>5090</v>
      </c>
      <c r="L701" s="6" t="s">
        <v>1381</v>
      </c>
      <c r="M701" s="21" t="s">
        <v>1368</v>
      </c>
      <c r="P701" s="21" t="s">
        <v>1371</v>
      </c>
    </row>
    <row r="702" spans="1:33" ht="57.6">
      <c r="A702" s="253" t="s">
        <v>5828</v>
      </c>
      <c r="B702" s="289"/>
      <c r="C702" s="76" t="s">
        <v>5790</v>
      </c>
      <c r="D702" s="2" t="s">
        <v>5829</v>
      </c>
      <c r="E702" s="2" t="s">
        <v>5830</v>
      </c>
      <c r="F702" s="2" t="s">
        <v>5807</v>
      </c>
      <c r="G702" s="2" t="s">
        <v>5831</v>
      </c>
      <c r="H702" s="2" t="s">
        <v>5832</v>
      </c>
      <c r="I702" s="2" t="s">
        <v>5833</v>
      </c>
      <c r="J702" s="2" t="s">
        <v>5834</v>
      </c>
      <c r="K702" s="2" t="s">
        <v>5835</v>
      </c>
      <c r="L702" s="6" t="s">
        <v>1367</v>
      </c>
      <c r="M702" s="21" t="s">
        <v>1368</v>
      </c>
      <c r="P702" s="21" t="s">
        <v>22</v>
      </c>
    </row>
    <row r="703" spans="1:33" ht="28.9">
      <c r="A703" s="253" t="s">
        <v>5836</v>
      </c>
      <c r="B703" s="289"/>
      <c r="C703" s="21" t="s">
        <v>5790</v>
      </c>
      <c r="D703" s="2" t="s">
        <v>5837</v>
      </c>
      <c r="E703" s="2" t="s">
        <v>5838</v>
      </c>
      <c r="F703" s="2" t="s">
        <v>5839</v>
      </c>
      <c r="G703" s="2" t="s">
        <v>5840</v>
      </c>
      <c r="H703" s="2" t="s">
        <v>5832</v>
      </c>
      <c r="I703" s="2" t="s">
        <v>5841</v>
      </c>
      <c r="J703" s="2" t="s">
        <v>5842</v>
      </c>
      <c r="K703" s="2" t="s">
        <v>5843</v>
      </c>
      <c r="L703" s="6" t="s">
        <v>1367</v>
      </c>
      <c r="M703" s="21" t="s">
        <v>1368</v>
      </c>
      <c r="P703" s="21" t="s">
        <v>22</v>
      </c>
    </row>
    <row r="704" spans="1:33" ht="43.15">
      <c r="A704" s="253" t="s">
        <v>5844</v>
      </c>
      <c r="B704" s="289"/>
      <c r="C704" s="76" t="s">
        <v>5790</v>
      </c>
      <c r="D704" s="2" t="s">
        <v>5845</v>
      </c>
      <c r="E704" s="2" t="s">
        <v>5846</v>
      </c>
      <c r="F704" s="2" t="s">
        <v>5847</v>
      </c>
      <c r="G704" s="2" t="s">
        <v>5848</v>
      </c>
      <c r="H704" s="2" t="s">
        <v>5832</v>
      </c>
      <c r="I704" s="2" t="s">
        <v>5849</v>
      </c>
      <c r="J704" s="2" t="s">
        <v>1843</v>
      </c>
      <c r="K704" s="2" t="s">
        <v>2630</v>
      </c>
      <c r="L704" s="6" t="s">
        <v>1367</v>
      </c>
      <c r="M704" s="21" t="s">
        <v>1368</v>
      </c>
      <c r="P704" s="21" t="s">
        <v>1371</v>
      </c>
    </row>
    <row r="705" spans="1:16" ht="57.6">
      <c r="A705" s="253" t="s">
        <v>5850</v>
      </c>
      <c r="B705" s="289"/>
      <c r="C705" s="21" t="s">
        <v>5790</v>
      </c>
      <c r="D705" s="2" t="s">
        <v>5851</v>
      </c>
      <c r="E705" s="2" t="s">
        <v>5852</v>
      </c>
      <c r="F705" s="2" t="s">
        <v>5853</v>
      </c>
      <c r="G705" s="2" t="s">
        <v>5854</v>
      </c>
      <c r="H705" s="2" t="s">
        <v>5855</v>
      </c>
      <c r="I705" s="2" t="s">
        <v>5856</v>
      </c>
      <c r="J705" s="2" t="s">
        <v>5857</v>
      </c>
      <c r="K705" s="2" t="s">
        <v>5858</v>
      </c>
      <c r="L705" s="6" t="s">
        <v>1367</v>
      </c>
      <c r="M705" s="21" t="s">
        <v>1368</v>
      </c>
      <c r="P705" s="21" t="s">
        <v>22</v>
      </c>
    </row>
    <row r="706" spans="1:16" ht="57.6">
      <c r="A706" s="253" t="s">
        <v>5859</v>
      </c>
      <c r="B706" s="289"/>
      <c r="C706" s="76" t="s">
        <v>5790</v>
      </c>
      <c r="D706" s="2" t="s">
        <v>5860</v>
      </c>
      <c r="E706" s="2" t="s">
        <v>5861</v>
      </c>
      <c r="F706" s="2" t="s">
        <v>5807</v>
      </c>
      <c r="G706" s="2" t="s">
        <v>5862</v>
      </c>
      <c r="H706" s="2" t="s">
        <v>5863</v>
      </c>
      <c r="I706" s="2" t="s">
        <v>5864</v>
      </c>
      <c r="J706" s="2" t="s">
        <v>5865</v>
      </c>
      <c r="K706" s="2" t="s">
        <v>5866</v>
      </c>
      <c r="L706" s="6" t="s">
        <v>1381</v>
      </c>
      <c r="M706" s="21" t="s">
        <v>1368</v>
      </c>
      <c r="P706" s="21" t="s">
        <v>22</v>
      </c>
    </row>
    <row r="707" spans="1:16" ht="43.15">
      <c r="A707" s="253" t="s">
        <v>5867</v>
      </c>
      <c r="B707" s="289"/>
      <c r="C707" s="21" t="s">
        <v>5790</v>
      </c>
      <c r="D707" s="2" t="s">
        <v>5868</v>
      </c>
      <c r="E707" s="2" t="s">
        <v>5869</v>
      </c>
      <c r="F707" s="2" t="s">
        <v>5870</v>
      </c>
      <c r="G707" s="2" t="s">
        <v>5871</v>
      </c>
      <c r="H707" s="2" t="s">
        <v>5832</v>
      </c>
      <c r="I707" s="2" t="s">
        <v>5872</v>
      </c>
      <c r="J707" s="2" t="s">
        <v>5873</v>
      </c>
      <c r="K707" s="2" t="s">
        <v>5874</v>
      </c>
      <c r="L707" s="6" t="s">
        <v>1367</v>
      </c>
      <c r="M707" s="21" t="s">
        <v>1368</v>
      </c>
      <c r="P707" s="21" t="s">
        <v>22</v>
      </c>
    </row>
    <row r="708" spans="1:16" ht="43.15">
      <c r="A708" s="253" t="s">
        <v>5875</v>
      </c>
      <c r="B708" s="289"/>
      <c r="C708" s="76" t="s">
        <v>5790</v>
      </c>
      <c r="D708" s="2" t="s">
        <v>5876</v>
      </c>
      <c r="E708" s="2" t="s">
        <v>5877</v>
      </c>
      <c r="F708" s="2" t="s">
        <v>5878</v>
      </c>
      <c r="G708" s="2" t="s">
        <v>5879</v>
      </c>
      <c r="H708" s="2" t="s">
        <v>5832</v>
      </c>
      <c r="I708" s="2" t="s">
        <v>5880</v>
      </c>
      <c r="J708" s="2" t="s">
        <v>5881</v>
      </c>
      <c r="K708" s="2" t="s">
        <v>5881</v>
      </c>
      <c r="L708" s="6" t="s">
        <v>1367</v>
      </c>
      <c r="M708" s="21" t="s">
        <v>1368</v>
      </c>
      <c r="P708" s="21" t="s">
        <v>1371</v>
      </c>
    </row>
    <row r="709" spans="1:16" ht="43.15">
      <c r="A709" s="253" t="s">
        <v>5882</v>
      </c>
      <c r="B709" s="289"/>
      <c r="C709" s="21" t="s">
        <v>5790</v>
      </c>
      <c r="D709" s="2" t="s">
        <v>5883</v>
      </c>
      <c r="E709" s="2" t="s">
        <v>5884</v>
      </c>
      <c r="F709" s="2" t="s">
        <v>5843</v>
      </c>
      <c r="G709" s="2" t="s">
        <v>5885</v>
      </c>
      <c r="H709" s="2" t="s">
        <v>5832</v>
      </c>
      <c r="I709" s="2" t="s">
        <v>5886</v>
      </c>
      <c r="J709" s="2" t="s">
        <v>5887</v>
      </c>
      <c r="K709" s="2" t="s">
        <v>5887</v>
      </c>
      <c r="L709" s="6" t="s">
        <v>1367</v>
      </c>
      <c r="M709" s="21" t="s">
        <v>1368</v>
      </c>
      <c r="P709" s="21" t="s">
        <v>1371</v>
      </c>
    </row>
    <row r="710" spans="1:16" ht="43.15">
      <c r="A710" s="253" t="s">
        <v>5888</v>
      </c>
      <c r="B710" s="289"/>
      <c r="C710" s="76" t="s">
        <v>5790</v>
      </c>
      <c r="D710" s="2" t="s">
        <v>5889</v>
      </c>
      <c r="E710" s="2" t="s">
        <v>5890</v>
      </c>
      <c r="F710" s="2" t="s">
        <v>5891</v>
      </c>
      <c r="G710" s="2" t="s">
        <v>5892</v>
      </c>
      <c r="H710" s="2" t="s">
        <v>5832</v>
      </c>
      <c r="I710" s="2" t="s">
        <v>5893</v>
      </c>
      <c r="J710" s="2" t="s">
        <v>5894</v>
      </c>
      <c r="K710" s="2" t="s">
        <v>5878</v>
      </c>
      <c r="L710" s="6" t="s">
        <v>1367</v>
      </c>
      <c r="M710" s="21" t="s">
        <v>1368</v>
      </c>
      <c r="P710" s="21" t="s">
        <v>1371</v>
      </c>
    </row>
    <row r="711" spans="1:16" ht="57.6">
      <c r="A711" s="253" t="s">
        <v>5895</v>
      </c>
      <c r="B711" s="289"/>
      <c r="C711" s="21" t="s">
        <v>5790</v>
      </c>
      <c r="D711" s="2" t="s">
        <v>5896</v>
      </c>
      <c r="E711" s="2" t="s">
        <v>5897</v>
      </c>
      <c r="F711" s="2" t="s">
        <v>5843</v>
      </c>
      <c r="G711" s="2" t="s">
        <v>5898</v>
      </c>
      <c r="H711" s="2" t="s">
        <v>5832</v>
      </c>
      <c r="I711" s="2" t="s">
        <v>5899</v>
      </c>
      <c r="J711" s="2" t="s">
        <v>5900</v>
      </c>
      <c r="K711" s="2" t="s">
        <v>5901</v>
      </c>
      <c r="L711" s="6" t="s">
        <v>1367</v>
      </c>
      <c r="M711" s="21" t="s">
        <v>1368</v>
      </c>
      <c r="P711" s="21" t="s">
        <v>22</v>
      </c>
    </row>
    <row r="712" spans="1:16" ht="28.9">
      <c r="A712" s="253" t="s">
        <v>5902</v>
      </c>
      <c r="B712" s="289"/>
      <c r="C712" s="21" t="s">
        <v>5790</v>
      </c>
      <c r="D712" s="2" t="s">
        <v>5903</v>
      </c>
      <c r="E712" s="2" t="s">
        <v>5904</v>
      </c>
      <c r="F712" s="2" t="s">
        <v>5807</v>
      </c>
      <c r="G712" s="2" t="s">
        <v>5905</v>
      </c>
      <c r="H712" s="2" t="s">
        <v>1442</v>
      </c>
      <c r="I712" s="2" t="s">
        <v>5906</v>
      </c>
      <c r="J712" s="2" t="s">
        <v>5810</v>
      </c>
      <c r="K712" s="2" t="s">
        <v>5809</v>
      </c>
      <c r="L712" s="6" t="s">
        <v>1367</v>
      </c>
      <c r="M712" s="21" t="s">
        <v>1368</v>
      </c>
      <c r="P712" s="21" t="s">
        <v>1371</v>
      </c>
    </row>
    <row r="713" spans="1:16" ht="28.9">
      <c r="A713" s="253" t="s">
        <v>5907</v>
      </c>
      <c r="B713" s="289"/>
      <c r="C713" s="76" t="s">
        <v>5790</v>
      </c>
      <c r="D713" s="2" t="s">
        <v>5908</v>
      </c>
      <c r="E713" s="2" t="s">
        <v>5909</v>
      </c>
      <c r="F713" s="2" t="s">
        <v>5910</v>
      </c>
      <c r="G713" s="2" t="s">
        <v>5911</v>
      </c>
      <c r="H713" s="2" t="s">
        <v>5912</v>
      </c>
      <c r="I713" s="2" t="s">
        <v>5913</v>
      </c>
      <c r="J713" s="2" t="s">
        <v>5914</v>
      </c>
      <c r="K713" s="2" t="s">
        <v>5914</v>
      </c>
      <c r="L713" s="6" t="s">
        <v>1367</v>
      </c>
      <c r="M713" s="21" t="s">
        <v>1368</v>
      </c>
      <c r="P713" s="21" t="s">
        <v>22</v>
      </c>
    </row>
    <row r="714" spans="1:16" ht="28.9">
      <c r="A714" s="253" t="s">
        <v>5915</v>
      </c>
      <c r="B714" s="289"/>
      <c r="C714" s="21" t="s">
        <v>5790</v>
      </c>
      <c r="D714" s="2" t="s">
        <v>5916</v>
      </c>
      <c r="E714" s="2" t="s">
        <v>5917</v>
      </c>
      <c r="F714" s="2" t="s">
        <v>5914</v>
      </c>
      <c r="G714" s="2" t="s">
        <v>5918</v>
      </c>
      <c r="H714" s="2" t="s">
        <v>5919</v>
      </c>
      <c r="I714" s="2" t="s">
        <v>5920</v>
      </c>
      <c r="J714" s="2" t="s">
        <v>5921</v>
      </c>
      <c r="K714" s="2" t="s">
        <v>5920</v>
      </c>
      <c r="L714" s="6" t="s">
        <v>1367</v>
      </c>
      <c r="M714" s="21" t="s">
        <v>1368</v>
      </c>
      <c r="P714" s="21" t="s">
        <v>22</v>
      </c>
    </row>
    <row r="715" spans="1:16" ht="43.15">
      <c r="A715" s="253" t="s">
        <v>5922</v>
      </c>
      <c r="B715" s="289"/>
      <c r="C715" s="76" t="s">
        <v>5790</v>
      </c>
      <c r="D715" s="2" t="s">
        <v>5923</v>
      </c>
      <c r="E715" s="2" t="s">
        <v>5924</v>
      </c>
      <c r="F715" s="2" t="s">
        <v>5921</v>
      </c>
      <c r="G715" s="2" t="s">
        <v>5925</v>
      </c>
      <c r="H715" s="2" t="s">
        <v>5926</v>
      </c>
      <c r="I715" s="2" t="s">
        <v>5849</v>
      </c>
      <c r="J715" s="2" t="s">
        <v>1843</v>
      </c>
      <c r="K715" s="2" t="s">
        <v>2630</v>
      </c>
      <c r="L715" s="6" t="s">
        <v>1367</v>
      </c>
      <c r="M715" s="21" t="s">
        <v>1368</v>
      </c>
      <c r="P715" s="21" t="s">
        <v>1371</v>
      </c>
    </row>
    <row r="716" spans="1:16" ht="57.6">
      <c r="A716" s="253" t="s">
        <v>5927</v>
      </c>
      <c r="B716" s="289"/>
      <c r="C716" s="21" t="s">
        <v>5790</v>
      </c>
      <c r="D716" s="2" t="s">
        <v>5928</v>
      </c>
      <c r="E716" s="2" t="s">
        <v>5929</v>
      </c>
      <c r="F716" s="2" t="s">
        <v>5920</v>
      </c>
      <c r="G716" s="2" t="s">
        <v>5930</v>
      </c>
      <c r="H716" s="2" t="s">
        <v>5912</v>
      </c>
      <c r="I716" s="2" t="s">
        <v>5931</v>
      </c>
      <c r="J716" s="2" t="s">
        <v>5932</v>
      </c>
      <c r="K716" s="2" t="s">
        <v>5933</v>
      </c>
      <c r="L716" s="6" t="s">
        <v>1367</v>
      </c>
      <c r="M716" s="21" t="s">
        <v>1368</v>
      </c>
      <c r="P716" s="21" t="s">
        <v>22</v>
      </c>
    </row>
    <row r="717" spans="1:16" ht="43.15">
      <c r="A717" s="253" t="s">
        <v>5934</v>
      </c>
      <c r="B717" s="289"/>
      <c r="C717" s="76" t="s">
        <v>5790</v>
      </c>
      <c r="D717" s="2" t="s">
        <v>5935</v>
      </c>
      <c r="E717" s="2" t="s">
        <v>5936</v>
      </c>
      <c r="F717" s="2" t="s">
        <v>5920</v>
      </c>
      <c r="G717" s="2" t="s">
        <v>5937</v>
      </c>
      <c r="H717" s="2" t="s">
        <v>5938</v>
      </c>
      <c r="I717" s="2" t="s">
        <v>5939</v>
      </c>
      <c r="J717" s="2" t="s">
        <v>5940</v>
      </c>
      <c r="K717" s="2" t="s">
        <v>5940</v>
      </c>
      <c r="L717" s="6" t="s">
        <v>1367</v>
      </c>
      <c r="M717" s="21" t="s">
        <v>1368</v>
      </c>
      <c r="P717" s="21" t="s">
        <v>22</v>
      </c>
    </row>
    <row r="718" spans="1:16" ht="72">
      <c r="A718" s="253" t="s">
        <v>5941</v>
      </c>
      <c r="B718" s="289"/>
      <c r="C718" s="21" t="s">
        <v>5790</v>
      </c>
      <c r="D718" s="2" t="s">
        <v>5942</v>
      </c>
      <c r="E718" s="2" t="s">
        <v>5943</v>
      </c>
      <c r="F718" s="2" t="s">
        <v>5944</v>
      </c>
      <c r="G718" s="2" t="s">
        <v>5945</v>
      </c>
      <c r="H718" s="2" t="s">
        <v>5946</v>
      </c>
      <c r="I718" s="2" t="s">
        <v>5947</v>
      </c>
      <c r="J718" s="2" t="s">
        <v>5948</v>
      </c>
      <c r="K718" s="2" t="s">
        <v>5949</v>
      </c>
      <c r="L718" s="6" t="s">
        <v>1367</v>
      </c>
      <c r="M718" s="21" t="s">
        <v>1368</v>
      </c>
      <c r="P718" s="21" t="s">
        <v>22</v>
      </c>
    </row>
    <row r="719" spans="1:16" ht="57.6">
      <c r="A719" s="253" t="s">
        <v>5950</v>
      </c>
      <c r="B719" s="289"/>
      <c r="C719" s="76" t="s">
        <v>5790</v>
      </c>
      <c r="D719" s="2" t="s">
        <v>5951</v>
      </c>
      <c r="E719" s="2" t="s">
        <v>5952</v>
      </c>
      <c r="F719" s="2" t="s">
        <v>5953</v>
      </c>
      <c r="G719" s="2" t="s">
        <v>5954</v>
      </c>
      <c r="H719" s="2" t="s">
        <v>5955</v>
      </c>
      <c r="I719" s="2" t="s">
        <v>5956</v>
      </c>
      <c r="J719" s="2" t="s">
        <v>5957</v>
      </c>
      <c r="K719" s="2" t="s">
        <v>5958</v>
      </c>
      <c r="L719" s="6" t="s">
        <v>1367</v>
      </c>
      <c r="M719" s="21" t="s">
        <v>1368</v>
      </c>
      <c r="P719" s="21" t="s">
        <v>22</v>
      </c>
    </row>
    <row r="720" spans="1:16" ht="57.6">
      <c r="A720" s="253" t="s">
        <v>5959</v>
      </c>
      <c r="B720" s="289"/>
      <c r="C720" s="21" t="s">
        <v>5790</v>
      </c>
      <c r="D720" s="2" t="s">
        <v>5960</v>
      </c>
      <c r="E720" s="2" t="s">
        <v>5961</v>
      </c>
      <c r="F720" s="2" t="s">
        <v>5962</v>
      </c>
      <c r="G720" s="2" t="s">
        <v>5963</v>
      </c>
      <c r="H720" s="2" t="s">
        <v>5964</v>
      </c>
      <c r="I720" s="2" t="s">
        <v>5965</v>
      </c>
      <c r="J720" s="2" t="s">
        <v>5966</v>
      </c>
      <c r="K720" s="2" t="s">
        <v>5967</v>
      </c>
      <c r="L720" s="6" t="s">
        <v>1367</v>
      </c>
      <c r="M720" s="21" t="s">
        <v>1368</v>
      </c>
      <c r="P720" s="21" t="s">
        <v>22</v>
      </c>
    </row>
    <row r="721" spans="1:33" ht="57.6">
      <c r="A721" s="253" t="s">
        <v>5968</v>
      </c>
      <c r="B721" s="289"/>
      <c r="C721" s="21" t="s">
        <v>5790</v>
      </c>
      <c r="D721" s="2" t="s">
        <v>5969</v>
      </c>
      <c r="E721" s="2" t="s">
        <v>5970</v>
      </c>
      <c r="F721" s="2" t="s">
        <v>5971</v>
      </c>
      <c r="G721" s="2" t="s">
        <v>5972</v>
      </c>
      <c r="H721" s="2" t="s">
        <v>5973</v>
      </c>
      <c r="I721" s="2" t="s">
        <v>5974</v>
      </c>
      <c r="J721" s="2" t="s">
        <v>5975</v>
      </c>
      <c r="K721" s="2" t="s">
        <v>5757</v>
      </c>
      <c r="L721" s="6" t="s">
        <v>1367</v>
      </c>
      <c r="M721" s="21" t="s">
        <v>1368</v>
      </c>
      <c r="P721" s="21" t="s">
        <v>22</v>
      </c>
    </row>
    <row r="722" spans="1:33" ht="43.15">
      <c r="A722" s="253" t="s">
        <v>5976</v>
      </c>
      <c r="B722" s="289"/>
      <c r="C722" s="76" t="s">
        <v>5790</v>
      </c>
      <c r="D722" s="2" t="s">
        <v>5977</v>
      </c>
      <c r="E722" s="2" t="s">
        <v>5978</v>
      </c>
      <c r="F722" s="2" t="s">
        <v>5979</v>
      </c>
      <c r="G722" s="2" t="s">
        <v>5980</v>
      </c>
      <c r="H722" s="2" t="s">
        <v>5981</v>
      </c>
      <c r="I722" s="2" t="s">
        <v>5982</v>
      </c>
      <c r="J722" s="2" t="s">
        <v>5983</v>
      </c>
      <c r="K722" s="2" t="s">
        <v>5984</v>
      </c>
      <c r="L722" s="6" t="s">
        <v>1367</v>
      </c>
      <c r="M722" s="21" t="s">
        <v>1368</v>
      </c>
      <c r="P722" s="21" t="s">
        <v>22</v>
      </c>
    </row>
    <row r="723" spans="1:33" ht="28.9">
      <c r="A723" s="253" t="s">
        <v>5985</v>
      </c>
      <c r="B723" s="289"/>
      <c r="C723" s="76" t="s">
        <v>5790</v>
      </c>
      <c r="D723" s="2" t="s">
        <v>5986</v>
      </c>
      <c r="E723" s="2" t="s">
        <v>5987</v>
      </c>
      <c r="F723" s="2" t="s">
        <v>5807</v>
      </c>
      <c r="G723" s="2" t="s">
        <v>5988</v>
      </c>
      <c r="H723" s="2" t="s">
        <v>1442</v>
      </c>
      <c r="I723" s="2" t="s">
        <v>5989</v>
      </c>
      <c r="J723" s="2" t="s">
        <v>5803</v>
      </c>
      <c r="K723" s="2" t="s">
        <v>5989</v>
      </c>
      <c r="L723" s="6" t="s">
        <v>1367</v>
      </c>
      <c r="M723" s="21" t="s">
        <v>1368</v>
      </c>
      <c r="P723" s="21" t="s">
        <v>1371</v>
      </c>
    </row>
    <row r="724" spans="1:33" ht="28.9">
      <c r="A724" s="253" t="s">
        <v>5990</v>
      </c>
      <c r="B724" s="289"/>
      <c r="C724" s="21" t="s">
        <v>5790</v>
      </c>
      <c r="D724" s="2" t="s">
        <v>5991</v>
      </c>
      <c r="E724" s="2" t="s">
        <v>5992</v>
      </c>
      <c r="F724" s="2" t="s">
        <v>5807</v>
      </c>
      <c r="G724" s="2" t="s">
        <v>5993</v>
      </c>
      <c r="H724" s="2" t="s">
        <v>5994</v>
      </c>
      <c r="I724" s="2" t="s">
        <v>5995</v>
      </c>
      <c r="J724" s="2" t="s">
        <v>5996</v>
      </c>
      <c r="K724" s="2" t="s">
        <v>5997</v>
      </c>
      <c r="L724" s="6" t="s">
        <v>1367</v>
      </c>
      <c r="M724" s="21" t="s">
        <v>1368</v>
      </c>
      <c r="P724" s="21" t="s">
        <v>22</v>
      </c>
    </row>
    <row r="725" spans="1:33" ht="43.15">
      <c r="A725" s="253" t="s">
        <v>5998</v>
      </c>
      <c r="B725" s="289"/>
      <c r="C725" s="76" t="s">
        <v>5790</v>
      </c>
      <c r="D725" s="2" t="s">
        <v>5999</v>
      </c>
      <c r="E725" s="2" t="s">
        <v>6000</v>
      </c>
      <c r="F725" s="2" t="s">
        <v>5910</v>
      </c>
      <c r="G725" s="2" t="s">
        <v>6001</v>
      </c>
      <c r="H725" s="2" t="s">
        <v>1442</v>
      </c>
      <c r="I725" s="2" t="s">
        <v>6002</v>
      </c>
      <c r="J725" s="2" t="s">
        <v>6003</v>
      </c>
      <c r="K725" s="2" t="s">
        <v>6004</v>
      </c>
      <c r="L725" s="6" t="s">
        <v>1367</v>
      </c>
      <c r="M725" s="21" t="s">
        <v>1368</v>
      </c>
      <c r="P725" s="21" t="s">
        <v>1371</v>
      </c>
    </row>
    <row r="726" spans="1:33" ht="57.6">
      <c r="A726" s="253" t="s">
        <v>6005</v>
      </c>
      <c r="B726" s="289"/>
      <c r="C726" s="21" t="s">
        <v>5790</v>
      </c>
      <c r="D726" s="2" t="s">
        <v>6006</v>
      </c>
      <c r="E726" s="2" t="s">
        <v>6007</v>
      </c>
      <c r="F726" s="2" t="s">
        <v>5807</v>
      </c>
      <c r="G726" s="2" t="s">
        <v>6008</v>
      </c>
      <c r="H726" s="2" t="s">
        <v>6009</v>
      </c>
      <c r="I726" s="2" t="s">
        <v>6010</v>
      </c>
      <c r="J726" s="2" t="s">
        <v>6011</v>
      </c>
      <c r="K726" s="2" t="s">
        <v>6012</v>
      </c>
      <c r="L726" s="6" t="s">
        <v>1381</v>
      </c>
      <c r="M726" s="21" t="s">
        <v>1368</v>
      </c>
      <c r="P726" s="21" t="s">
        <v>6013</v>
      </c>
    </row>
    <row r="727" spans="1:33" ht="72">
      <c r="A727" s="253" t="s">
        <v>6014</v>
      </c>
      <c r="B727" s="289"/>
      <c r="C727" s="21" t="s">
        <v>5790</v>
      </c>
      <c r="D727" s="2" t="s">
        <v>6015</v>
      </c>
      <c r="E727" s="2" t="s">
        <v>6016</v>
      </c>
      <c r="F727" s="2" t="s">
        <v>6017</v>
      </c>
      <c r="G727" s="2" t="s">
        <v>6018</v>
      </c>
      <c r="H727" s="2" t="s">
        <v>6019</v>
      </c>
      <c r="I727" s="2" t="s">
        <v>6020</v>
      </c>
      <c r="J727" s="2" t="s">
        <v>6021</v>
      </c>
      <c r="K727" s="2" t="s">
        <v>6022</v>
      </c>
      <c r="L727" s="6" t="s">
        <v>1367</v>
      </c>
      <c r="M727" s="21" t="s">
        <v>1368</v>
      </c>
      <c r="P727" s="21" t="s">
        <v>22</v>
      </c>
    </row>
    <row r="728" spans="1:33" ht="43.15">
      <c r="A728" s="253" t="s">
        <v>6023</v>
      </c>
      <c r="B728" s="289"/>
      <c r="C728" s="76" t="s">
        <v>5790</v>
      </c>
      <c r="D728" s="2" t="s">
        <v>6024</v>
      </c>
      <c r="E728" s="2" t="s">
        <v>6025</v>
      </c>
      <c r="F728" s="2" t="s">
        <v>6026</v>
      </c>
      <c r="G728" s="2" t="s">
        <v>6027</v>
      </c>
      <c r="H728" s="2" t="s">
        <v>6028</v>
      </c>
      <c r="I728" s="2" t="s">
        <v>6029</v>
      </c>
      <c r="J728" s="2" t="s">
        <v>5779</v>
      </c>
      <c r="K728" s="2" t="s">
        <v>6030</v>
      </c>
      <c r="L728" s="6" t="s">
        <v>1367</v>
      </c>
      <c r="M728" s="21" t="s">
        <v>1368</v>
      </c>
    </row>
    <row r="729" spans="1:33" ht="57.6">
      <c r="A729" s="253" t="s">
        <v>6031</v>
      </c>
      <c r="B729" s="289"/>
      <c r="C729" s="21" t="s">
        <v>5790</v>
      </c>
      <c r="D729" s="2" t="s">
        <v>6032</v>
      </c>
      <c r="E729" s="2" t="s">
        <v>6033</v>
      </c>
      <c r="F729" s="2" t="s">
        <v>6034</v>
      </c>
      <c r="G729" s="2" t="s">
        <v>6035</v>
      </c>
      <c r="H729" s="2" t="s">
        <v>6036</v>
      </c>
      <c r="I729" s="2" t="s">
        <v>6037</v>
      </c>
      <c r="J729" s="2" t="s">
        <v>6038</v>
      </c>
      <c r="K729" s="2" t="s">
        <v>6030</v>
      </c>
      <c r="L729" s="6" t="s">
        <v>1367</v>
      </c>
      <c r="M729" s="21" t="s">
        <v>1368</v>
      </c>
      <c r="P729" s="21" t="s">
        <v>1371</v>
      </c>
      <c r="AG729" s="78"/>
    </row>
    <row r="730" spans="1:33" s="45" customFormat="1">
      <c r="A730" s="247"/>
      <c r="B730" s="289"/>
      <c r="C730" s="186"/>
      <c r="D730" s="44"/>
      <c r="E730" s="44"/>
      <c r="F730" s="44"/>
      <c r="G730" s="44"/>
      <c r="H730" s="44"/>
      <c r="I730" s="44"/>
      <c r="J730" s="44"/>
      <c r="K730" s="44"/>
      <c r="L730" s="81"/>
      <c r="M730" s="78"/>
      <c r="P730" s="78"/>
      <c r="Q730" s="78"/>
      <c r="R730" s="303"/>
      <c r="W730" s="81"/>
      <c r="X730" s="81"/>
      <c r="AG730" s="21"/>
    </row>
    <row r="731" spans="1:33" ht="43.15">
      <c r="A731" s="253" t="s">
        <v>6039</v>
      </c>
      <c r="B731" s="289"/>
      <c r="C731" s="174" t="s">
        <v>6040</v>
      </c>
      <c r="D731" s="134" t="s">
        <v>6041</v>
      </c>
      <c r="E731" s="134" t="s">
        <v>6042</v>
      </c>
      <c r="F731" s="134" t="s">
        <v>6043</v>
      </c>
      <c r="G731" s="134" t="s">
        <v>6044</v>
      </c>
      <c r="H731" s="134" t="s">
        <v>1442</v>
      </c>
      <c r="I731" s="134" t="s">
        <v>6045</v>
      </c>
      <c r="J731" s="134" t="s">
        <v>1442</v>
      </c>
      <c r="K731" s="134" t="s">
        <v>6046</v>
      </c>
      <c r="L731" s="177" t="s">
        <v>1367</v>
      </c>
      <c r="M731" s="21" t="s">
        <v>1415</v>
      </c>
      <c r="O731" s="176" t="s">
        <v>1649</v>
      </c>
      <c r="P731" s="134" t="s">
        <v>22</v>
      </c>
    </row>
    <row r="732" spans="1:33" ht="43.15">
      <c r="A732" s="253" t="s">
        <v>6047</v>
      </c>
      <c r="B732" s="289"/>
      <c r="C732" s="174" t="s">
        <v>6040</v>
      </c>
      <c r="D732" s="134" t="s">
        <v>6048</v>
      </c>
      <c r="E732" s="134" t="s">
        <v>6049</v>
      </c>
      <c r="F732" s="134" t="s">
        <v>6050</v>
      </c>
      <c r="G732" s="134" t="s">
        <v>6051</v>
      </c>
      <c r="H732" s="134" t="s">
        <v>6052</v>
      </c>
      <c r="I732" s="134" t="s">
        <v>6053</v>
      </c>
      <c r="J732" s="134" t="s">
        <v>6054</v>
      </c>
      <c r="K732" s="134" t="s">
        <v>6055</v>
      </c>
      <c r="L732" s="177" t="s">
        <v>1367</v>
      </c>
      <c r="M732" s="21" t="s">
        <v>1415</v>
      </c>
      <c r="O732" s="176" t="s">
        <v>1649</v>
      </c>
      <c r="P732" s="134" t="s">
        <v>22</v>
      </c>
    </row>
    <row r="733" spans="1:33" ht="43.15">
      <c r="A733" s="253" t="s">
        <v>6056</v>
      </c>
      <c r="B733" s="289"/>
      <c r="C733" s="174" t="s">
        <v>6040</v>
      </c>
      <c r="D733" s="134" t="s">
        <v>6057</v>
      </c>
      <c r="E733" s="134" t="s">
        <v>6058</v>
      </c>
      <c r="F733" s="134" t="s">
        <v>6059</v>
      </c>
      <c r="G733" s="134" t="s">
        <v>6060</v>
      </c>
      <c r="H733" s="134" t="s">
        <v>6061</v>
      </c>
      <c r="I733" s="134" t="s">
        <v>6062</v>
      </c>
      <c r="J733" s="134" t="s">
        <v>6063</v>
      </c>
      <c r="K733" s="134" t="s">
        <v>6064</v>
      </c>
      <c r="L733" s="173" t="s">
        <v>1381</v>
      </c>
      <c r="M733" s="21" t="s">
        <v>1415</v>
      </c>
      <c r="O733" s="176" t="s">
        <v>1649</v>
      </c>
      <c r="P733" s="134" t="s">
        <v>22</v>
      </c>
    </row>
    <row r="734" spans="1:33" ht="43.15">
      <c r="A734" s="253" t="s">
        <v>6065</v>
      </c>
      <c r="B734" s="289"/>
      <c r="C734" s="174" t="s">
        <v>6040</v>
      </c>
      <c r="D734" s="134" t="s">
        <v>6066</v>
      </c>
      <c r="E734" s="134" t="s">
        <v>6067</v>
      </c>
      <c r="F734" s="134" t="s">
        <v>6068</v>
      </c>
      <c r="G734" s="134" t="s">
        <v>6069</v>
      </c>
      <c r="H734" s="134" t="s">
        <v>6070</v>
      </c>
      <c r="I734" s="134" t="s">
        <v>6071</v>
      </c>
      <c r="J734" s="134" t="s">
        <v>6072</v>
      </c>
      <c r="K734" s="134" t="s">
        <v>6073</v>
      </c>
      <c r="L734" s="177" t="s">
        <v>1367</v>
      </c>
      <c r="M734" s="21" t="s">
        <v>1415</v>
      </c>
      <c r="O734" s="176" t="s">
        <v>1649</v>
      </c>
      <c r="P734" s="134" t="s">
        <v>1371</v>
      </c>
    </row>
    <row r="735" spans="1:33" ht="43.15">
      <c r="A735" s="253" t="s">
        <v>6074</v>
      </c>
      <c r="B735" s="289"/>
      <c r="C735" s="174" t="s">
        <v>6040</v>
      </c>
      <c r="D735" s="134" t="s">
        <v>6075</v>
      </c>
      <c r="E735" s="134" t="s">
        <v>6076</v>
      </c>
      <c r="F735" s="134" t="s">
        <v>6077</v>
      </c>
      <c r="G735" s="134" t="s">
        <v>6078</v>
      </c>
      <c r="H735" s="134" t="s">
        <v>6079</v>
      </c>
      <c r="I735" s="134" t="s">
        <v>6080</v>
      </c>
      <c r="J735" s="134" t="s">
        <v>6081</v>
      </c>
      <c r="K735" s="134" t="s">
        <v>6082</v>
      </c>
      <c r="L735" s="177" t="s">
        <v>1367</v>
      </c>
      <c r="M735" s="21" t="s">
        <v>1415</v>
      </c>
      <c r="O735" s="176" t="s">
        <v>1649</v>
      </c>
      <c r="P735" s="134" t="s">
        <v>1371</v>
      </c>
    </row>
    <row r="736" spans="1:33" ht="43.15">
      <c r="A736" s="253" t="s">
        <v>6083</v>
      </c>
      <c r="B736" s="289"/>
      <c r="C736" s="174" t="s">
        <v>6040</v>
      </c>
      <c r="D736" s="134" t="s">
        <v>6084</v>
      </c>
      <c r="E736" s="134" t="s">
        <v>6085</v>
      </c>
      <c r="F736" s="134" t="s">
        <v>6086</v>
      </c>
      <c r="G736" s="134" t="s">
        <v>6087</v>
      </c>
      <c r="H736" s="134" t="s">
        <v>6088</v>
      </c>
      <c r="I736" s="134" t="s">
        <v>6089</v>
      </c>
      <c r="J736" s="134" t="s">
        <v>6090</v>
      </c>
      <c r="K736" s="134" t="s">
        <v>6091</v>
      </c>
      <c r="L736" s="177" t="s">
        <v>1367</v>
      </c>
      <c r="M736" s="21" t="s">
        <v>1415</v>
      </c>
      <c r="O736" s="176" t="s">
        <v>1649</v>
      </c>
      <c r="P736" s="134" t="s">
        <v>22</v>
      </c>
    </row>
    <row r="737" spans="1:16" ht="28.9">
      <c r="A737" s="253" t="s">
        <v>6092</v>
      </c>
      <c r="B737" s="289"/>
      <c r="C737" s="174" t="s">
        <v>6040</v>
      </c>
      <c r="D737" s="134" t="s">
        <v>6093</v>
      </c>
      <c r="E737" s="134" t="s">
        <v>6094</v>
      </c>
      <c r="F737" s="134" t="s">
        <v>6095</v>
      </c>
      <c r="G737" s="134" t="s">
        <v>6096</v>
      </c>
      <c r="H737" s="134" t="s">
        <v>6097</v>
      </c>
      <c r="I737" s="134" t="s">
        <v>6098</v>
      </c>
      <c r="J737" s="134" t="s">
        <v>6099</v>
      </c>
      <c r="K737" s="134" t="s">
        <v>6100</v>
      </c>
      <c r="L737" s="177" t="s">
        <v>1367</v>
      </c>
      <c r="M737" s="21" t="s">
        <v>1415</v>
      </c>
      <c r="O737" s="176" t="s">
        <v>1649</v>
      </c>
      <c r="P737" s="134" t="s">
        <v>1371</v>
      </c>
    </row>
    <row r="738" spans="1:16" ht="28.9">
      <c r="A738" s="253" t="s">
        <v>6101</v>
      </c>
      <c r="B738" s="289"/>
      <c r="C738" s="174" t="s">
        <v>6040</v>
      </c>
      <c r="D738" s="134" t="s">
        <v>6102</v>
      </c>
      <c r="E738" s="134" t="s">
        <v>6103</v>
      </c>
      <c r="F738" s="134" t="s">
        <v>6104</v>
      </c>
      <c r="G738" s="134" t="s">
        <v>6105</v>
      </c>
      <c r="H738" s="134" t="s">
        <v>6106</v>
      </c>
      <c r="I738" s="134" t="s">
        <v>6107</v>
      </c>
      <c r="J738" s="134" t="s">
        <v>6108</v>
      </c>
      <c r="K738" s="134" t="s">
        <v>6109</v>
      </c>
      <c r="L738" s="177" t="s">
        <v>1367</v>
      </c>
      <c r="M738" s="21" t="s">
        <v>1415</v>
      </c>
      <c r="O738" s="176" t="s">
        <v>1649</v>
      </c>
      <c r="P738" s="134" t="s">
        <v>1481</v>
      </c>
    </row>
    <row r="739" spans="1:16" ht="28.9">
      <c r="A739" s="253" t="s">
        <v>6110</v>
      </c>
      <c r="B739" s="289"/>
      <c r="C739" s="174" t="s">
        <v>6040</v>
      </c>
      <c r="D739" s="134" t="s">
        <v>6111</v>
      </c>
      <c r="E739" s="134" t="s">
        <v>6112</v>
      </c>
      <c r="F739" s="134" t="s">
        <v>4871</v>
      </c>
      <c r="G739" s="134" t="s">
        <v>6113</v>
      </c>
      <c r="H739" s="134" t="s">
        <v>4873</v>
      </c>
      <c r="I739" s="134" t="s">
        <v>4874</v>
      </c>
      <c r="J739" s="134" t="s">
        <v>1442</v>
      </c>
      <c r="K739" s="134" t="s">
        <v>6114</v>
      </c>
      <c r="L739" s="177" t="s">
        <v>1367</v>
      </c>
      <c r="M739" s="21" t="s">
        <v>1415</v>
      </c>
      <c r="O739" s="176" t="s">
        <v>1649</v>
      </c>
      <c r="P739" s="134" t="s">
        <v>22</v>
      </c>
    </row>
    <row r="740" spans="1:16" ht="43.15">
      <c r="A740" s="253" t="s">
        <v>6115</v>
      </c>
      <c r="B740" s="289"/>
      <c r="C740" s="174" t="s">
        <v>6040</v>
      </c>
      <c r="D740" s="134" t="s">
        <v>6116</v>
      </c>
      <c r="E740" s="134" t="s">
        <v>6117</v>
      </c>
      <c r="F740" s="134" t="s">
        <v>6118</v>
      </c>
      <c r="G740" s="134" t="s">
        <v>6119</v>
      </c>
      <c r="H740" s="134" t="s">
        <v>1442</v>
      </c>
      <c r="I740" s="134" t="s">
        <v>6120</v>
      </c>
      <c r="J740" s="134" t="s">
        <v>6121</v>
      </c>
      <c r="K740" s="134" t="s">
        <v>6122</v>
      </c>
      <c r="L740" s="177" t="s">
        <v>1367</v>
      </c>
      <c r="M740" s="21" t="s">
        <v>1415</v>
      </c>
      <c r="O740" s="176" t="s">
        <v>1649</v>
      </c>
      <c r="P740" s="134" t="s">
        <v>1371</v>
      </c>
    </row>
    <row r="741" spans="1:16" ht="57.6">
      <c r="A741" s="253" t="s">
        <v>6123</v>
      </c>
      <c r="B741" s="289"/>
      <c r="C741" s="174" t="s">
        <v>6040</v>
      </c>
      <c r="D741" s="134" t="s">
        <v>6124</v>
      </c>
      <c r="E741" s="134" t="s">
        <v>6125</v>
      </c>
      <c r="F741" s="134" t="s">
        <v>6126</v>
      </c>
      <c r="G741" s="134" t="s">
        <v>6127</v>
      </c>
      <c r="H741" s="134" t="s">
        <v>1442</v>
      </c>
      <c r="I741" s="134" t="s">
        <v>6128</v>
      </c>
      <c r="J741" s="134" t="s">
        <v>6121</v>
      </c>
      <c r="K741" s="134" t="s">
        <v>6129</v>
      </c>
      <c r="L741" s="177" t="s">
        <v>1367</v>
      </c>
      <c r="M741" s="21" t="s">
        <v>1415</v>
      </c>
      <c r="O741" s="176" t="s">
        <v>1649</v>
      </c>
      <c r="P741" s="134" t="s">
        <v>1371</v>
      </c>
    </row>
    <row r="742" spans="1:16" ht="43.15">
      <c r="A742" s="253" t="s">
        <v>6130</v>
      </c>
      <c r="B742" s="289"/>
      <c r="C742" s="174" t="s">
        <v>6040</v>
      </c>
      <c r="D742" s="134" t="s">
        <v>6131</v>
      </c>
      <c r="E742" s="134" t="s">
        <v>6132</v>
      </c>
      <c r="F742" s="134" t="s">
        <v>6133</v>
      </c>
      <c r="G742" s="134" t="s">
        <v>6134</v>
      </c>
      <c r="H742" s="134" t="s">
        <v>6135</v>
      </c>
      <c r="I742" s="134" t="s">
        <v>6136</v>
      </c>
      <c r="J742" s="134" t="s">
        <v>6137</v>
      </c>
      <c r="K742" s="134" t="s">
        <v>6138</v>
      </c>
      <c r="L742" s="177" t="s">
        <v>1367</v>
      </c>
      <c r="M742" s="21" t="s">
        <v>1415</v>
      </c>
      <c r="O742" s="176" t="s">
        <v>1649</v>
      </c>
      <c r="P742" s="134" t="s">
        <v>22</v>
      </c>
    </row>
    <row r="743" spans="1:16" ht="43.15">
      <c r="A743" s="253" t="s">
        <v>6139</v>
      </c>
      <c r="B743" s="289"/>
      <c r="C743" s="174" t="s">
        <v>6040</v>
      </c>
      <c r="D743" s="134" t="s">
        <v>6140</v>
      </c>
      <c r="E743" s="134" t="s">
        <v>6141</v>
      </c>
      <c r="F743" s="134" t="s">
        <v>6104</v>
      </c>
      <c r="G743" s="134" t="s">
        <v>6142</v>
      </c>
      <c r="H743" s="134" t="s">
        <v>1442</v>
      </c>
      <c r="I743" s="134" t="s">
        <v>6143</v>
      </c>
      <c r="J743" s="134" t="s">
        <v>1442</v>
      </c>
      <c r="K743" s="134" t="s">
        <v>6144</v>
      </c>
      <c r="L743" s="177" t="s">
        <v>1367</v>
      </c>
      <c r="M743" s="21" t="s">
        <v>1415</v>
      </c>
      <c r="O743" s="176" t="s">
        <v>1649</v>
      </c>
      <c r="P743" s="134" t="s">
        <v>1371</v>
      </c>
    </row>
    <row r="744" spans="1:16" ht="43.15">
      <c r="A744" s="253" t="s">
        <v>6145</v>
      </c>
      <c r="B744" s="289"/>
      <c r="C744" s="174" t="s">
        <v>6040</v>
      </c>
      <c r="D744" s="134" t="s">
        <v>6146</v>
      </c>
      <c r="E744" s="134" t="s">
        <v>6147</v>
      </c>
      <c r="F744" s="134" t="s">
        <v>6148</v>
      </c>
      <c r="G744" s="134" t="s">
        <v>6149</v>
      </c>
      <c r="H744" s="134" t="s">
        <v>6150</v>
      </c>
      <c r="I744" s="134" t="s">
        <v>6151</v>
      </c>
      <c r="J744" s="134" t="s">
        <v>6152</v>
      </c>
      <c r="K744" s="134" t="s">
        <v>6153</v>
      </c>
      <c r="L744" s="177" t="s">
        <v>1367</v>
      </c>
      <c r="M744" s="21" t="s">
        <v>1415</v>
      </c>
      <c r="O744" s="176" t="s">
        <v>1649</v>
      </c>
      <c r="P744" s="134" t="s">
        <v>1371</v>
      </c>
    </row>
    <row r="745" spans="1:16" ht="28.9">
      <c r="A745" s="253" t="s">
        <v>6154</v>
      </c>
      <c r="B745" s="289"/>
      <c r="C745" s="174" t="s">
        <v>6040</v>
      </c>
      <c r="D745" s="134" t="s">
        <v>6155</v>
      </c>
      <c r="E745" s="134" t="s">
        <v>6156</v>
      </c>
      <c r="F745" s="134" t="s">
        <v>6157</v>
      </c>
      <c r="G745" s="134" t="s">
        <v>6158</v>
      </c>
      <c r="H745" s="134" t="s">
        <v>1442</v>
      </c>
      <c r="I745" s="134" t="s">
        <v>6159</v>
      </c>
      <c r="J745" s="134" t="s">
        <v>1442</v>
      </c>
      <c r="K745" s="134" t="s">
        <v>6160</v>
      </c>
      <c r="L745" s="177" t="s">
        <v>1367</v>
      </c>
      <c r="M745" s="21" t="s">
        <v>1415</v>
      </c>
      <c r="O745" s="176" t="s">
        <v>1649</v>
      </c>
      <c r="P745" s="134" t="s">
        <v>1371</v>
      </c>
    </row>
    <row r="746" spans="1:16" ht="43.15">
      <c r="A746" s="253" t="s">
        <v>6161</v>
      </c>
      <c r="B746" s="289"/>
      <c r="C746" s="174" t="s">
        <v>6040</v>
      </c>
      <c r="D746" s="134" t="s">
        <v>6162</v>
      </c>
      <c r="E746" s="134" t="s">
        <v>6163</v>
      </c>
      <c r="F746" s="134" t="s">
        <v>6164</v>
      </c>
      <c r="G746" s="134" t="s">
        <v>6165</v>
      </c>
      <c r="H746" s="134" t="s">
        <v>1442</v>
      </c>
      <c r="I746" s="134" t="s">
        <v>6166</v>
      </c>
      <c r="J746" s="134" t="s">
        <v>6167</v>
      </c>
      <c r="K746" s="134" t="s">
        <v>6168</v>
      </c>
      <c r="L746" s="177" t="s">
        <v>1367</v>
      </c>
      <c r="M746" s="21" t="s">
        <v>1415</v>
      </c>
      <c r="O746" s="176" t="s">
        <v>1649</v>
      </c>
      <c r="P746" s="134" t="s">
        <v>1481</v>
      </c>
    </row>
    <row r="747" spans="1:16" ht="28.9">
      <c r="A747" s="253" t="s">
        <v>6169</v>
      </c>
      <c r="B747" s="289"/>
      <c r="C747" s="174" t="s">
        <v>6040</v>
      </c>
      <c r="D747" s="134" t="s">
        <v>6170</v>
      </c>
      <c r="E747" s="134" t="s">
        <v>6171</v>
      </c>
      <c r="F747" s="134" t="s">
        <v>6104</v>
      </c>
      <c r="G747" s="134" t="s">
        <v>6172</v>
      </c>
      <c r="H747" s="134" t="s">
        <v>1442</v>
      </c>
      <c r="I747" s="134" t="s">
        <v>6173</v>
      </c>
      <c r="J747" s="134" t="s">
        <v>1442</v>
      </c>
      <c r="K747" s="134" t="s">
        <v>6174</v>
      </c>
      <c r="L747" s="177" t="s">
        <v>1367</v>
      </c>
      <c r="M747" s="21" t="s">
        <v>1415</v>
      </c>
      <c r="O747" s="176" t="s">
        <v>1649</v>
      </c>
      <c r="P747" s="134" t="s">
        <v>1481</v>
      </c>
    </row>
    <row r="748" spans="1:16" ht="28.9">
      <c r="A748" s="253" t="s">
        <v>6175</v>
      </c>
      <c r="B748" s="289"/>
      <c r="C748" s="174" t="s">
        <v>6040</v>
      </c>
      <c r="D748" s="134" t="s">
        <v>6176</v>
      </c>
      <c r="E748" s="134" t="s">
        <v>6177</v>
      </c>
      <c r="F748" s="134" t="s">
        <v>6178</v>
      </c>
      <c r="G748" s="134" t="s">
        <v>6179</v>
      </c>
      <c r="H748" s="134" t="s">
        <v>6180</v>
      </c>
      <c r="I748" s="134" t="s">
        <v>6181</v>
      </c>
      <c r="J748" s="134" t="s">
        <v>4926</v>
      </c>
      <c r="K748" s="134" t="s">
        <v>6182</v>
      </c>
      <c r="L748" s="177" t="s">
        <v>1367</v>
      </c>
      <c r="M748" s="21" t="s">
        <v>1415</v>
      </c>
      <c r="O748" s="176" t="s">
        <v>1649</v>
      </c>
      <c r="P748" s="134" t="s">
        <v>1481</v>
      </c>
    </row>
    <row r="749" spans="1:16" ht="28.9">
      <c r="A749" s="253" t="s">
        <v>6183</v>
      </c>
      <c r="B749" s="289"/>
      <c r="C749" s="174" t="s">
        <v>6040</v>
      </c>
      <c r="D749" s="134" t="s">
        <v>6184</v>
      </c>
      <c r="E749" s="134" t="s">
        <v>6185</v>
      </c>
      <c r="F749" s="134" t="s">
        <v>6104</v>
      </c>
      <c r="G749" s="134" t="s">
        <v>6186</v>
      </c>
      <c r="H749" s="134" t="s">
        <v>1442</v>
      </c>
      <c r="I749" s="134" t="s">
        <v>6187</v>
      </c>
      <c r="J749" s="134" t="s">
        <v>1442</v>
      </c>
      <c r="K749" s="134" t="s">
        <v>6188</v>
      </c>
      <c r="L749" s="177" t="s">
        <v>1367</v>
      </c>
      <c r="M749" s="21" t="s">
        <v>1415</v>
      </c>
      <c r="O749" s="176" t="s">
        <v>1649</v>
      </c>
      <c r="P749" s="134" t="s">
        <v>1481</v>
      </c>
    </row>
    <row r="750" spans="1:16" ht="43.15">
      <c r="A750" s="253" t="s">
        <v>6189</v>
      </c>
      <c r="B750" s="289"/>
      <c r="C750" s="174" t="s">
        <v>6040</v>
      </c>
      <c r="D750" s="134" t="s">
        <v>6190</v>
      </c>
      <c r="E750" s="134" t="s">
        <v>6191</v>
      </c>
      <c r="F750" s="134" t="s">
        <v>6104</v>
      </c>
      <c r="G750" s="134" t="s">
        <v>6192</v>
      </c>
      <c r="H750" s="134" t="s">
        <v>6193</v>
      </c>
      <c r="I750" s="134" t="s">
        <v>6194</v>
      </c>
      <c r="J750" s="134" t="s">
        <v>6195</v>
      </c>
      <c r="K750" s="134" t="s">
        <v>6196</v>
      </c>
      <c r="L750" s="177" t="s">
        <v>1367</v>
      </c>
      <c r="M750" s="21" t="s">
        <v>1415</v>
      </c>
      <c r="O750" s="176" t="s">
        <v>1649</v>
      </c>
      <c r="P750" s="134" t="s">
        <v>1371</v>
      </c>
    </row>
    <row r="751" spans="1:16" ht="28.9">
      <c r="A751" s="253" t="s">
        <v>6197</v>
      </c>
      <c r="B751" s="289"/>
      <c r="C751" s="174" t="s">
        <v>6040</v>
      </c>
      <c r="D751" s="134" t="s">
        <v>6198</v>
      </c>
      <c r="E751" s="134" t="s">
        <v>6199</v>
      </c>
      <c r="F751" s="134" t="s">
        <v>6118</v>
      </c>
      <c r="G751" s="134" t="s">
        <v>6200</v>
      </c>
      <c r="H751" s="134" t="s">
        <v>6201</v>
      </c>
      <c r="I751" s="134" t="s">
        <v>6202</v>
      </c>
      <c r="J751" s="134" t="s">
        <v>1442</v>
      </c>
      <c r="K751" s="134" t="s">
        <v>6203</v>
      </c>
      <c r="L751" s="177" t="s">
        <v>1367</v>
      </c>
      <c r="M751" s="21" t="s">
        <v>1415</v>
      </c>
      <c r="O751" s="176" t="s">
        <v>1649</v>
      </c>
      <c r="P751" s="134" t="s">
        <v>22</v>
      </c>
    </row>
    <row r="752" spans="1:16" ht="28.9">
      <c r="A752" s="253" t="s">
        <v>6204</v>
      </c>
      <c r="B752" s="289"/>
      <c r="C752" s="174" t="s">
        <v>6040</v>
      </c>
      <c r="D752" s="134" t="s">
        <v>6205</v>
      </c>
      <c r="E752" s="134" t="s">
        <v>6206</v>
      </c>
      <c r="F752" s="134" t="s">
        <v>6104</v>
      </c>
      <c r="G752" s="134" t="s">
        <v>6207</v>
      </c>
      <c r="H752" s="134" t="s">
        <v>1442</v>
      </c>
      <c r="I752" s="134" t="s">
        <v>6208</v>
      </c>
      <c r="J752" s="134" t="s">
        <v>1442</v>
      </c>
      <c r="K752" s="134" t="s">
        <v>6209</v>
      </c>
      <c r="L752" s="177" t="s">
        <v>1367</v>
      </c>
      <c r="M752" s="21" t="s">
        <v>1415</v>
      </c>
      <c r="O752" s="176" t="s">
        <v>1649</v>
      </c>
      <c r="P752" s="134" t="s">
        <v>1371</v>
      </c>
    </row>
    <row r="753" spans="1:33" ht="57.6">
      <c r="A753" s="253" t="s">
        <v>6210</v>
      </c>
      <c r="B753" s="289"/>
      <c r="C753" s="174" t="s">
        <v>6040</v>
      </c>
      <c r="D753" s="134" t="s">
        <v>6211</v>
      </c>
      <c r="E753" s="134" t="s">
        <v>6212</v>
      </c>
      <c r="F753" s="134" t="s">
        <v>6104</v>
      </c>
      <c r="G753" s="134" t="s">
        <v>6213</v>
      </c>
      <c r="H753" s="134" t="s">
        <v>6214</v>
      </c>
      <c r="I753" s="134" t="s">
        <v>6215</v>
      </c>
      <c r="J753" s="134" t="s">
        <v>1442</v>
      </c>
      <c r="K753" s="134" t="s">
        <v>6216</v>
      </c>
      <c r="L753" s="177" t="s">
        <v>1367</v>
      </c>
      <c r="M753" s="21" t="s">
        <v>1415</v>
      </c>
      <c r="O753" s="176" t="s">
        <v>1649</v>
      </c>
      <c r="P753" s="134" t="s">
        <v>1481</v>
      </c>
    </row>
    <row r="754" spans="1:33" ht="43.15">
      <c r="A754" s="253" t="s">
        <v>6217</v>
      </c>
      <c r="B754" s="289"/>
      <c r="C754" s="174" t="s">
        <v>6040</v>
      </c>
      <c r="D754" s="134" t="s">
        <v>6218</v>
      </c>
      <c r="E754" s="134" t="s">
        <v>6219</v>
      </c>
      <c r="F754" s="134" t="s">
        <v>6220</v>
      </c>
      <c r="G754" s="134" t="s">
        <v>6221</v>
      </c>
      <c r="H754" s="134" t="s">
        <v>1442</v>
      </c>
      <c r="I754" s="134" t="s">
        <v>6222</v>
      </c>
      <c r="J754" s="134" t="s">
        <v>6223</v>
      </c>
      <c r="K754" s="134" t="s">
        <v>6224</v>
      </c>
      <c r="L754" s="177" t="s">
        <v>1367</v>
      </c>
      <c r="M754" s="21" t="s">
        <v>1415</v>
      </c>
      <c r="O754" s="176" t="s">
        <v>1649</v>
      </c>
      <c r="P754" s="134" t="s">
        <v>1481</v>
      </c>
    </row>
    <row r="755" spans="1:33" ht="28.9">
      <c r="A755" s="253" t="s">
        <v>6225</v>
      </c>
      <c r="B755" s="289"/>
      <c r="C755" s="174" t="s">
        <v>6040</v>
      </c>
      <c r="D755" s="134" t="s">
        <v>6226</v>
      </c>
      <c r="E755" s="134" t="s">
        <v>6227</v>
      </c>
      <c r="F755" s="134" t="s">
        <v>1440</v>
      </c>
      <c r="G755" s="134" t="s">
        <v>6228</v>
      </c>
      <c r="H755" s="134" t="s">
        <v>6229</v>
      </c>
      <c r="I755" s="134" t="s">
        <v>6230</v>
      </c>
      <c r="J755" s="134" t="s">
        <v>6231</v>
      </c>
      <c r="K755" s="134" t="s">
        <v>1789</v>
      </c>
      <c r="L755" s="177" t="s">
        <v>1367</v>
      </c>
      <c r="M755" s="21" t="s">
        <v>1415</v>
      </c>
      <c r="O755" s="176" t="s">
        <v>1649</v>
      </c>
      <c r="P755" s="134" t="s">
        <v>22</v>
      </c>
    </row>
    <row r="756" spans="1:33" ht="43.15">
      <c r="A756" s="253" t="s">
        <v>6232</v>
      </c>
      <c r="B756" s="289"/>
      <c r="C756" s="174" t="s">
        <v>6040</v>
      </c>
      <c r="D756" s="134" t="s">
        <v>6233</v>
      </c>
      <c r="E756" s="134" t="s">
        <v>6234</v>
      </c>
      <c r="F756" s="134" t="s">
        <v>6095</v>
      </c>
      <c r="G756" s="134" t="s">
        <v>6235</v>
      </c>
      <c r="H756" s="134" t="s">
        <v>1442</v>
      </c>
      <c r="I756" s="134" t="s">
        <v>6236</v>
      </c>
      <c r="J756" s="134" t="s">
        <v>1442</v>
      </c>
      <c r="K756" s="134" t="s">
        <v>6237</v>
      </c>
      <c r="L756" s="175" t="s">
        <v>1381</v>
      </c>
      <c r="M756" s="21" t="s">
        <v>1415</v>
      </c>
      <c r="O756" s="176" t="s">
        <v>1649</v>
      </c>
      <c r="P756" s="134" t="s">
        <v>1481</v>
      </c>
    </row>
    <row r="757" spans="1:33" ht="43.15">
      <c r="A757" s="253" t="s">
        <v>6238</v>
      </c>
      <c r="B757" s="289"/>
      <c r="C757" s="174" t="s">
        <v>6040</v>
      </c>
      <c r="D757" s="134" t="s">
        <v>6239</v>
      </c>
      <c r="E757" s="134" t="s">
        <v>6240</v>
      </c>
      <c r="F757" s="134" t="s">
        <v>6241</v>
      </c>
      <c r="G757" s="134" t="s">
        <v>6242</v>
      </c>
      <c r="H757" s="134" t="s">
        <v>6009</v>
      </c>
      <c r="I757" s="134" t="s">
        <v>6243</v>
      </c>
      <c r="J757" s="134" t="s">
        <v>1442</v>
      </c>
      <c r="K757" s="134" t="s">
        <v>6244</v>
      </c>
      <c r="L757" s="175" t="s">
        <v>1381</v>
      </c>
      <c r="M757" s="21" t="s">
        <v>1415</v>
      </c>
      <c r="O757" s="176" t="s">
        <v>1649</v>
      </c>
      <c r="P757" s="134" t="s">
        <v>22</v>
      </c>
    </row>
    <row r="758" spans="1:33" ht="57.6">
      <c r="A758" s="253" t="s">
        <v>6245</v>
      </c>
      <c r="B758" s="289"/>
      <c r="C758" s="174" t="s">
        <v>6040</v>
      </c>
      <c r="D758" s="134" t="s">
        <v>6246</v>
      </c>
      <c r="E758" s="134" t="s">
        <v>6247</v>
      </c>
      <c r="F758" s="134" t="s">
        <v>6104</v>
      </c>
      <c r="G758" s="134" t="s">
        <v>6248</v>
      </c>
      <c r="H758" s="134" t="s">
        <v>6249</v>
      </c>
      <c r="I758" s="134" t="s">
        <v>6250</v>
      </c>
      <c r="J758" s="134" t="s">
        <v>6251</v>
      </c>
      <c r="K758" s="134" t="s">
        <v>6252</v>
      </c>
      <c r="L758" s="177" t="s">
        <v>1367</v>
      </c>
      <c r="M758" s="21" t="s">
        <v>1415</v>
      </c>
      <c r="O758" s="176" t="s">
        <v>1649</v>
      </c>
      <c r="P758" s="134" t="s">
        <v>22</v>
      </c>
    </row>
    <row r="759" spans="1:33" ht="43.15">
      <c r="A759" s="253" t="s">
        <v>6253</v>
      </c>
      <c r="B759" s="289"/>
      <c r="C759" s="174" t="s">
        <v>6040</v>
      </c>
      <c r="D759" s="134" t="s">
        <v>6254</v>
      </c>
      <c r="E759" s="134" t="s">
        <v>6255</v>
      </c>
      <c r="F759" s="134" t="s">
        <v>6256</v>
      </c>
      <c r="G759" s="134" t="s">
        <v>6257</v>
      </c>
      <c r="H759" s="134" t="s">
        <v>6079</v>
      </c>
      <c r="I759" s="134" t="s">
        <v>6258</v>
      </c>
      <c r="J759" s="134" t="s">
        <v>6259</v>
      </c>
      <c r="K759" s="134" t="s">
        <v>6260</v>
      </c>
      <c r="L759" s="177" t="s">
        <v>1367</v>
      </c>
      <c r="M759" s="21" t="s">
        <v>1415</v>
      </c>
      <c r="O759" s="176" t="s">
        <v>1649</v>
      </c>
      <c r="P759" s="134" t="s">
        <v>1371</v>
      </c>
    </row>
    <row r="760" spans="1:33" ht="43.15">
      <c r="A760" s="253" t="s">
        <v>6261</v>
      </c>
      <c r="B760" s="289"/>
      <c r="C760" s="174" t="s">
        <v>6040</v>
      </c>
      <c r="D760" s="134" t="s">
        <v>6262</v>
      </c>
      <c r="E760" s="134" t="s">
        <v>6263</v>
      </c>
      <c r="F760" s="134" t="s">
        <v>6264</v>
      </c>
      <c r="G760" s="134" t="s">
        <v>6265</v>
      </c>
      <c r="H760" s="134" t="s">
        <v>6266</v>
      </c>
      <c r="I760" s="134" t="s">
        <v>6267</v>
      </c>
      <c r="J760" s="134" t="s">
        <v>1442</v>
      </c>
      <c r="K760" s="134" t="s">
        <v>6268</v>
      </c>
      <c r="L760" s="177" t="s">
        <v>1367</v>
      </c>
      <c r="M760" s="21" t="s">
        <v>1415</v>
      </c>
      <c r="O760" s="176" t="s">
        <v>1649</v>
      </c>
      <c r="P760" s="134" t="s">
        <v>1371</v>
      </c>
    </row>
    <row r="761" spans="1:33" ht="43.15">
      <c r="A761" s="253" t="s">
        <v>6269</v>
      </c>
      <c r="B761" s="289"/>
      <c r="C761" s="174" t="s">
        <v>6040</v>
      </c>
      <c r="D761" s="134" t="s">
        <v>6270</v>
      </c>
      <c r="E761" s="134" t="s">
        <v>6271</v>
      </c>
      <c r="F761" s="134" t="s">
        <v>6272</v>
      </c>
      <c r="G761" s="134" t="s">
        <v>6273</v>
      </c>
      <c r="H761" s="134" t="s">
        <v>6266</v>
      </c>
      <c r="I761" s="134" t="s">
        <v>6274</v>
      </c>
      <c r="J761" s="134" t="s">
        <v>1442</v>
      </c>
      <c r="K761" s="134" t="s">
        <v>6275</v>
      </c>
      <c r="L761" s="177" t="s">
        <v>1367</v>
      </c>
      <c r="M761" s="21" t="s">
        <v>1415</v>
      </c>
      <c r="O761" s="176" t="s">
        <v>1649</v>
      </c>
      <c r="P761" s="134" t="s">
        <v>22</v>
      </c>
    </row>
    <row r="762" spans="1:33" ht="43.15">
      <c r="A762" s="253" t="s">
        <v>6276</v>
      </c>
      <c r="B762" s="289"/>
      <c r="C762" s="174" t="s">
        <v>6040</v>
      </c>
      <c r="D762" s="134" t="s">
        <v>6277</v>
      </c>
      <c r="E762" s="134" t="s">
        <v>6278</v>
      </c>
      <c r="F762" s="134" t="s">
        <v>6104</v>
      </c>
      <c r="G762" s="134" t="s">
        <v>6279</v>
      </c>
      <c r="H762" s="134" t="s">
        <v>1442</v>
      </c>
      <c r="I762" s="134" t="s">
        <v>6280</v>
      </c>
      <c r="J762" s="134" t="s">
        <v>1442</v>
      </c>
      <c r="K762" s="134" t="s">
        <v>6281</v>
      </c>
      <c r="L762" s="175" t="s">
        <v>1381</v>
      </c>
      <c r="M762" s="21" t="s">
        <v>1415</v>
      </c>
      <c r="O762" s="176" t="s">
        <v>1649</v>
      </c>
      <c r="P762" s="134" t="s">
        <v>1481</v>
      </c>
    </row>
    <row r="763" spans="1:33" ht="43.15">
      <c r="A763" s="253" t="s">
        <v>6282</v>
      </c>
      <c r="B763" s="289"/>
      <c r="C763" s="174" t="s">
        <v>6040</v>
      </c>
      <c r="D763" s="134" t="s">
        <v>6283</v>
      </c>
      <c r="E763" s="134" t="s">
        <v>6284</v>
      </c>
      <c r="F763" s="134" t="s">
        <v>6104</v>
      </c>
      <c r="G763" s="134" t="s">
        <v>6285</v>
      </c>
      <c r="H763" s="134" t="s">
        <v>1442</v>
      </c>
      <c r="I763" s="134" t="s">
        <v>6286</v>
      </c>
      <c r="J763" s="134" t="s">
        <v>1442</v>
      </c>
      <c r="K763" s="134" t="s">
        <v>6287</v>
      </c>
      <c r="L763" s="175" t="s">
        <v>1381</v>
      </c>
      <c r="M763" s="21" t="s">
        <v>1415</v>
      </c>
      <c r="O763" s="176" t="s">
        <v>1649</v>
      </c>
      <c r="P763" s="134" t="s">
        <v>1481</v>
      </c>
    </row>
    <row r="764" spans="1:33" ht="57.6">
      <c r="A764" s="253" t="s">
        <v>6288</v>
      </c>
      <c r="B764" s="289"/>
      <c r="C764" s="174" t="s">
        <v>6040</v>
      </c>
      <c r="D764" s="134" t="s">
        <v>6289</v>
      </c>
      <c r="E764" s="134" t="s">
        <v>6290</v>
      </c>
      <c r="F764" s="134" t="s">
        <v>6291</v>
      </c>
      <c r="G764" s="134" t="s">
        <v>6292</v>
      </c>
      <c r="H764" s="134" t="s">
        <v>6293</v>
      </c>
      <c r="I764" s="134" t="s">
        <v>6294</v>
      </c>
      <c r="J764" s="134" t="s">
        <v>1442</v>
      </c>
      <c r="K764" s="134" t="s">
        <v>6295</v>
      </c>
      <c r="L764" s="177" t="s">
        <v>1367</v>
      </c>
      <c r="M764" s="21" t="s">
        <v>1415</v>
      </c>
      <c r="O764" s="176" t="s">
        <v>1649</v>
      </c>
      <c r="P764" s="134" t="s">
        <v>1481</v>
      </c>
    </row>
    <row r="765" spans="1:33" ht="43.15">
      <c r="A765" s="253" t="s">
        <v>6296</v>
      </c>
      <c r="B765" s="289"/>
      <c r="C765" s="174" t="s">
        <v>6040</v>
      </c>
      <c r="D765" s="134" t="s">
        <v>6297</v>
      </c>
      <c r="E765" s="134" t="s">
        <v>6298</v>
      </c>
      <c r="F765" s="134" t="s">
        <v>6077</v>
      </c>
      <c r="G765" s="134" t="s">
        <v>6299</v>
      </c>
      <c r="H765" s="134" t="s">
        <v>6300</v>
      </c>
      <c r="I765" s="134" t="s">
        <v>6301</v>
      </c>
      <c r="J765" s="134" t="s">
        <v>1442</v>
      </c>
      <c r="K765" s="134" t="s">
        <v>6302</v>
      </c>
      <c r="L765" s="175" t="s">
        <v>1381</v>
      </c>
      <c r="M765" s="21" t="s">
        <v>1415</v>
      </c>
      <c r="O765" s="176" t="s">
        <v>1649</v>
      </c>
      <c r="P765" s="134" t="s">
        <v>1371</v>
      </c>
    </row>
    <row r="766" spans="1:33" ht="28.9">
      <c r="A766" s="253" t="s">
        <v>6303</v>
      </c>
      <c r="B766" s="289"/>
      <c r="C766" s="174" t="s">
        <v>6040</v>
      </c>
      <c r="D766" s="134" t="s">
        <v>6304</v>
      </c>
      <c r="E766" s="134" t="s">
        <v>6305</v>
      </c>
      <c r="F766" s="134" t="s">
        <v>6306</v>
      </c>
      <c r="G766" s="134" t="s">
        <v>6307</v>
      </c>
      <c r="H766" s="134" t="s">
        <v>6308</v>
      </c>
      <c r="I766" s="134" t="s">
        <v>6309</v>
      </c>
      <c r="J766" s="134" t="s">
        <v>1442</v>
      </c>
      <c r="K766" s="134" t="s">
        <v>6310</v>
      </c>
      <c r="L766" s="177" t="s">
        <v>1367</v>
      </c>
      <c r="M766" s="21" t="s">
        <v>1415</v>
      </c>
      <c r="O766" s="176" t="s">
        <v>1649</v>
      </c>
      <c r="P766" s="134" t="s">
        <v>1481</v>
      </c>
    </row>
    <row r="767" spans="1:33" ht="43.15">
      <c r="A767" s="253" t="s">
        <v>6311</v>
      </c>
      <c r="B767" s="289"/>
      <c r="C767" s="174" t="s">
        <v>6040</v>
      </c>
      <c r="D767" s="134" t="s">
        <v>6312</v>
      </c>
      <c r="E767" s="134" t="s">
        <v>6313</v>
      </c>
      <c r="F767" s="134" t="s">
        <v>6314</v>
      </c>
      <c r="G767" s="134" t="s">
        <v>6315</v>
      </c>
      <c r="H767" s="134" t="s">
        <v>6316</v>
      </c>
      <c r="I767" s="134" t="s">
        <v>6317</v>
      </c>
      <c r="J767" s="134" t="s">
        <v>6318</v>
      </c>
      <c r="K767" s="134" t="s">
        <v>6319</v>
      </c>
      <c r="L767" s="177" t="s">
        <v>1367</v>
      </c>
      <c r="M767" s="21" t="s">
        <v>1415</v>
      </c>
      <c r="O767" s="176" t="s">
        <v>1649</v>
      </c>
      <c r="P767" s="134" t="s">
        <v>1371</v>
      </c>
      <c r="AG767" s="78"/>
    </row>
    <row r="768" spans="1:33" s="45" customFormat="1">
      <c r="A768" s="247"/>
      <c r="B768" s="289"/>
      <c r="C768" s="255"/>
      <c r="D768" s="188"/>
      <c r="E768" s="188"/>
      <c r="F768" s="188"/>
      <c r="G768" s="188"/>
      <c r="H768" s="188"/>
      <c r="I768" s="188"/>
      <c r="J768" s="188"/>
      <c r="K768" s="188"/>
      <c r="L768" s="192"/>
      <c r="M768" s="78"/>
      <c r="O768" s="236"/>
      <c r="P768" s="188"/>
      <c r="Q768" s="78"/>
      <c r="R768" s="303"/>
      <c r="W768" s="81"/>
      <c r="X768" s="81"/>
      <c r="AG768" s="21"/>
    </row>
    <row r="769" spans="1:16" ht="28.9">
      <c r="A769" s="253" t="s">
        <v>6320</v>
      </c>
      <c r="B769" s="289"/>
      <c r="C769" s="174" t="s">
        <v>6321</v>
      </c>
      <c r="D769" s="134" t="s">
        <v>6322</v>
      </c>
      <c r="E769" s="134" t="s">
        <v>6323</v>
      </c>
      <c r="F769" s="134" t="s">
        <v>6043</v>
      </c>
      <c r="G769" s="134" t="s">
        <v>6324</v>
      </c>
      <c r="H769" s="134" t="s">
        <v>1442</v>
      </c>
      <c r="I769" s="134" t="s">
        <v>6325</v>
      </c>
      <c r="J769" s="134" t="s">
        <v>1442</v>
      </c>
      <c r="K769" s="134" t="s">
        <v>6326</v>
      </c>
      <c r="L769" s="177" t="s">
        <v>1367</v>
      </c>
      <c r="M769" s="21" t="s">
        <v>1415</v>
      </c>
      <c r="O769" s="176" t="s">
        <v>1649</v>
      </c>
      <c r="P769" s="134" t="s">
        <v>22</v>
      </c>
    </row>
    <row r="770" spans="1:16" ht="43.15">
      <c r="A770" s="253" t="s">
        <v>6327</v>
      </c>
      <c r="B770" s="289"/>
      <c r="C770" s="174" t="s">
        <v>6321</v>
      </c>
      <c r="D770" s="134" t="s">
        <v>6328</v>
      </c>
      <c r="E770" s="134" t="s">
        <v>6329</v>
      </c>
      <c r="F770" s="134" t="s">
        <v>6330</v>
      </c>
      <c r="G770" s="134" t="s">
        <v>6331</v>
      </c>
      <c r="H770" s="134" t="s">
        <v>6332</v>
      </c>
      <c r="I770" s="134" t="s">
        <v>6333</v>
      </c>
      <c r="J770" s="134" t="s">
        <v>6334</v>
      </c>
      <c r="K770" s="134" t="s">
        <v>6335</v>
      </c>
      <c r="L770" s="177" t="s">
        <v>1367</v>
      </c>
      <c r="M770" s="21" t="s">
        <v>1415</v>
      </c>
      <c r="O770" s="176" t="s">
        <v>1649</v>
      </c>
      <c r="P770" s="134" t="s">
        <v>1393</v>
      </c>
    </row>
    <row r="771" spans="1:16" ht="43.15">
      <c r="A771" s="253" t="s">
        <v>6336</v>
      </c>
      <c r="B771" s="289"/>
      <c r="C771" s="174" t="s">
        <v>6321</v>
      </c>
      <c r="D771" s="134" t="s">
        <v>6337</v>
      </c>
      <c r="E771" s="134" t="s">
        <v>6338</v>
      </c>
      <c r="F771" s="134" t="s">
        <v>6339</v>
      </c>
      <c r="G771" s="134" t="s">
        <v>6340</v>
      </c>
      <c r="H771" s="134" t="s">
        <v>6341</v>
      </c>
      <c r="I771" s="134" t="s">
        <v>6342</v>
      </c>
      <c r="J771" s="134" t="s">
        <v>6343</v>
      </c>
      <c r="K771" s="134" t="s">
        <v>6344</v>
      </c>
      <c r="L771" s="177" t="s">
        <v>1367</v>
      </c>
      <c r="M771" s="21" t="s">
        <v>1415</v>
      </c>
      <c r="O771" s="176" t="s">
        <v>1649</v>
      </c>
      <c r="P771" s="134" t="s">
        <v>1393</v>
      </c>
    </row>
    <row r="772" spans="1:16" ht="43.15">
      <c r="A772" s="253" t="s">
        <v>6345</v>
      </c>
      <c r="B772" s="289"/>
      <c r="C772" s="174" t="s">
        <v>6321</v>
      </c>
      <c r="D772" s="134" t="s">
        <v>6346</v>
      </c>
      <c r="E772" s="134" t="s">
        <v>6347</v>
      </c>
      <c r="F772" s="134" t="s">
        <v>6348</v>
      </c>
      <c r="G772" s="134" t="s">
        <v>6349</v>
      </c>
      <c r="H772" s="134" t="s">
        <v>1442</v>
      </c>
      <c r="I772" s="134" t="s">
        <v>6350</v>
      </c>
      <c r="J772" s="134" t="s">
        <v>6351</v>
      </c>
      <c r="K772" s="134" t="s">
        <v>6352</v>
      </c>
      <c r="L772" s="177" t="s">
        <v>1367</v>
      </c>
      <c r="M772" s="21" t="s">
        <v>1415</v>
      </c>
      <c r="O772" s="176" t="s">
        <v>1649</v>
      </c>
      <c r="P772" s="134" t="s">
        <v>22</v>
      </c>
    </row>
    <row r="773" spans="1:16" ht="57.6">
      <c r="A773" s="253" t="s">
        <v>6353</v>
      </c>
      <c r="B773" s="289"/>
      <c r="C773" s="174" t="s">
        <v>6321</v>
      </c>
      <c r="D773" s="134" t="s">
        <v>6354</v>
      </c>
      <c r="E773" s="134" t="s">
        <v>6355</v>
      </c>
      <c r="F773" s="134" t="s">
        <v>6348</v>
      </c>
      <c r="G773" s="134" t="s">
        <v>6356</v>
      </c>
      <c r="H773" s="134" t="s">
        <v>1442</v>
      </c>
      <c r="I773" s="134" t="s">
        <v>6357</v>
      </c>
      <c r="J773" s="134" t="s">
        <v>6351</v>
      </c>
      <c r="K773" s="134" t="s">
        <v>6358</v>
      </c>
      <c r="L773" s="177" t="s">
        <v>1367</v>
      </c>
      <c r="M773" s="21" t="s">
        <v>1415</v>
      </c>
      <c r="O773" s="176" t="s">
        <v>1649</v>
      </c>
      <c r="P773" s="134" t="s">
        <v>22</v>
      </c>
    </row>
    <row r="774" spans="1:16" ht="43.15">
      <c r="A774" s="253" t="s">
        <v>6359</v>
      </c>
      <c r="B774" s="289"/>
      <c r="C774" s="174" t="s">
        <v>6321</v>
      </c>
      <c r="D774" s="134" t="s">
        <v>6360</v>
      </c>
      <c r="E774" s="134" t="s">
        <v>6361</v>
      </c>
      <c r="F774" s="134" t="s">
        <v>6362</v>
      </c>
      <c r="G774" s="134" t="s">
        <v>6363</v>
      </c>
      <c r="H774" s="134" t="s">
        <v>4873</v>
      </c>
      <c r="I774" s="134" t="s">
        <v>6364</v>
      </c>
      <c r="J774" s="134" t="s">
        <v>6365</v>
      </c>
      <c r="K774" s="134" t="s">
        <v>6366</v>
      </c>
      <c r="L774" s="177" t="s">
        <v>1367</v>
      </c>
      <c r="M774" s="21" t="s">
        <v>1415</v>
      </c>
      <c r="O774" s="176" t="s">
        <v>1649</v>
      </c>
      <c r="P774" s="134" t="s">
        <v>1393</v>
      </c>
    </row>
    <row r="775" spans="1:16" ht="28.9">
      <c r="A775" s="253" t="s">
        <v>6367</v>
      </c>
      <c r="B775" s="289"/>
      <c r="C775" s="174" t="s">
        <v>6321</v>
      </c>
      <c r="D775" s="134" t="s">
        <v>6368</v>
      </c>
      <c r="E775" s="134" t="s">
        <v>6369</v>
      </c>
      <c r="F775" s="134" t="s">
        <v>4871</v>
      </c>
      <c r="G775" s="134" t="s">
        <v>6370</v>
      </c>
      <c r="H775" s="134" t="s">
        <v>4873</v>
      </c>
      <c r="I775" s="134" t="s">
        <v>4874</v>
      </c>
      <c r="J775" s="134" t="s">
        <v>1442</v>
      </c>
      <c r="K775" s="134" t="s">
        <v>6371</v>
      </c>
      <c r="L775" s="177" t="s">
        <v>1367</v>
      </c>
      <c r="M775" s="21" t="s">
        <v>1415</v>
      </c>
      <c r="O775" s="176" t="s">
        <v>1649</v>
      </c>
      <c r="P775" s="134" t="s">
        <v>22</v>
      </c>
    </row>
    <row r="776" spans="1:16" ht="28.9">
      <c r="A776" s="253" t="s">
        <v>6372</v>
      </c>
      <c r="B776" s="289"/>
      <c r="C776" s="174" t="s">
        <v>6321</v>
      </c>
      <c r="D776" s="134" t="s">
        <v>6373</v>
      </c>
      <c r="E776" s="134" t="s">
        <v>6374</v>
      </c>
      <c r="F776" s="134" t="s">
        <v>6375</v>
      </c>
      <c r="G776" s="134" t="s">
        <v>6376</v>
      </c>
      <c r="H776" s="134" t="s">
        <v>6377</v>
      </c>
      <c r="I776" s="134" t="s">
        <v>6378</v>
      </c>
      <c r="J776" s="134" t="s">
        <v>6379</v>
      </c>
      <c r="K776" s="134" t="s">
        <v>6380</v>
      </c>
      <c r="L776" s="177" t="s">
        <v>1367</v>
      </c>
      <c r="M776" s="21" t="s">
        <v>1415</v>
      </c>
      <c r="O776" s="176" t="s">
        <v>1649</v>
      </c>
      <c r="P776" s="134" t="s">
        <v>22</v>
      </c>
    </row>
    <row r="777" spans="1:16" ht="43.15">
      <c r="A777" s="253" t="s">
        <v>6381</v>
      </c>
      <c r="B777" s="289"/>
      <c r="C777" s="174" t="s">
        <v>6321</v>
      </c>
      <c r="D777" s="134" t="s">
        <v>6382</v>
      </c>
      <c r="E777" s="134" t="s">
        <v>6383</v>
      </c>
      <c r="F777" s="134" t="s">
        <v>6384</v>
      </c>
      <c r="G777" s="134" t="s">
        <v>6385</v>
      </c>
      <c r="H777" s="134" t="s">
        <v>6386</v>
      </c>
      <c r="I777" s="134" t="s">
        <v>6387</v>
      </c>
      <c r="J777" s="134" t="s">
        <v>6388</v>
      </c>
      <c r="K777" s="134" t="s">
        <v>6389</v>
      </c>
      <c r="L777" s="177" t="s">
        <v>1367</v>
      </c>
      <c r="M777" s="21" t="s">
        <v>1415</v>
      </c>
      <c r="O777" s="176" t="s">
        <v>1649</v>
      </c>
      <c r="P777" s="134" t="s">
        <v>1393</v>
      </c>
    </row>
    <row r="778" spans="1:16" ht="28.9">
      <c r="A778" s="253" t="s">
        <v>6390</v>
      </c>
      <c r="B778" s="289"/>
      <c r="C778" s="174" t="s">
        <v>6321</v>
      </c>
      <c r="D778" s="134" t="s">
        <v>6391</v>
      </c>
      <c r="E778" s="134" t="s">
        <v>6392</v>
      </c>
      <c r="F778" s="134" t="s">
        <v>6393</v>
      </c>
      <c r="G778" s="134" t="s">
        <v>6394</v>
      </c>
      <c r="H778" s="134" t="s">
        <v>1442</v>
      </c>
      <c r="I778" s="134" t="s">
        <v>6395</v>
      </c>
      <c r="J778" s="134" t="s">
        <v>6396</v>
      </c>
      <c r="K778" s="134" t="s">
        <v>6397</v>
      </c>
      <c r="L778" s="177" t="s">
        <v>1367</v>
      </c>
      <c r="M778" s="21" t="s">
        <v>1415</v>
      </c>
      <c r="O778" s="176" t="s">
        <v>1649</v>
      </c>
      <c r="P778" s="134" t="s">
        <v>1371</v>
      </c>
    </row>
    <row r="779" spans="1:16" ht="43.15">
      <c r="A779" s="253" t="s">
        <v>6398</v>
      </c>
      <c r="B779" s="289"/>
      <c r="C779" s="174" t="s">
        <v>6321</v>
      </c>
      <c r="D779" s="134" t="s">
        <v>6399</v>
      </c>
      <c r="E779" s="134" t="s">
        <v>6400</v>
      </c>
      <c r="F779" s="134" t="s">
        <v>6401</v>
      </c>
      <c r="G779" s="134" t="s">
        <v>6402</v>
      </c>
      <c r="H779" s="134" t="s">
        <v>6403</v>
      </c>
      <c r="I779" s="134" t="s">
        <v>6404</v>
      </c>
      <c r="J779" s="134" t="s">
        <v>6405</v>
      </c>
      <c r="K779" s="134" t="s">
        <v>6406</v>
      </c>
      <c r="L779" s="177" t="s">
        <v>1367</v>
      </c>
      <c r="M779" s="21" t="s">
        <v>1415</v>
      </c>
      <c r="O779" s="176" t="s">
        <v>1649</v>
      </c>
      <c r="P779" s="134" t="s">
        <v>22</v>
      </c>
    </row>
    <row r="780" spans="1:16" ht="28.9">
      <c r="A780" s="253" t="s">
        <v>6407</v>
      </c>
      <c r="B780" s="289"/>
      <c r="C780" s="174" t="s">
        <v>6321</v>
      </c>
      <c r="D780" s="134" t="s">
        <v>6408</v>
      </c>
      <c r="E780" s="134" t="s">
        <v>6409</v>
      </c>
      <c r="F780" s="134" t="s">
        <v>6375</v>
      </c>
      <c r="G780" s="134" t="s">
        <v>6410</v>
      </c>
      <c r="H780" s="134" t="s">
        <v>1442</v>
      </c>
      <c r="I780" s="134" t="s">
        <v>6411</v>
      </c>
      <c r="J780" s="134" t="s">
        <v>1442</v>
      </c>
      <c r="K780" s="134" t="s">
        <v>6412</v>
      </c>
      <c r="L780" s="177" t="s">
        <v>1367</v>
      </c>
      <c r="M780" s="21" t="s">
        <v>1415</v>
      </c>
      <c r="O780" s="176" t="s">
        <v>1649</v>
      </c>
      <c r="P780" s="134" t="s">
        <v>1481</v>
      </c>
    </row>
    <row r="781" spans="1:16" ht="28.9">
      <c r="A781" s="253" t="s">
        <v>6413</v>
      </c>
      <c r="B781" s="289"/>
      <c r="C781" s="174" t="s">
        <v>6321</v>
      </c>
      <c r="D781" s="134" t="s">
        <v>6414</v>
      </c>
      <c r="E781" s="134" t="s">
        <v>6415</v>
      </c>
      <c r="F781" s="134" t="s">
        <v>6375</v>
      </c>
      <c r="G781" s="134" t="s">
        <v>6416</v>
      </c>
      <c r="H781" s="134" t="s">
        <v>1442</v>
      </c>
      <c r="I781" s="134" t="s">
        <v>6417</v>
      </c>
      <c r="J781" s="134" t="s">
        <v>1442</v>
      </c>
      <c r="K781" s="134" t="s">
        <v>6418</v>
      </c>
      <c r="L781" s="177" t="s">
        <v>1367</v>
      </c>
      <c r="M781" s="21" t="s">
        <v>1415</v>
      </c>
      <c r="O781" s="176" t="s">
        <v>1649</v>
      </c>
      <c r="P781" s="134" t="s">
        <v>1481</v>
      </c>
    </row>
    <row r="782" spans="1:16" ht="28.9">
      <c r="A782" s="253" t="s">
        <v>6419</v>
      </c>
      <c r="B782" s="289"/>
      <c r="C782" s="174" t="s">
        <v>6321</v>
      </c>
      <c r="D782" s="134" t="s">
        <v>6420</v>
      </c>
      <c r="E782" s="134" t="s">
        <v>6421</v>
      </c>
      <c r="F782" s="134" t="s">
        <v>6375</v>
      </c>
      <c r="G782" s="134" t="s">
        <v>6422</v>
      </c>
      <c r="H782" s="134" t="s">
        <v>1442</v>
      </c>
      <c r="I782" s="134" t="s">
        <v>6423</v>
      </c>
      <c r="J782" s="134" t="s">
        <v>1442</v>
      </c>
      <c r="K782" s="134" t="s">
        <v>6424</v>
      </c>
      <c r="L782" s="177" t="s">
        <v>1367</v>
      </c>
      <c r="M782" s="21" t="s">
        <v>1415</v>
      </c>
      <c r="O782" s="176" t="s">
        <v>1649</v>
      </c>
      <c r="P782" s="134" t="s">
        <v>1481</v>
      </c>
    </row>
    <row r="783" spans="1:16" ht="28.9">
      <c r="A783" s="253" t="s">
        <v>6425</v>
      </c>
      <c r="B783" s="289"/>
      <c r="C783" s="174" t="s">
        <v>6321</v>
      </c>
      <c r="D783" s="134" t="s">
        <v>6426</v>
      </c>
      <c r="E783" s="134" t="s">
        <v>6427</v>
      </c>
      <c r="F783" s="134" t="s">
        <v>6375</v>
      </c>
      <c r="G783" s="134" t="s">
        <v>6428</v>
      </c>
      <c r="H783" s="134" t="s">
        <v>1442</v>
      </c>
      <c r="I783" s="134" t="s">
        <v>6429</v>
      </c>
      <c r="J783" s="134" t="s">
        <v>1442</v>
      </c>
      <c r="K783" s="134" t="s">
        <v>6430</v>
      </c>
      <c r="L783" s="177" t="s">
        <v>1367</v>
      </c>
      <c r="M783" s="21" t="s">
        <v>1415</v>
      </c>
      <c r="O783" s="176" t="s">
        <v>1649</v>
      </c>
      <c r="P783" s="134" t="s">
        <v>1481</v>
      </c>
    </row>
    <row r="784" spans="1:16" ht="43.15">
      <c r="A784" s="253" t="s">
        <v>6431</v>
      </c>
      <c r="B784" s="289"/>
      <c r="C784" s="174" t="s">
        <v>6321</v>
      </c>
      <c r="D784" s="134" t="s">
        <v>6432</v>
      </c>
      <c r="E784" s="134" t="s">
        <v>6433</v>
      </c>
      <c r="F784" s="134" t="s">
        <v>6434</v>
      </c>
      <c r="G784" s="134" t="s">
        <v>6435</v>
      </c>
      <c r="H784" s="134" t="s">
        <v>6436</v>
      </c>
      <c r="I784" s="134" t="s">
        <v>6437</v>
      </c>
      <c r="J784" s="134" t="s">
        <v>6438</v>
      </c>
      <c r="K784" s="134" t="s">
        <v>6439</v>
      </c>
      <c r="L784" s="177" t="s">
        <v>1367</v>
      </c>
      <c r="M784" s="21" t="s">
        <v>1415</v>
      </c>
      <c r="O784" s="176" t="s">
        <v>1649</v>
      </c>
      <c r="P784" s="134" t="s">
        <v>22</v>
      </c>
    </row>
    <row r="785" spans="1:33" ht="28.9">
      <c r="A785" s="253" t="s">
        <v>6440</v>
      </c>
      <c r="B785" s="289"/>
      <c r="C785" s="174" t="s">
        <v>6321</v>
      </c>
      <c r="D785" s="134" t="s">
        <v>6441</v>
      </c>
      <c r="E785" s="134" t="s">
        <v>6442</v>
      </c>
      <c r="F785" s="134" t="s">
        <v>1440</v>
      </c>
      <c r="G785" s="134" t="s">
        <v>6443</v>
      </c>
      <c r="H785" s="134" t="s">
        <v>6444</v>
      </c>
      <c r="I785" s="134" t="s">
        <v>6230</v>
      </c>
      <c r="J785" s="134" t="s">
        <v>6231</v>
      </c>
      <c r="K785" s="134" t="s">
        <v>1789</v>
      </c>
      <c r="L785" s="177" t="s">
        <v>1367</v>
      </c>
      <c r="M785" s="21" t="s">
        <v>1415</v>
      </c>
      <c r="O785" s="176" t="s">
        <v>1649</v>
      </c>
      <c r="P785" s="134" t="s">
        <v>22</v>
      </c>
    </row>
    <row r="786" spans="1:33" ht="28.9">
      <c r="A786" s="253" t="s">
        <v>6445</v>
      </c>
      <c r="B786" s="289"/>
      <c r="C786" s="174" t="s">
        <v>6321</v>
      </c>
      <c r="D786" s="134" t="s">
        <v>6446</v>
      </c>
      <c r="E786" s="134" t="s">
        <v>6447</v>
      </c>
      <c r="F786" s="134" t="s">
        <v>6178</v>
      </c>
      <c r="G786" s="134" t="s">
        <v>6448</v>
      </c>
      <c r="H786" s="134" t="s">
        <v>6180</v>
      </c>
      <c r="I786" s="134" t="s">
        <v>6181</v>
      </c>
      <c r="J786" s="134" t="s">
        <v>4926</v>
      </c>
      <c r="K786" s="134" t="s">
        <v>4927</v>
      </c>
      <c r="L786" s="177" t="s">
        <v>1367</v>
      </c>
      <c r="M786" s="21" t="s">
        <v>1415</v>
      </c>
      <c r="O786" s="176" t="s">
        <v>1649</v>
      </c>
      <c r="P786" s="134" t="s">
        <v>1481</v>
      </c>
    </row>
    <row r="787" spans="1:33" ht="43.15">
      <c r="A787" s="253" t="s">
        <v>6449</v>
      </c>
      <c r="B787" s="289"/>
      <c r="C787" s="174" t="s">
        <v>6321</v>
      </c>
      <c r="D787" s="134" t="s">
        <v>6450</v>
      </c>
      <c r="E787" s="134" t="s">
        <v>6451</v>
      </c>
      <c r="F787" s="134" t="s">
        <v>6452</v>
      </c>
      <c r="G787" s="134" t="s">
        <v>6453</v>
      </c>
      <c r="H787" s="134" t="s">
        <v>6454</v>
      </c>
      <c r="I787" s="134" t="s">
        <v>6455</v>
      </c>
      <c r="J787" s="134" t="s">
        <v>1442</v>
      </c>
      <c r="K787" s="134" t="s">
        <v>6456</v>
      </c>
      <c r="L787" s="177" t="s">
        <v>1367</v>
      </c>
      <c r="M787" s="21" t="s">
        <v>1415</v>
      </c>
      <c r="O787" s="176" t="s">
        <v>1649</v>
      </c>
      <c r="P787" s="134" t="s">
        <v>22</v>
      </c>
    </row>
    <row r="788" spans="1:33" ht="43.15">
      <c r="A788" s="253" t="s">
        <v>6457</v>
      </c>
      <c r="B788" s="289"/>
      <c r="C788" s="174" t="s">
        <v>6321</v>
      </c>
      <c r="D788" s="134" t="s">
        <v>6458</v>
      </c>
      <c r="E788" s="134" t="s">
        <v>6459</v>
      </c>
      <c r="F788" s="134" t="s">
        <v>6460</v>
      </c>
      <c r="G788" s="134" t="s">
        <v>6461</v>
      </c>
      <c r="H788" s="134" t="s">
        <v>1442</v>
      </c>
      <c r="I788" s="134" t="s">
        <v>6462</v>
      </c>
      <c r="J788" s="134" t="s">
        <v>6463</v>
      </c>
      <c r="K788" s="134" t="s">
        <v>6464</v>
      </c>
      <c r="L788" s="177" t="s">
        <v>1367</v>
      </c>
      <c r="M788" s="21" t="s">
        <v>1415</v>
      </c>
      <c r="O788" s="176" t="s">
        <v>1649</v>
      </c>
      <c r="P788" s="134" t="s">
        <v>1481</v>
      </c>
    </row>
    <row r="789" spans="1:33" ht="57.6">
      <c r="A789" s="253" t="s">
        <v>6465</v>
      </c>
      <c r="B789" s="289"/>
      <c r="C789" s="174" t="s">
        <v>6321</v>
      </c>
      <c r="D789" s="134" t="s">
        <v>6466</v>
      </c>
      <c r="E789" s="134" t="s">
        <v>6467</v>
      </c>
      <c r="F789" s="134" t="s">
        <v>6468</v>
      </c>
      <c r="G789" s="134" t="s">
        <v>6469</v>
      </c>
      <c r="H789" s="134" t="s">
        <v>1442</v>
      </c>
      <c r="I789" s="134" t="s">
        <v>6470</v>
      </c>
      <c r="J789" s="134" t="s">
        <v>6471</v>
      </c>
      <c r="K789" s="134" t="s">
        <v>6472</v>
      </c>
      <c r="L789" s="177" t="s">
        <v>1367</v>
      </c>
      <c r="M789" s="21" t="s">
        <v>1415</v>
      </c>
      <c r="O789" s="176" t="s">
        <v>1649</v>
      </c>
      <c r="P789" s="134" t="s">
        <v>22</v>
      </c>
    </row>
    <row r="790" spans="1:33" ht="28.9">
      <c r="A790" s="253" t="s">
        <v>6473</v>
      </c>
      <c r="B790" s="289"/>
      <c r="C790" s="174" t="s">
        <v>6321</v>
      </c>
      <c r="D790" s="134" t="s">
        <v>6474</v>
      </c>
      <c r="E790" s="134" t="s">
        <v>6475</v>
      </c>
      <c r="F790" s="134" t="s">
        <v>6375</v>
      </c>
      <c r="G790" s="134" t="s">
        <v>6476</v>
      </c>
      <c r="H790" s="134" t="s">
        <v>6477</v>
      </c>
      <c r="I790" s="134" t="s">
        <v>6478</v>
      </c>
      <c r="J790" s="134" t="s">
        <v>1442</v>
      </c>
      <c r="K790" s="134" t="s">
        <v>6479</v>
      </c>
      <c r="L790" s="177" t="s">
        <v>1367</v>
      </c>
      <c r="M790" s="21" t="s">
        <v>1415</v>
      </c>
      <c r="O790" s="176" t="s">
        <v>1649</v>
      </c>
      <c r="P790" s="134" t="s">
        <v>1371</v>
      </c>
    </row>
    <row r="791" spans="1:33" ht="28.9">
      <c r="A791" s="253" t="s">
        <v>6480</v>
      </c>
      <c r="B791" s="289"/>
      <c r="C791" s="174" t="s">
        <v>6321</v>
      </c>
      <c r="D791" s="134" t="s">
        <v>6481</v>
      </c>
      <c r="E791" s="134" t="s">
        <v>6482</v>
      </c>
      <c r="F791" s="134" t="s">
        <v>6483</v>
      </c>
      <c r="G791" s="134" t="s">
        <v>6484</v>
      </c>
      <c r="H791" s="134" t="s">
        <v>6485</v>
      </c>
      <c r="I791" s="134" t="s">
        <v>6486</v>
      </c>
      <c r="J791" s="134" t="s">
        <v>1442</v>
      </c>
      <c r="K791" s="134" t="s">
        <v>6487</v>
      </c>
      <c r="L791" s="177" t="s">
        <v>1367</v>
      </c>
      <c r="M791" s="21" t="s">
        <v>1415</v>
      </c>
      <c r="O791" s="176" t="s">
        <v>1649</v>
      </c>
      <c r="P791" s="134" t="s">
        <v>1371</v>
      </c>
    </row>
    <row r="792" spans="1:33" ht="28.9">
      <c r="A792" s="253" t="s">
        <v>6488</v>
      </c>
      <c r="B792" s="289"/>
      <c r="C792" s="174" t="s">
        <v>6321</v>
      </c>
      <c r="D792" s="134" t="s">
        <v>6489</v>
      </c>
      <c r="E792" s="134" t="s">
        <v>6490</v>
      </c>
      <c r="F792" s="134" t="s">
        <v>6375</v>
      </c>
      <c r="G792" s="134" t="s">
        <v>6491</v>
      </c>
      <c r="H792" s="134" t="s">
        <v>1442</v>
      </c>
      <c r="I792" s="134" t="s">
        <v>6492</v>
      </c>
      <c r="J792" s="134" t="s">
        <v>1442</v>
      </c>
      <c r="K792" s="134" t="s">
        <v>6493</v>
      </c>
      <c r="L792" s="177" t="s">
        <v>1367</v>
      </c>
      <c r="M792" s="21" t="s">
        <v>1415</v>
      </c>
      <c r="O792" s="176" t="s">
        <v>1649</v>
      </c>
      <c r="P792" s="134" t="s">
        <v>1481</v>
      </c>
    </row>
    <row r="793" spans="1:33" ht="28.9">
      <c r="A793" s="253" t="s">
        <v>6494</v>
      </c>
      <c r="B793" s="289"/>
      <c r="C793" s="174" t="s">
        <v>6321</v>
      </c>
      <c r="D793" s="134" t="s">
        <v>6495</v>
      </c>
      <c r="E793" s="134" t="s">
        <v>6496</v>
      </c>
      <c r="F793" s="134" t="s">
        <v>6375</v>
      </c>
      <c r="G793" s="134" t="s">
        <v>6497</v>
      </c>
      <c r="H793" s="134" t="s">
        <v>1442</v>
      </c>
      <c r="I793" s="134" t="s">
        <v>6498</v>
      </c>
      <c r="J793" s="134" t="s">
        <v>1442</v>
      </c>
      <c r="K793" s="134" t="s">
        <v>6499</v>
      </c>
      <c r="L793" s="177" t="s">
        <v>1367</v>
      </c>
      <c r="M793" s="21" t="s">
        <v>1415</v>
      </c>
      <c r="O793" s="176" t="s">
        <v>1649</v>
      </c>
      <c r="P793" s="134" t="s">
        <v>1481</v>
      </c>
    </row>
    <row r="794" spans="1:33" ht="57.6">
      <c r="A794" s="253" t="s">
        <v>6500</v>
      </c>
      <c r="B794" s="289"/>
      <c r="C794" s="174" t="s">
        <v>6321</v>
      </c>
      <c r="D794" s="134" t="s">
        <v>6501</v>
      </c>
      <c r="E794" s="134" t="s">
        <v>6502</v>
      </c>
      <c r="F794" s="134" t="s">
        <v>6503</v>
      </c>
      <c r="G794" s="134" t="s">
        <v>6504</v>
      </c>
      <c r="H794" s="134" t="s">
        <v>6505</v>
      </c>
      <c r="I794" s="134" t="s">
        <v>6506</v>
      </c>
      <c r="J794" s="134" t="s">
        <v>6507</v>
      </c>
      <c r="K794" s="134" t="s">
        <v>6508</v>
      </c>
      <c r="L794" s="177" t="s">
        <v>1367</v>
      </c>
      <c r="M794" s="21" t="s">
        <v>1415</v>
      </c>
      <c r="O794" s="176" t="s">
        <v>1649</v>
      </c>
      <c r="P794" s="134" t="s">
        <v>1393</v>
      </c>
    </row>
    <row r="795" spans="1:33" ht="43.15">
      <c r="A795" s="253" t="s">
        <v>6509</v>
      </c>
      <c r="B795" s="289"/>
      <c r="C795" s="174" t="s">
        <v>6321</v>
      </c>
      <c r="D795" s="134" t="s">
        <v>6510</v>
      </c>
      <c r="E795" s="134" t="s">
        <v>6511</v>
      </c>
      <c r="F795" s="134" t="s">
        <v>6512</v>
      </c>
      <c r="G795" s="134" t="s">
        <v>6513</v>
      </c>
      <c r="H795" s="134" t="s">
        <v>6514</v>
      </c>
      <c r="I795" s="134" t="s">
        <v>6515</v>
      </c>
      <c r="J795" s="134" t="s">
        <v>6516</v>
      </c>
      <c r="K795" s="134" t="s">
        <v>6517</v>
      </c>
      <c r="L795" s="177" t="s">
        <v>1367</v>
      </c>
      <c r="M795" s="21" t="s">
        <v>1415</v>
      </c>
      <c r="O795" s="176" t="s">
        <v>1649</v>
      </c>
      <c r="P795" s="134" t="s">
        <v>22</v>
      </c>
    </row>
    <row r="796" spans="1:33" ht="57.6">
      <c r="A796" s="253" t="s">
        <v>6518</v>
      </c>
      <c r="B796" s="289"/>
      <c r="C796" s="174" t="s">
        <v>6321</v>
      </c>
      <c r="D796" s="134" t="s">
        <v>6519</v>
      </c>
      <c r="E796" s="134" t="s">
        <v>6520</v>
      </c>
      <c r="F796" s="134" t="s">
        <v>6375</v>
      </c>
      <c r="G796" s="134" t="s">
        <v>6521</v>
      </c>
      <c r="H796" s="134" t="s">
        <v>1442</v>
      </c>
      <c r="I796" s="134" t="s">
        <v>6522</v>
      </c>
      <c r="J796" s="134" t="s">
        <v>1442</v>
      </c>
      <c r="K796" s="134" t="s">
        <v>6523</v>
      </c>
      <c r="L796" s="175" t="s">
        <v>1381</v>
      </c>
      <c r="M796" s="21" t="s">
        <v>1415</v>
      </c>
      <c r="O796" s="176" t="s">
        <v>1649</v>
      </c>
      <c r="P796" s="134" t="s">
        <v>1481</v>
      </c>
    </row>
    <row r="797" spans="1:33" ht="43.15">
      <c r="A797" s="253" t="s">
        <v>6524</v>
      </c>
      <c r="B797" s="289"/>
      <c r="C797" s="174" t="s">
        <v>6321</v>
      </c>
      <c r="D797" s="134" t="s">
        <v>6525</v>
      </c>
      <c r="E797" s="134" t="s">
        <v>6526</v>
      </c>
      <c r="F797" s="134" t="s">
        <v>6527</v>
      </c>
      <c r="G797" s="134" t="s">
        <v>6528</v>
      </c>
      <c r="H797" s="134" t="s">
        <v>1442</v>
      </c>
      <c r="I797" s="134" t="s">
        <v>6529</v>
      </c>
      <c r="J797" s="134" t="s">
        <v>1442</v>
      </c>
      <c r="K797" s="134" t="s">
        <v>6530</v>
      </c>
      <c r="L797" s="175" t="s">
        <v>1381</v>
      </c>
      <c r="M797" s="21" t="s">
        <v>1415</v>
      </c>
      <c r="O797" s="176" t="s">
        <v>1649</v>
      </c>
      <c r="P797" s="134" t="s">
        <v>1371</v>
      </c>
    </row>
    <row r="798" spans="1:33" ht="43.15">
      <c r="A798" s="253" t="s">
        <v>6531</v>
      </c>
      <c r="B798" s="289"/>
      <c r="C798" s="233" t="s">
        <v>6321</v>
      </c>
      <c r="D798" s="134" t="s">
        <v>6532</v>
      </c>
      <c r="E798" s="134" t="s">
        <v>6533</v>
      </c>
      <c r="F798" s="134" t="s">
        <v>6375</v>
      </c>
      <c r="G798" s="134" t="s">
        <v>6534</v>
      </c>
      <c r="H798" s="134" t="s">
        <v>1442</v>
      </c>
      <c r="I798" s="134" t="s">
        <v>6535</v>
      </c>
      <c r="J798" s="134" t="s">
        <v>1442</v>
      </c>
      <c r="K798" s="134" t="s">
        <v>6536</v>
      </c>
      <c r="L798" s="175" t="s">
        <v>1381</v>
      </c>
      <c r="M798" s="21" t="s">
        <v>1415</v>
      </c>
      <c r="O798" s="176" t="s">
        <v>1649</v>
      </c>
      <c r="P798" s="134" t="s">
        <v>1481</v>
      </c>
    </row>
    <row r="799" spans="1:33" ht="43.15">
      <c r="A799" s="253" t="s">
        <v>6537</v>
      </c>
      <c r="B799" s="289"/>
      <c r="C799" s="174" t="s">
        <v>6321</v>
      </c>
      <c r="D799" s="134" t="s">
        <v>6538</v>
      </c>
      <c r="E799" s="134" t="s">
        <v>6539</v>
      </c>
      <c r="F799" s="134" t="s">
        <v>6540</v>
      </c>
      <c r="G799" s="134" t="s">
        <v>6541</v>
      </c>
      <c r="H799" s="134" t="s">
        <v>6542</v>
      </c>
      <c r="I799" s="134" t="s">
        <v>6543</v>
      </c>
      <c r="J799" s="134" t="s">
        <v>1442</v>
      </c>
      <c r="K799" s="134" t="s">
        <v>6544</v>
      </c>
      <c r="L799" s="177" t="s">
        <v>1367</v>
      </c>
      <c r="M799" s="21" t="s">
        <v>1415</v>
      </c>
      <c r="O799" s="176" t="s">
        <v>1649</v>
      </c>
      <c r="P799" s="134" t="s">
        <v>1481</v>
      </c>
    </row>
    <row r="800" spans="1:33" ht="57.6">
      <c r="A800" s="253" t="s">
        <v>6545</v>
      </c>
      <c r="B800" s="289"/>
      <c r="C800" s="174" t="s">
        <v>6321</v>
      </c>
      <c r="D800" s="134" t="s">
        <v>6546</v>
      </c>
      <c r="E800" s="134" t="s">
        <v>6547</v>
      </c>
      <c r="F800" s="134" t="s">
        <v>6548</v>
      </c>
      <c r="G800" s="134" t="s">
        <v>6549</v>
      </c>
      <c r="H800" s="134" t="s">
        <v>6550</v>
      </c>
      <c r="I800" s="134" t="s">
        <v>6551</v>
      </c>
      <c r="J800" s="134" t="s">
        <v>6552</v>
      </c>
      <c r="K800" s="134" t="s">
        <v>6553</v>
      </c>
      <c r="L800" s="177" t="s">
        <v>1367</v>
      </c>
      <c r="M800" s="21" t="s">
        <v>1415</v>
      </c>
      <c r="O800" s="176" t="s">
        <v>1649</v>
      </c>
      <c r="P800" s="134" t="s">
        <v>1371</v>
      </c>
      <c r="AG800" s="78"/>
    </row>
    <row r="801" spans="1:33" s="45" customFormat="1">
      <c r="A801" s="247"/>
      <c r="B801" s="289"/>
      <c r="C801" s="234"/>
      <c r="D801" s="188"/>
      <c r="E801" s="188"/>
      <c r="F801" s="188"/>
      <c r="G801" s="188"/>
      <c r="H801" s="188"/>
      <c r="I801" s="188"/>
      <c r="J801" s="188"/>
      <c r="K801" s="188"/>
      <c r="L801" s="192"/>
      <c r="M801" s="236"/>
      <c r="O801" s="236"/>
      <c r="P801" s="188"/>
      <c r="Q801" s="78"/>
      <c r="R801" s="303"/>
      <c r="W801" s="81"/>
      <c r="X801" s="81"/>
      <c r="AG801" s="21"/>
    </row>
    <row r="802" spans="1:33" ht="66">
      <c r="A802" s="253" t="s">
        <v>6554</v>
      </c>
      <c r="B802" s="289"/>
      <c r="C802" s="87" t="s">
        <v>6555</v>
      </c>
      <c r="D802" s="171" t="s">
        <v>6556</v>
      </c>
      <c r="E802" s="171" t="s">
        <v>6557</v>
      </c>
      <c r="F802" s="171" t="s">
        <v>6558</v>
      </c>
      <c r="G802" s="171" t="s">
        <v>6559</v>
      </c>
      <c r="H802" s="171" t="s">
        <v>6560</v>
      </c>
      <c r="I802" s="171" t="s">
        <v>6561</v>
      </c>
      <c r="J802" s="171" t="s">
        <v>6562</v>
      </c>
      <c r="K802" s="171" t="s">
        <v>6563</v>
      </c>
      <c r="L802" s="6" t="s">
        <v>1367</v>
      </c>
      <c r="M802" s="21" t="s">
        <v>1404</v>
      </c>
      <c r="O802" s="171" t="s">
        <v>6564</v>
      </c>
      <c r="P802" s="171" t="s">
        <v>22</v>
      </c>
      <c r="Q802" s="171"/>
      <c r="R802" s="171"/>
      <c r="S802" s="171"/>
      <c r="T802" s="171"/>
      <c r="U802" s="171"/>
      <c r="V802" s="171"/>
      <c r="Y802" s="171"/>
    </row>
    <row r="803" spans="1:33" ht="79.150000000000006">
      <c r="A803" s="253" t="s">
        <v>6565</v>
      </c>
      <c r="B803" s="289"/>
      <c r="C803" s="171" t="s">
        <v>6566</v>
      </c>
      <c r="D803" s="171" t="s">
        <v>6567</v>
      </c>
      <c r="E803" s="171" t="s">
        <v>6568</v>
      </c>
      <c r="F803" s="171" t="s">
        <v>6569</v>
      </c>
      <c r="G803" s="171" t="s">
        <v>6570</v>
      </c>
      <c r="H803" s="171" t="s">
        <v>6571</v>
      </c>
      <c r="I803" s="171" t="s">
        <v>6572</v>
      </c>
      <c r="J803" s="171" t="s">
        <v>6573</v>
      </c>
      <c r="K803" s="171" t="s">
        <v>6574</v>
      </c>
      <c r="L803" s="6" t="s">
        <v>1367</v>
      </c>
      <c r="M803" s="21" t="s">
        <v>1404</v>
      </c>
      <c r="O803" s="171" t="s">
        <v>6564</v>
      </c>
      <c r="P803" s="171" t="s">
        <v>22</v>
      </c>
      <c r="Q803" s="171"/>
      <c r="R803" s="171"/>
      <c r="S803" s="171"/>
      <c r="T803" s="171"/>
      <c r="U803" s="171"/>
      <c r="V803" s="171"/>
      <c r="W803" s="170"/>
      <c r="X803" s="170"/>
      <c r="Y803" s="171"/>
    </row>
    <row r="804" spans="1:33" ht="66">
      <c r="A804" s="253" t="s">
        <v>6575</v>
      </c>
      <c r="B804" s="289"/>
      <c r="C804" s="171" t="s">
        <v>6576</v>
      </c>
      <c r="D804" s="171" t="s">
        <v>6577</v>
      </c>
      <c r="E804" s="171" t="s">
        <v>6578</v>
      </c>
      <c r="F804" s="171" t="s">
        <v>6579</v>
      </c>
      <c r="G804" s="171" t="s">
        <v>6580</v>
      </c>
      <c r="H804" s="171" t="s">
        <v>6581</v>
      </c>
      <c r="I804" s="171" t="s">
        <v>6582</v>
      </c>
      <c r="J804" s="171" t="s">
        <v>6583</v>
      </c>
      <c r="K804" s="171" t="s">
        <v>6584</v>
      </c>
      <c r="L804" s="6" t="s">
        <v>1367</v>
      </c>
      <c r="M804" s="21" t="s">
        <v>1404</v>
      </c>
      <c r="O804" s="171" t="s">
        <v>6564</v>
      </c>
      <c r="P804" s="171" t="s">
        <v>22</v>
      </c>
      <c r="Q804" s="171"/>
      <c r="R804" s="171"/>
      <c r="S804" s="171"/>
      <c r="T804" s="171"/>
      <c r="U804" s="171"/>
      <c r="V804" s="171"/>
      <c r="W804" s="170"/>
      <c r="X804" s="170"/>
      <c r="Y804" s="171"/>
      <c r="AG804" s="5"/>
    </row>
    <row r="805" spans="1:33" s="5" customFormat="1" ht="66">
      <c r="A805" s="253" t="s">
        <v>6585</v>
      </c>
      <c r="B805" s="289"/>
      <c r="C805" s="171" t="s">
        <v>6586</v>
      </c>
      <c r="D805" s="171" t="s">
        <v>6587</v>
      </c>
      <c r="E805" s="171" t="s">
        <v>6588</v>
      </c>
      <c r="F805" s="171" t="s">
        <v>6589</v>
      </c>
      <c r="G805" s="171" t="s">
        <v>6590</v>
      </c>
      <c r="H805" s="171" t="s">
        <v>6591</v>
      </c>
      <c r="I805" s="171" t="s">
        <v>6592</v>
      </c>
      <c r="J805" s="171" t="s">
        <v>6593</v>
      </c>
      <c r="K805" s="171" t="s">
        <v>6594</v>
      </c>
      <c r="L805" s="6" t="s">
        <v>1367</v>
      </c>
      <c r="M805" s="21" t="s">
        <v>1404</v>
      </c>
      <c r="O805" s="171" t="s">
        <v>6564</v>
      </c>
      <c r="P805" s="171" t="s">
        <v>1371</v>
      </c>
      <c r="Q805" s="171"/>
      <c r="R805" s="171"/>
      <c r="S805" s="171"/>
      <c r="T805" s="171"/>
      <c r="U805" s="171"/>
      <c r="V805" s="171"/>
      <c r="W805" s="170"/>
      <c r="X805" s="170"/>
      <c r="Y805" s="171"/>
      <c r="AG805" s="21"/>
    </row>
    <row r="806" spans="1:33" ht="66">
      <c r="A806" s="253" t="s">
        <v>6595</v>
      </c>
      <c r="B806" s="289"/>
      <c r="C806" s="171" t="s">
        <v>6596</v>
      </c>
      <c r="D806" s="171" t="s">
        <v>6597</v>
      </c>
      <c r="E806" s="171" t="s">
        <v>6598</v>
      </c>
      <c r="F806" s="171" t="s">
        <v>6599</v>
      </c>
      <c r="G806" s="171" t="s">
        <v>6600</v>
      </c>
      <c r="H806" s="171" t="s">
        <v>6601</v>
      </c>
      <c r="I806" s="171" t="s">
        <v>6602</v>
      </c>
      <c r="J806" s="171" t="s">
        <v>6603</v>
      </c>
      <c r="K806" s="171" t="s">
        <v>6604</v>
      </c>
      <c r="L806" s="6" t="s">
        <v>1367</v>
      </c>
      <c r="M806" s="21" t="s">
        <v>1404</v>
      </c>
      <c r="O806" s="171" t="s">
        <v>6564</v>
      </c>
      <c r="P806" s="171" t="s">
        <v>22</v>
      </c>
      <c r="Q806" s="171"/>
      <c r="R806" s="171"/>
      <c r="S806" s="171"/>
      <c r="T806" s="171"/>
      <c r="U806" s="171"/>
      <c r="V806" s="171"/>
      <c r="W806" s="170"/>
      <c r="X806" s="170"/>
      <c r="Y806" s="171"/>
    </row>
    <row r="807" spans="1:33" ht="92.45">
      <c r="A807" s="253" t="s">
        <v>6605</v>
      </c>
      <c r="B807" s="289"/>
      <c r="C807" s="171" t="s">
        <v>6606</v>
      </c>
      <c r="D807" s="171" t="s">
        <v>6607</v>
      </c>
      <c r="E807" s="171" t="s">
        <v>6608</v>
      </c>
      <c r="F807" s="171" t="s">
        <v>6609</v>
      </c>
      <c r="G807" s="171" t="s">
        <v>6610</v>
      </c>
      <c r="H807" s="171" t="s">
        <v>6611</v>
      </c>
      <c r="I807" s="171" t="s">
        <v>6612</v>
      </c>
      <c r="J807" s="171" t="s">
        <v>6613</v>
      </c>
      <c r="K807" s="171"/>
      <c r="L807" s="6" t="s">
        <v>1367</v>
      </c>
      <c r="M807" s="21" t="s">
        <v>1404</v>
      </c>
      <c r="O807" s="171" t="s">
        <v>6564</v>
      </c>
      <c r="P807" s="171" t="s">
        <v>22</v>
      </c>
      <c r="Q807" s="171"/>
      <c r="R807" s="171"/>
      <c r="S807" s="171"/>
      <c r="T807" s="171"/>
      <c r="U807" s="171"/>
      <c r="V807" s="171"/>
      <c r="W807" s="170"/>
      <c r="X807" s="170"/>
      <c r="Y807" s="171"/>
    </row>
    <row r="808" spans="1:33" ht="79.150000000000006">
      <c r="A808" s="253" t="s">
        <v>6614</v>
      </c>
      <c r="B808" s="289"/>
      <c r="C808" s="171" t="s">
        <v>6615</v>
      </c>
      <c r="D808" s="171" t="s">
        <v>6616</v>
      </c>
      <c r="E808" s="171" t="s">
        <v>6617</v>
      </c>
      <c r="F808" s="171" t="s">
        <v>6618</v>
      </c>
      <c r="G808" s="171" t="s">
        <v>6619</v>
      </c>
      <c r="H808" s="171" t="s">
        <v>6620</v>
      </c>
      <c r="I808" s="171" t="s">
        <v>6621</v>
      </c>
      <c r="J808" s="171" t="s">
        <v>6622</v>
      </c>
      <c r="K808" s="171" t="s">
        <v>6623</v>
      </c>
      <c r="L808" s="6" t="s">
        <v>1367</v>
      </c>
      <c r="M808" s="21" t="s">
        <v>1404</v>
      </c>
      <c r="O808" s="171" t="s">
        <v>6564</v>
      </c>
      <c r="P808" s="171" t="s">
        <v>22</v>
      </c>
      <c r="Q808" s="171"/>
      <c r="R808" s="171"/>
      <c r="S808" s="171"/>
      <c r="T808" s="171"/>
      <c r="U808" s="171"/>
      <c r="V808" s="171"/>
      <c r="W808" s="170"/>
      <c r="X808" s="170"/>
      <c r="Y808" s="171"/>
    </row>
    <row r="809" spans="1:33" ht="105.6">
      <c r="A809" s="253" t="s">
        <v>6624</v>
      </c>
      <c r="B809" s="289"/>
      <c r="C809" s="171" t="s">
        <v>6625</v>
      </c>
      <c r="D809" s="171" t="s">
        <v>6626</v>
      </c>
      <c r="E809" s="171" t="s">
        <v>6627</v>
      </c>
      <c r="F809" s="171" t="s">
        <v>6628</v>
      </c>
      <c r="G809" s="171" t="s">
        <v>6629</v>
      </c>
      <c r="H809" s="171" t="s">
        <v>6630</v>
      </c>
      <c r="I809" s="171" t="s">
        <v>6631</v>
      </c>
      <c r="J809" s="171" t="s">
        <v>6632</v>
      </c>
      <c r="K809" s="171"/>
      <c r="M809" s="21" t="s">
        <v>1404</v>
      </c>
      <c r="O809" s="171" t="s">
        <v>6564</v>
      </c>
      <c r="P809" s="171" t="s">
        <v>1371</v>
      </c>
      <c r="Q809" s="171"/>
      <c r="R809" s="171"/>
      <c r="S809" s="171"/>
      <c r="T809" s="171"/>
      <c r="U809" s="171"/>
      <c r="V809" s="171"/>
      <c r="W809" s="170"/>
      <c r="X809" s="170"/>
      <c r="Y809" s="171"/>
      <c r="AG809" s="44"/>
    </row>
    <row r="810" spans="1:33" s="45" customFormat="1">
      <c r="A810" s="84"/>
      <c r="B810" s="289"/>
      <c r="C810" s="234"/>
      <c r="D810" s="235"/>
      <c r="E810" s="44"/>
      <c r="F810" s="188"/>
      <c r="G810" s="188"/>
      <c r="H810" s="188"/>
      <c r="I810" s="188"/>
      <c r="J810" s="188"/>
      <c r="K810" s="188"/>
      <c r="L810" s="192"/>
      <c r="M810" s="236"/>
      <c r="O810" s="236"/>
      <c r="P810" s="188"/>
      <c r="Q810" s="78"/>
      <c r="R810" s="303"/>
      <c r="W810" s="81"/>
      <c r="X810" s="81"/>
      <c r="AG810" s="2"/>
    </row>
    <row r="811" spans="1:33" ht="86.45">
      <c r="A811" s="246" t="s">
        <v>6633</v>
      </c>
      <c r="B811" s="289"/>
      <c r="C811" s="172" t="s">
        <v>6634</v>
      </c>
      <c r="D811" s="171" t="s">
        <v>6635</v>
      </c>
      <c r="E811" s="2" t="s">
        <v>6636</v>
      </c>
      <c r="F811" s="134" t="s">
        <v>6637</v>
      </c>
      <c r="G811" s="134" t="s">
        <v>6638</v>
      </c>
      <c r="H811" s="134" t="s">
        <v>6639</v>
      </c>
      <c r="I811" s="134" t="s">
        <v>6640</v>
      </c>
      <c r="J811" s="134" t="s">
        <v>1442</v>
      </c>
      <c r="K811" s="134" t="s">
        <v>6641</v>
      </c>
      <c r="L811" s="6" t="s">
        <v>1367</v>
      </c>
      <c r="M811" s="21" t="s">
        <v>1404</v>
      </c>
      <c r="P811" s="134" t="s">
        <v>22</v>
      </c>
      <c r="AG811" s="2"/>
    </row>
    <row r="812" spans="1:33" ht="86.45">
      <c r="A812" s="246" t="s">
        <v>6642</v>
      </c>
      <c r="B812" s="289"/>
      <c r="C812" s="172" t="s">
        <v>6634</v>
      </c>
      <c r="D812" s="171" t="s">
        <v>6643</v>
      </c>
      <c r="E812" s="2" t="s">
        <v>6644</v>
      </c>
      <c r="F812" s="134" t="s">
        <v>6645</v>
      </c>
      <c r="G812" s="171" t="s">
        <v>6646</v>
      </c>
      <c r="H812" s="134" t="s">
        <v>6647</v>
      </c>
      <c r="I812" s="134" t="s">
        <v>6648</v>
      </c>
      <c r="J812" s="134" t="s">
        <v>6649</v>
      </c>
      <c r="K812" s="134" t="s">
        <v>6650</v>
      </c>
      <c r="L812" s="6" t="s">
        <v>1367</v>
      </c>
      <c r="M812" s="21" t="s">
        <v>1404</v>
      </c>
      <c r="P812" s="134" t="s">
        <v>22</v>
      </c>
      <c r="AG812" s="2"/>
    </row>
    <row r="813" spans="1:33" ht="72">
      <c r="A813" s="246" t="s">
        <v>6651</v>
      </c>
      <c r="B813" s="289"/>
      <c r="C813" s="172" t="s">
        <v>6634</v>
      </c>
      <c r="D813" s="171" t="s">
        <v>6652</v>
      </c>
      <c r="E813" s="2" t="s">
        <v>6653</v>
      </c>
      <c r="F813" s="2" t="s">
        <v>6654</v>
      </c>
      <c r="G813" s="2" t="s">
        <v>6655</v>
      </c>
      <c r="H813" s="2" t="s">
        <v>6656</v>
      </c>
      <c r="I813" s="2" t="s">
        <v>6657</v>
      </c>
      <c r="J813" s="2" t="s">
        <v>6658</v>
      </c>
      <c r="K813" s="134" t="s">
        <v>6659</v>
      </c>
      <c r="L813" s="6" t="s">
        <v>1367</v>
      </c>
      <c r="M813" s="21" t="s">
        <v>1404</v>
      </c>
      <c r="P813" s="134" t="s">
        <v>22</v>
      </c>
      <c r="AG813" s="2"/>
    </row>
    <row r="814" spans="1:33" ht="72">
      <c r="A814" s="246" t="s">
        <v>6660</v>
      </c>
      <c r="B814" s="289"/>
      <c r="C814" s="172" t="s">
        <v>6634</v>
      </c>
      <c r="D814" s="171" t="s">
        <v>6661</v>
      </c>
      <c r="E814" s="2" t="s">
        <v>6662</v>
      </c>
      <c r="F814" s="134" t="s">
        <v>6663</v>
      </c>
      <c r="G814" s="171" t="s">
        <v>6664</v>
      </c>
      <c r="H814" s="134" t="s">
        <v>6665</v>
      </c>
      <c r="I814" s="134" t="s">
        <v>6666</v>
      </c>
      <c r="J814" s="134" t="s">
        <v>6667</v>
      </c>
      <c r="K814" s="134" t="s">
        <v>6668</v>
      </c>
      <c r="L814" s="6" t="s">
        <v>1381</v>
      </c>
      <c r="M814" s="21" t="s">
        <v>1404</v>
      </c>
      <c r="P814" s="134" t="s">
        <v>22</v>
      </c>
      <c r="AG814" s="2"/>
    </row>
    <row r="815" spans="1:33" ht="72">
      <c r="A815" s="246" t="s">
        <v>6669</v>
      </c>
      <c r="B815" s="289"/>
      <c r="C815" s="172" t="s">
        <v>6634</v>
      </c>
      <c r="D815" s="171" t="s">
        <v>6670</v>
      </c>
      <c r="E815" s="2" t="s">
        <v>6671</v>
      </c>
      <c r="F815" s="134" t="s">
        <v>6672</v>
      </c>
      <c r="G815" s="171" t="s">
        <v>6673</v>
      </c>
      <c r="H815" s="134" t="s">
        <v>6674</v>
      </c>
      <c r="I815" s="134" t="s">
        <v>6675</v>
      </c>
      <c r="J815" s="134" t="s">
        <v>6676</v>
      </c>
      <c r="K815" s="134" t="s">
        <v>6677</v>
      </c>
      <c r="L815" s="6" t="s">
        <v>1367</v>
      </c>
      <c r="M815" s="21" t="s">
        <v>1404</v>
      </c>
      <c r="P815" s="134" t="s">
        <v>1371</v>
      </c>
      <c r="AG815" s="2"/>
    </row>
    <row r="816" spans="1:33" ht="72">
      <c r="A816" s="246" t="s">
        <v>6678</v>
      </c>
      <c r="B816" s="289"/>
      <c r="C816" s="172" t="s">
        <v>6634</v>
      </c>
      <c r="D816" s="171" t="s">
        <v>6679</v>
      </c>
      <c r="E816" s="2" t="s">
        <v>6680</v>
      </c>
      <c r="F816" s="134" t="s">
        <v>6681</v>
      </c>
      <c r="G816" s="171" t="s">
        <v>6682</v>
      </c>
      <c r="H816" s="134" t="s">
        <v>6683</v>
      </c>
      <c r="I816" s="134" t="s">
        <v>6684</v>
      </c>
      <c r="J816" s="134" t="s">
        <v>6685</v>
      </c>
      <c r="K816" s="134" t="s">
        <v>6686</v>
      </c>
      <c r="L816" s="6" t="s">
        <v>1367</v>
      </c>
      <c r="M816" s="21" t="s">
        <v>1404</v>
      </c>
      <c r="P816" s="134" t="s">
        <v>1371</v>
      </c>
      <c r="AG816" s="2"/>
    </row>
    <row r="817" spans="1:33" ht="72">
      <c r="A817" s="246" t="s">
        <v>6687</v>
      </c>
      <c r="B817" s="289"/>
      <c r="C817" s="172" t="s">
        <v>6634</v>
      </c>
      <c r="D817" s="171" t="s">
        <v>6688</v>
      </c>
      <c r="E817" s="134" t="s">
        <v>6689</v>
      </c>
      <c r="F817" s="134" t="s">
        <v>6690</v>
      </c>
      <c r="G817" s="171" t="s">
        <v>6691</v>
      </c>
      <c r="H817" s="134" t="s">
        <v>6692</v>
      </c>
      <c r="I817" s="134" t="s">
        <v>6693</v>
      </c>
      <c r="J817" s="134" t="s">
        <v>6694</v>
      </c>
      <c r="K817" s="134" t="s">
        <v>6695</v>
      </c>
      <c r="L817" s="6" t="s">
        <v>1367</v>
      </c>
      <c r="M817" s="21" t="s">
        <v>1404</v>
      </c>
      <c r="P817" s="134" t="s">
        <v>22</v>
      </c>
      <c r="AG817" s="2"/>
    </row>
    <row r="818" spans="1:33" ht="86.45">
      <c r="A818" s="246" t="s">
        <v>6696</v>
      </c>
      <c r="B818" s="289"/>
      <c r="C818" s="172" t="s">
        <v>6634</v>
      </c>
      <c r="D818" s="171" t="s">
        <v>6697</v>
      </c>
      <c r="E818" s="2" t="s">
        <v>6698</v>
      </c>
      <c r="F818" s="2" t="s">
        <v>6699</v>
      </c>
      <c r="G818" s="2" t="s">
        <v>6700</v>
      </c>
      <c r="H818" s="2" t="s">
        <v>6701</v>
      </c>
      <c r="I818" s="2" t="s">
        <v>6702</v>
      </c>
      <c r="J818" s="2" t="s">
        <v>6703</v>
      </c>
      <c r="K818" s="134" t="s">
        <v>6686</v>
      </c>
      <c r="L818" s="6" t="s">
        <v>1367</v>
      </c>
      <c r="M818" s="21" t="s">
        <v>1404</v>
      </c>
      <c r="P818" s="134" t="s">
        <v>22</v>
      </c>
      <c r="AG818" s="2"/>
    </row>
    <row r="819" spans="1:33" ht="86.45">
      <c r="A819" s="246" t="s">
        <v>6704</v>
      </c>
      <c r="B819" s="289"/>
      <c r="C819" s="172" t="s">
        <v>6634</v>
      </c>
      <c r="D819" s="2" t="s">
        <v>6705</v>
      </c>
      <c r="E819" s="2" t="s">
        <v>6706</v>
      </c>
      <c r="F819" s="2" t="s">
        <v>6707</v>
      </c>
      <c r="G819" s="2" t="s">
        <v>6708</v>
      </c>
      <c r="H819" s="2" t="s">
        <v>6709</v>
      </c>
      <c r="I819" s="2" t="s">
        <v>6710</v>
      </c>
      <c r="J819" s="2" t="s">
        <v>6711</v>
      </c>
      <c r="K819" s="134" t="s">
        <v>6712</v>
      </c>
      <c r="L819" s="6" t="s">
        <v>1367</v>
      </c>
      <c r="M819" s="21" t="s">
        <v>1404</v>
      </c>
      <c r="P819" s="134" t="s">
        <v>22</v>
      </c>
      <c r="AG819" s="2"/>
    </row>
    <row r="820" spans="1:33" ht="86.45">
      <c r="A820" s="246" t="s">
        <v>6713</v>
      </c>
      <c r="B820" s="289"/>
      <c r="C820" s="172" t="s">
        <v>6634</v>
      </c>
      <c r="D820" s="2" t="s">
        <v>6714</v>
      </c>
      <c r="E820" s="2" t="s">
        <v>6715</v>
      </c>
      <c r="F820" s="2" t="s">
        <v>6716</v>
      </c>
      <c r="G820" s="2" t="s">
        <v>6717</v>
      </c>
      <c r="H820" s="2" t="s">
        <v>6718</v>
      </c>
      <c r="I820" s="2" t="s">
        <v>6719</v>
      </c>
      <c r="J820" s="2" t="s">
        <v>6720</v>
      </c>
      <c r="K820" s="134" t="s">
        <v>6721</v>
      </c>
      <c r="L820" s="6" t="s">
        <v>1367</v>
      </c>
      <c r="M820" s="21" t="s">
        <v>1404</v>
      </c>
      <c r="P820" s="134" t="s">
        <v>22</v>
      </c>
      <c r="AG820" s="78"/>
    </row>
    <row r="821" spans="1:33" s="45" customFormat="1">
      <c r="A821" s="83"/>
      <c r="B821" s="289"/>
      <c r="C821" s="234"/>
      <c r="D821" s="188"/>
      <c r="E821" s="188"/>
      <c r="F821" s="188"/>
      <c r="G821" s="188"/>
      <c r="H821" s="188"/>
      <c r="I821" s="188"/>
      <c r="J821" s="188"/>
      <c r="K821" s="188"/>
      <c r="L821" s="192"/>
      <c r="M821" s="236"/>
      <c r="O821" s="236"/>
      <c r="P821" s="188"/>
      <c r="Q821" s="78"/>
      <c r="R821" s="303"/>
      <c r="W821" s="81"/>
      <c r="X821" s="81"/>
      <c r="AG821" s="21"/>
    </row>
    <row r="822" spans="1:33" ht="28.9">
      <c r="A822" s="253" t="s">
        <v>6722</v>
      </c>
      <c r="B822" s="289"/>
      <c r="C822" s="134" t="s">
        <v>6723</v>
      </c>
      <c r="D822" s="134" t="s">
        <v>6724</v>
      </c>
      <c r="E822" s="134" t="s">
        <v>6725</v>
      </c>
      <c r="F822" s="134" t="s">
        <v>6043</v>
      </c>
      <c r="G822" s="134" t="s">
        <v>6726</v>
      </c>
      <c r="H822" s="134" t="s">
        <v>1442</v>
      </c>
      <c r="I822" s="134" t="s">
        <v>6727</v>
      </c>
      <c r="J822" s="134" t="s">
        <v>6728</v>
      </c>
      <c r="K822" s="134" t="s">
        <v>6729</v>
      </c>
      <c r="L822" s="177" t="s">
        <v>1367</v>
      </c>
      <c r="M822" s="21" t="s">
        <v>1415</v>
      </c>
      <c r="O822" s="176" t="s">
        <v>1649</v>
      </c>
      <c r="P822" s="134" t="s">
        <v>22</v>
      </c>
    </row>
    <row r="823" spans="1:33" ht="43.15">
      <c r="A823" s="253" t="s">
        <v>6730</v>
      </c>
      <c r="B823" s="289"/>
      <c r="C823" s="134" t="s">
        <v>6723</v>
      </c>
      <c r="D823" s="134" t="s">
        <v>6731</v>
      </c>
      <c r="E823" s="134" t="s">
        <v>6732</v>
      </c>
      <c r="F823" s="134" t="s">
        <v>6733</v>
      </c>
      <c r="G823" s="134" t="s">
        <v>6734</v>
      </c>
      <c r="H823" s="134" t="s">
        <v>1442</v>
      </c>
      <c r="I823" s="134" t="s">
        <v>6735</v>
      </c>
      <c r="J823" s="134" t="s">
        <v>1442</v>
      </c>
      <c r="K823" s="134" t="s">
        <v>6736</v>
      </c>
      <c r="L823" s="177" t="s">
        <v>1367</v>
      </c>
      <c r="M823" s="21" t="s">
        <v>1415</v>
      </c>
      <c r="O823" s="176" t="s">
        <v>1649</v>
      </c>
      <c r="P823" s="134" t="s">
        <v>22</v>
      </c>
    </row>
    <row r="824" spans="1:33" ht="28.9">
      <c r="A824" s="253" t="s">
        <v>6737</v>
      </c>
      <c r="B824" s="289"/>
      <c r="C824" s="134" t="s">
        <v>6723</v>
      </c>
      <c r="D824" s="134" t="s">
        <v>6738</v>
      </c>
      <c r="E824" s="134" t="s">
        <v>6739</v>
      </c>
      <c r="F824" s="134" t="s">
        <v>6740</v>
      </c>
      <c r="G824" s="134" t="s">
        <v>6741</v>
      </c>
      <c r="H824" s="134" t="s">
        <v>1442</v>
      </c>
      <c r="I824" s="134" t="s">
        <v>6742</v>
      </c>
      <c r="J824" s="134" t="s">
        <v>6743</v>
      </c>
      <c r="K824" s="134" t="s">
        <v>6744</v>
      </c>
      <c r="L824" s="177" t="s">
        <v>1367</v>
      </c>
      <c r="M824" s="21" t="s">
        <v>1415</v>
      </c>
      <c r="O824" s="176" t="s">
        <v>1649</v>
      </c>
      <c r="P824" s="134" t="s">
        <v>22</v>
      </c>
    </row>
    <row r="825" spans="1:33" ht="43.15">
      <c r="A825" s="253" t="s">
        <v>6745</v>
      </c>
      <c r="B825" s="289"/>
      <c r="C825" s="134" t="s">
        <v>6723</v>
      </c>
      <c r="D825" s="134" t="s">
        <v>6746</v>
      </c>
      <c r="E825" s="134" t="s">
        <v>6747</v>
      </c>
      <c r="F825" s="134" t="s">
        <v>6748</v>
      </c>
      <c r="G825" s="134" t="s">
        <v>6749</v>
      </c>
      <c r="H825" s="134" t="s">
        <v>6750</v>
      </c>
      <c r="I825" s="134" t="s">
        <v>6751</v>
      </c>
      <c r="J825" s="134" t="s">
        <v>6752</v>
      </c>
      <c r="K825" s="134" t="s">
        <v>6753</v>
      </c>
      <c r="L825" s="177" t="s">
        <v>1367</v>
      </c>
      <c r="M825" s="21" t="s">
        <v>1415</v>
      </c>
      <c r="O825" s="176" t="s">
        <v>1649</v>
      </c>
      <c r="P825" s="134" t="s">
        <v>1393</v>
      </c>
    </row>
    <row r="826" spans="1:33" ht="28.9">
      <c r="A826" s="253" t="s">
        <v>6754</v>
      </c>
      <c r="B826" s="289"/>
      <c r="C826" s="134" t="s">
        <v>6723</v>
      </c>
      <c r="D826" s="134" t="s">
        <v>6755</v>
      </c>
      <c r="E826" s="134" t="s">
        <v>6756</v>
      </c>
      <c r="F826" s="134" t="s">
        <v>6757</v>
      </c>
      <c r="G826" s="134" t="s">
        <v>6758</v>
      </c>
      <c r="H826" s="134" t="s">
        <v>6759</v>
      </c>
      <c r="I826" s="134" t="s">
        <v>6760</v>
      </c>
      <c r="J826" s="134" t="s">
        <v>1442</v>
      </c>
      <c r="K826" s="134" t="s">
        <v>6761</v>
      </c>
      <c r="L826" s="177" t="s">
        <v>1367</v>
      </c>
      <c r="M826" s="21" t="s">
        <v>1415</v>
      </c>
      <c r="O826" s="176" t="s">
        <v>1649</v>
      </c>
      <c r="P826" s="134" t="s">
        <v>1393</v>
      </c>
    </row>
    <row r="827" spans="1:33" ht="28.9">
      <c r="A827" s="253" t="s">
        <v>6762</v>
      </c>
      <c r="B827" s="289"/>
      <c r="C827" s="134" t="s">
        <v>6723</v>
      </c>
      <c r="D827" s="134" t="s">
        <v>6763</v>
      </c>
      <c r="E827" s="134" t="s">
        <v>6764</v>
      </c>
      <c r="F827" s="134" t="s">
        <v>6765</v>
      </c>
      <c r="G827" s="134" t="s">
        <v>6766</v>
      </c>
      <c r="H827" s="134" t="s">
        <v>6767</v>
      </c>
      <c r="I827" s="134" t="s">
        <v>6768</v>
      </c>
      <c r="J827" s="134" t="s">
        <v>1442</v>
      </c>
      <c r="K827" s="134" t="s">
        <v>6769</v>
      </c>
      <c r="L827" s="177" t="s">
        <v>1367</v>
      </c>
      <c r="M827" s="21" t="s">
        <v>1415</v>
      </c>
      <c r="O827" s="176" t="s">
        <v>1649</v>
      </c>
      <c r="P827" s="134" t="s">
        <v>22</v>
      </c>
    </row>
    <row r="828" spans="1:33" ht="43.15">
      <c r="A828" s="253" t="s">
        <v>6770</v>
      </c>
      <c r="B828" s="289"/>
      <c r="C828" s="134" t="s">
        <v>6723</v>
      </c>
      <c r="D828" s="134" t="s">
        <v>6771</v>
      </c>
      <c r="E828" s="134" t="s">
        <v>6772</v>
      </c>
      <c r="F828" s="134" t="s">
        <v>6773</v>
      </c>
      <c r="G828" s="134" t="s">
        <v>6774</v>
      </c>
      <c r="H828" s="134" t="s">
        <v>6775</v>
      </c>
      <c r="I828" s="134" t="s">
        <v>6776</v>
      </c>
      <c r="J828" s="134" t="s">
        <v>6777</v>
      </c>
      <c r="K828" s="134" t="s">
        <v>6778</v>
      </c>
      <c r="L828" s="177" t="s">
        <v>1367</v>
      </c>
      <c r="M828" s="21" t="s">
        <v>1415</v>
      </c>
      <c r="O828" s="176" t="s">
        <v>1649</v>
      </c>
      <c r="P828" s="134" t="s">
        <v>22</v>
      </c>
    </row>
    <row r="829" spans="1:33" ht="28.9">
      <c r="A829" s="253" t="s">
        <v>6779</v>
      </c>
      <c r="B829" s="289"/>
      <c r="C829" s="134" t="s">
        <v>6723</v>
      </c>
      <c r="D829" s="134" t="s">
        <v>6780</v>
      </c>
      <c r="E829" s="134" t="s">
        <v>6781</v>
      </c>
      <c r="F829" s="134" t="s">
        <v>6782</v>
      </c>
      <c r="G829" s="134" t="s">
        <v>6783</v>
      </c>
      <c r="H829" s="134" t="s">
        <v>6784</v>
      </c>
      <c r="I829" s="134" t="s">
        <v>6785</v>
      </c>
      <c r="J829" s="134" t="s">
        <v>6786</v>
      </c>
      <c r="K829" s="134" t="s">
        <v>6787</v>
      </c>
      <c r="L829" s="177" t="s">
        <v>1367</v>
      </c>
      <c r="M829" s="21" t="s">
        <v>1415</v>
      </c>
      <c r="O829" s="176" t="s">
        <v>1649</v>
      </c>
      <c r="P829" s="134" t="s">
        <v>22</v>
      </c>
    </row>
    <row r="830" spans="1:33" ht="43.15">
      <c r="A830" s="253" t="s">
        <v>6788</v>
      </c>
      <c r="B830" s="289"/>
      <c r="C830" s="134" t="s">
        <v>6723</v>
      </c>
      <c r="D830" s="134" t="s">
        <v>6789</v>
      </c>
      <c r="E830" s="134" t="s">
        <v>6790</v>
      </c>
      <c r="F830" s="134" t="s">
        <v>6791</v>
      </c>
      <c r="G830" s="134" t="s">
        <v>6792</v>
      </c>
      <c r="H830" s="134" t="s">
        <v>1442</v>
      </c>
      <c r="I830" s="134" t="s">
        <v>6793</v>
      </c>
      <c r="J830" s="134" t="s">
        <v>6794</v>
      </c>
      <c r="K830" s="134" t="s">
        <v>6795</v>
      </c>
      <c r="L830" s="177" t="s">
        <v>1367</v>
      </c>
      <c r="M830" s="21" t="s">
        <v>1415</v>
      </c>
      <c r="O830" s="176" t="s">
        <v>1649</v>
      </c>
      <c r="P830" s="134" t="s">
        <v>22</v>
      </c>
    </row>
    <row r="831" spans="1:33" ht="28.9">
      <c r="A831" s="253" t="s">
        <v>6796</v>
      </c>
      <c r="B831" s="289"/>
      <c r="C831" s="134" t="s">
        <v>6723</v>
      </c>
      <c r="D831" s="134" t="s">
        <v>6797</v>
      </c>
      <c r="E831" s="134" t="s">
        <v>6798</v>
      </c>
      <c r="F831" s="134" t="s">
        <v>6799</v>
      </c>
      <c r="G831" s="134" t="s">
        <v>6800</v>
      </c>
      <c r="H831" s="134" t="s">
        <v>6801</v>
      </c>
      <c r="I831" s="134" t="s">
        <v>6802</v>
      </c>
      <c r="J831" s="134" t="s">
        <v>6803</v>
      </c>
      <c r="K831" s="134" t="s">
        <v>6804</v>
      </c>
      <c r="L831" s="177" t="s">
        <v>1367</v>
      </c>
      <c r="M831" s="21" t="s">
        <v>1415</v>
      </c>
      <c r="O831" s="176" t="s">
        <v>1649</v>
      </c>
      <c r="P831" s="134" t="s">
        <v>1393</v>
      </c>
    </row>
    <row r="832" spans="1:33" ht="43.15">
      <c r="A832" s="253" t="s">
        <v>6805</v>
      </c>
      <c r="B832" s="289"/>
      <c r="C832" s="134" t="s">
        <v>6723</v>
      </c>
      <c r="D832" s="134" t="s">
        <v>6806</v>
      </c>
      <c r="E832" s="134" t="s">
        <v>6807</v>
      </c>
      <c r="F832" s="134" t="s">
        <v>6808</v>
      </c>
      <c r="G832" s="134" t="s">
        <v>6809</v>
      </c>
      <c r="H832" s="134" t="s">
        <v>6810</v>
      </c>
      <c r="I832" s="134" t="s">
        <v>6811</v>
      </c>
      <c r="J832" s="134" t="s">
        <v>6812</v>
      </c>
      <c r="K832" s="134" t="s">
        <v>6813</v>
      </c>
      <c r="L832" s="177" t="s">
        <v>1367</v>
      </c>
      <c r="M832" s="21" t="s">
        <v>1415</v>
      </c>
      <c r="O832" s="176" t="s">
        <v>1649</v>
      </c>
      <c r="P832" s="134" t="s">
        <v>22</v>
      </c>
    </row>
    <row r="833" spans="1:16" ht="28.9">
      <c r="A833" s="253" t="s">
        <v>6814</v>
      </c>
      <c r="B833" s="289"/>
      <c r="C833" s="134" t="s">
        <v>6723</v>
      </c>
      <c r="D833" s="134" t="s">
        <v>6815</v>
      </c>
      <c r="E833" s="134" t="s">
        <v>6816</v>
      </c>
      <c r="F833" s="134" t="s">
        <v>4871</v>
      </c>
      <c r="G833" s="134" t="s">
        <v>6817</v>
      </c>
      <c r="H833" s="134" t="s">
        <v>4873</v>
      </c>
      <c r="I833" s="134" t="s">
        <v>4874</v>
      </c>
      <c r="J833" s="134" t="s">
        <v>1442</v>
      </c>
      <c r="K833" s="134" t="s">
        <v>6371</v>
      </c>
      <c r="L833" s="177" t="s">
        <v>1367</v>
      </c>
      <c r="M833" s="21" t="s">
        <v>1415</v>
      </c>
      <c r="O833" s="176" t="s">
        <v>1649</v>
      </c>
      <c r="P833" s="134" t="s">
        <v>22</v>
      </c>
    </row>
    <row r="834" spans="1:16" ht="57.6">
      <c r="A834" s="253" t="s">
        <v>6818</v>
      </c>
      <c r="B834" s="289"/>
      <c r="C834" s="134" t="s">
        <v>6723</v>
      </c>
      <c r="D834" s="134" t="s">
        <v>6819</v>
      </c>
      <c r="E834" s="134" t="s">
        <v>6820</v>
      </c>
      <c r="F834" s="134" t="s">
        <v>6821</v>
      </c>
      <c r="G834" s="134" t="s">
        <v>6822</v>
      </c>
      <c r="H834" s="134" t="s">
        <v>1442</v>
      </c>
      <c r="I834" s="134" t="s">
        <v>6823</v>
      </c>
      <c r="J834" s="134" t="s">
        <v>6824</v>
      </c>
      <c r="K834" s="134" t="s">
        <v>6825</v>
      </c>
      <c r="L834" s="177" t="s">
        <v>1367</v>
      </c>
      <c r="M834" s="21" t="s">
        <v>1415</v>
      </c>
      <c r="O834" s="176" t="s">
        <v>1649</v>
      </c>
      <c r="P834" s="134" t="s">
        <v>22</v>
      </c>
    </row>
    <row r="835" spans="1:16" ht="28.9">
      <c r="A835" s="253" t="s">
        <v>6826</v>
      </c>
      <c r="B835" s="289"/>
      <c r="C835" s="134" t="s">
        <v>6723</v>
      </c>
      <c r="D835" s="134" t="s">
        <v>6827</v>
      </c>
      <c r="E835" s="134" t="s">
        <v>6828</v>
      </c>
      <c r="F835" s="134" t="s">
        <v>6733</v>
      </c>
      <c r="G835" s="134" t="s">
        <v>6829</v>
      </c>
      <c r="H835" s="134" t="s">
        <v>1442</v>
      </c>
      <c r="I835" s="134" t="s">
        <v>6830</v>
      </c>
      <c r="J835" s="134" t="s">
        <v>1442</v>
      </c>
      <c r="K835" s="134" t="s">
        <v>6831</v>
      </c>
      <c r="L835" s="177" t="s">
        <v>1367</v>
      </c>
      <c r="M835" s="21" t="s">
        <v>1415</v>
      </c>
      <c r="O835" s="176" t="s">
        <v>1649</v>
      </c>
      <c r="P835" s="134" t="s">
        <v>22</v>
      </c>
    </row>
    <row r="836" spans="1:16" ht="28.9">
      <c r="A836" s="253" t="s">
        <v>6832</v>
      </c>
      <c r="B836" s="289"/>
      <c r="C836" s="134" t="s">
        <v>6723</v>
      </c>
      <c r="D836" s="134" t="s">
        <v>6833</v>
      </c>
      <c r="E836" s="134" t="s">
        <v>6834</v>
      </c>
      <c r="F836" s="134" t="s">
        <v>6835</v>
      </c>
      <c r="G836" s="134" t="s">
        <v>6836</v>
      </c>
      <c r="H836" s="134" t="s">
        <v>6837</v>
      </c>
      <c r="I836" s="134" t="s">
        <v>6838</v>
      </c>
      <c r="J836" s="134" t="s">
        <v>1442</v>
      </c>
      <c r="K836" s="134" t="s">
        <v>6839</v>
      </c>
      <c r="L836" s="177" t="s">
        <v>1367</v>
      </c>
      <c r="M836" s="21" t="s">
        <v>1415</v>
      </c>
      <c r="O836" s="176" t="s">
        <v>1649</v>
      </c>
      <c r="P836" s="134" t="s">
        <v>1371</v>
      </c>
    </row>
    <row r="837" spans="1:16" ht="28.9">
      <c r="A837" s="253" t="s">
        <v>6840</v>
      </c>
      <c r="B837" s="289"/>
      <c r="C837" s="134" t="s">
        <v>6723</v>
      </c>
      <c r="D837" s="134" t="s">
        <v>6841</v>
      </c>
      <c r="E837" s="134" t="s">
        <v>6842</v>
      </c>
      <c r="F837" s="134" t="s">
        <v>6733</v>
      </c>
      <c r="G837" s="134" t="s">
        <v>6843</v>
      </c>
      <c r="H837" s="134" t="s">
        <v>1442</v>
      </c>
      <c r="I837" s="134" t="s">
        <v>6844</v>
      </c>
      <c r="J837" s="134" t="s">
        <v>1442</v>
      </c>
      <c r="K837" s="134" t="s">
        <v>6845</v>
      </c>
      <c r="L837" s="177" t="s">
        <v>1367</v>
      </c>
      <c r="M837" s="21" t="s">
        <v>1415</v>
      </c>
      <c r="O837" s="176" t="s">
        <v>1649</v>
      </c>
      <c r="P837" s="134" t="s">
        <v>1481</v>
      </c>
    </row>
    <row r="838" spans="1:16" ht="43.15">
      <c r="A838" s="253" t="s">
        <v>6846</v>
      </c>
      <c r="B838" s="289"/>
      <c r="C838" s="134" t="s">
        <v>6723</v>
      </c>
      <c r="D838" s="134" t="s">
        <v>6847</v>
      </c>
      <c r="E838" s="134" t="s">
        <v>6848</v>
      </c>
      <c r="F838" s="134" t="s">
        <v>6849</v>
      </c>
      <c r="G838" s="134" t="s">
        <v>6850</v>
      </c>
      <c r="H838" s="134" t="s">
        <v>6851</v>
      </c>
      <c r="I838" s="134" t="s">
        <v>6852</v>
      </c>
      <c r="J838" s="134" t="s">
        <v>1442</v>
      </c>
      <c r="K838" s="134" t="s">
        <v>6853</v>
      </c>
      <c r="L838" s="177" t="s">
        <v>1367</v>
      </c>
      <c r="M838" s="21" t="s">
        <v>1415</v>
      </c>
      <c r="O838" s="176" t="s">
        <v>1649</v>
      </c>
      <c r="P838" s="134" t="s">
        <v>1371</v>
      </c>
    </row>
    <row r="839" spans="1:16" ht="28.9">
      <c r="A839" s="253" t="s">
        <v>6854</v>
      </c>
      <c r="B839" s="289"/>
      <c r="C839" s="134" t="s">
        <v>6723</v>
      </c>
      <c r="D839" s="134" t="s">
        <v>6855</v>
      </c>
      <c r="E839" s="134" t="s">
        <v>6856</v>
      </c>
      <c r="F839" s="134" t="s">
        <v>6733</v>
      </c>
      <c r="G839" s="134" t="s">
        <v>6857</v>
      </c>
      <c r="H839" s="134" t="s">
        <v>6858</v>
      </c>
      <c r="I839" s="134" t="s">
        <v>6859</v>
      </c>
      <c r="J839" s="134" t="s">
        <v>1442</v>
      </c>
      <c r="K839" s="134" t="s">
        <v>6860</v>
      </c>
      <c r="L839" s="177" t="s">
        <v>1367</v>
      </c>
      <c r="M839" s="21" t="s">
        <v>1415</v>
      </c>
      <c r="O839" s="176" t="s">
        <v>1649</v>
      </c>
      <c r="P839" s="134" t="s">
        <v>1371</v>
      </c>
    </row>
    <row r="840" spans="1:16" ht="28.9">
      <c r="A840" s="253" t="s">
        <v>6861</v>
      </c>
      <c r="B840" s="289"/>
      <c r="C840" s="134" t="s">
        <v>6723</v>
      </c>
      <c r="D840" s="134" t="s">
        <v>6862</v>
      </c>
      <c r="E840" s="134" t="s">
        <v>6863</v>
      </c>
      <c r="F840" s="134" t="s">
        <v>6733</v>
      </c>
      <c r="G840" s="134" t="s">
        <v>6864</v>
      </c>
      <c r="H840" s="134" t="s">
        <v>6865</v>
      </c>
      <c r="I840" s="134" t="s">
        <v>6866</v>
      </c>
      <c r="J840" s="134" t="s">
        <v>6786</v>
      </c>
      <c r="K840" s="134" t="s">
        <v>6867</v>
      </c>
      <c r="L840" s="177" t="s">
        <v>1367</v>
      </c>
      <c r="M840" s="21" t="s">
        <v>1415</v>
      </c>
      <c r="O840" s="176" t="s">
        <v>1649</v>
      </c>
      <c r="P840" s="134" t="s">
        <v>1371</v>
      </c>
    </row>
    <row r="841" spans="1:16" ht="43.15">
      <c r="A841" s="253" t="s">
        <v>6868</v>
      </c>
      <c r="B841" s="289"/>
      <c r="C841" s="134" t="s">
        <v>6723</v>
      </c>
      <c r="D841" s="134" t="s">
        <v>6869</v>
      </c>
      <c r="E841" s="134" t="s">
        <v>6870</v>
      </c>
      <c r="F841" s="134" t="s">
        <v>6871</v>
      </c>
      <c r="G841" s="134" t="s">
        <v>6872</v>
      </c>
      <c r="H841" s="134" t="s">
        <v>1442</v>
      </c>
      <c r="I841" s="134" t="s">
        <v>6873</v>
      </c>
      <c r="J841" s="134" t="s">
        <v>6874</v>
      </c>
      <c r="K841" s="134" t="s">
        <v>6397</v>
      </c>
      <c r="L841" s="177" t="s">
        <v>1367</v>
      </c>
      <c r="M841" s="21" t="s">
        <v>1415</v>
      </c>
      <c r="O841" s="176" t="s">
        <v>1649</v>
      </c>
      <c r="P841" s="134" t="s">
        <v>1371</v>
      </c>
    </row>
    <row r="842" spans="1:16" ht="28.9">
      <c r="A842" s="253" t="s">
        <v>6875</v>
      </c>
      <c r="B842" s="289"/>
      <c r="C842" s="134" t="s">
        <v>6723</v>
      </c>
      <c r="D842" s="134" t="s">
        <v>6876</v>
      </c>
      <c r="E842" s="134" t="s">
        <v>6877</v>
      </c>
      <c r="F842" s="134" t="s">
        <v>6733</v>
      </c>
      <c r="G842" s="134" t="s">
        <v>6878</v>
      </c>
      <c r="H842" s="134" t="s">
        <v>1442</v>
      </c>
      <c r="I842" s="134" t="s">
        <v>6879</v>
      </c>
      <c r="J842" s="134" t="s">
        <v>1442</v>
      </c>
      <c r="K842" s="134" t="s">
        <v>6880</v>
      </c>
      <c r="L842" s="177" t="s">
        <v>1367</v>
      </c>
      <c r="M842" s="21" t="s">
        <v>1415</v>
      </c>
      <c r="O842" s="176" t="s">
        <v>1649</v>
      </c>
      <c r="P842" s="134" t="s">
        <v>1371</v>
      </c>
    </row>
    <row r="843" spans="1:16" ht="28.9">
      <c r="A843" s="253" t="s">
        <v>6881</v>
      </c>
      <c r="B843" s="289"/>
      <c r="C843" s="134" t="s">
        <v>6723</v>
      </c>
      <c r="D843" s="134" t="s">
        <v>6882</v>
      </c>
      <c r="E843" s="134" t="s">
        <v>6883</v>
      </c>
      <c r="F843" s="134" t="s">
        <v>6733</v>
      </c>
      <c r="G843" s="134" t="s">
        <v>6884</v>
      </c>
      <c r="H843" s="134" t="s">
        <v>1442</v>
      </c>
      <c r="I843" s="134" t="s">
        <v>6885</v>
      </c>
      <c r="J843" s="134" t="s">
        <v>1442</v>
      </c>
      <c r="K843" s="134" t="s">
        <v>6886</v>
      </c>
      <c r="L843" s="177" t="s">
        <v>1367</v>
      </c>
      <c r="M843" s="21" t="s">
        <v>1415</v>
      </c>
      <c r="O843" s="176" t="s">
        <v>1649</v>
      </c>
      <c r="P843" s="134" t="s">
        <v>1371</v>
      </c>
    </row>
    <row r="844" spans="1:16" ht="28.9">
      <c r="A844" s="253" t="s">
        <v>6887</v>
      </c>
      <c r="B844" s="289"/>
      <c r="C844" s="134" t="s">
        <v>6723</v>
      </c>
      <c r="D844" s="134" t="s">
        <v>6888</v>
      </c>
      <c r="E844" s="134" t="s">
        <v>6889</v>
      </c>
      <c r="F844" s="134" t="s">
        <v>6890</v>
      </c>
      <c r="G844" s="134" t="s">
        <v>6891</v>
      </c>
      <c r="H844" s="134" t="s">
        <v>1442</v>
      </c>
      <c r="I844" s="134" t="s">
        <v>6892</v>
      </c>
      <c r="J844" s="134" t="s">
        <v>1442</v>
      </c>
      <c r="K844" s="134" t="s">
        <v>6893</v>
      </c>
      <c r="L844" s="177" t="s">
        <v>1367</v>
      </c>
      <c r="M844" s="21" t="s">
        <v>1415</v>
      </c>
      <c r="O844" s="176" t="s">
        <v>1649</v>
      </c>
      <c r="P844" s="134" t="s">
        <v>1371</v>
      </c>
    </row>
    <row r="845" spans="1:16" ht="28.9">
      <c r="A845" s="253" t="s">
        <v>6894</v>
      </c>
      <c r="B845" s="289"/>
      <c r="C845" s="134" t="s">
        <v>6723</v>
      </c>
      <c r="D845" s="134" t="s">
        <v>6895</v>
      </c>
      <c r="E845" s="134" t="s">
        <v>6896</v>
      </c>
      <c r="F845" s="134" t="s">
        <v>1440</v>
      </c>
      <c r="G845" s="134" t="s">
        <v>6897</v>
      </c>
      <c r="H845" s="134" t="s">
        <v>6898</v>
      </c>
      <c r="I845" s="134" t="s">
        <v>6230</v>
      </c>
      <c r="J845" s="134" t="s">
        <v>6231</v>
      </c>
      <c r="K845" s="134" t="s">
        <v>1789</v>
      </c>
      <c r="L845" s="177" t="s">
        <v>1367</v>
      </c>
      <c r="M845" s="21" t="s">
        <v>1415</v>
      </c>
      <c r="O845" s="176" t="s">
        <v>1649</v>
      </c>
      <c r="P845" s="263" t="s">
        <v>22</v>
      </c>
    </row>
    <row r="846" spans="1:16" ht="28.9">
      <c r="A846" s="253" t="s">
        <v>6899</v>
      </c>
      <c r="B846" s="289"/>
      <c r="C846" s="134" t="s">
        <v>6723</v>
      </c>
      <c r="D846" s="134" t="s">
        <v>6900</v>
      </c>
      <c r="E846" s="134" t="s">
        <v>6901</v>
      </c>
      <c r="F846" s="134" t="s">
        <v>6178</v>
      </c>
      <c r="G846" s="134" t="s">
        <v>6902</v>
      </c>
      <c r="H846" s="134" t="s">
        <v>6180</v>
      </c>
      <c r="I846" s="134" t="s">
        <v>4925</v>
      </c>
      <c r="J846" s="134" t="s">
        <v>4926</v>
      </c>
      <c r="K846" s="134" t="s">
        <v>4927</v>
      </c>
      <c r="L846" s="177" t="s">
        <v>1367</v>
      </c>
      <c r="M846" s="21" t="s">
        <v>1415</v>
      </c>
      <c r="O846" s="176" t="s">
        <v>1649</v>
      </c>
      <c r="P846" s="134" t="s">
        <v>1481</v>
      </c>
    </row>
    <row r="847" spans="1:16" ht="72">
      <c r="A847" s="253" t="s">
        <v>6903</v>
      </c>
      <c r="B847" s="289"/>
      <c r="C847" s="134" t="s">
        <v>6723</v>
      </c>
      <c r="D847" s="134" t="s">
        <v>6904</v>
      </c>
      <c r="E847" s="134" t="s">
        <v>6905</v>
      </c>
      <c r="F847" s="134" t="s">
        <v>6733</v>
      </c>
      <c r="G847" s="134" t="s">
        <v>6906</v>
      </c>
      <c r="H847" s="134" t="s">
        <v>6907</v>
      </c>
      <c r="I847" s="134" t="s">
        <v>6908</v>
      </c>
      <c r="J847" s="134" t="s">
        <v>6909</v>
      </c>
      <c r="K847" s="134" t="s">
        <v>6910</v>
      </c>
      <c r="L847" s="177" t="s">
        <v>1367</v>
      </c>
      <c r="M847" s="21" t="s">
        <v>1415</v>
      </c>
      <c r="O847" s="176" t="s">
        <v>1649</v>
      </c>
      <c r="P847" s="134" t="s">
        <v>22</v>
      </c>
    </row>
    <row r="848" spans="1:16" ht="57.6">
      <c r="A848" s="253" t="s">
        <v>6911</v>
      </c>
      <c r="B848" s="289"/>
      <c r="C848" s="134" t="s">
        <v>6723</v>
      </c>
      <c r="D848" s="134" t="s">
        <v>6912</v>
      </c>
      <c r="E848" s="134" t="s">
        <v>6913</v>
      </c>
      <c r="F848" s="134" t="s">
        <v>6914</v>
      </c>
      <c r="G848" s="134" t="s">
        <v>6915</v>
      </c>
      <c r="H848" s="134" t="s">
        <v>6916</v>
      </c>
      <c r="I848" s="134" t="s">
        <v>6917</v>
      </c>
      <c r="J848" s="134" t="s">
        <v>1442</v>
      </c>
      <c r="K848" s="134" t="s">
        <v>6918</v>
      </c>
      <c r="L848" s="175" t="s">
        <v>1381</v>
      </c>
      <c r="M848" s="21" t="s">
        <v>1415</v>
      </c>
      <c r="O848" s="176" t="s">
        <v>1649</v>
      </c>
      <c r="P848" s="134" t="s">
        <v>1371</v>
      </c>
    </row>
    <row r="849" spans="1:33" ht="43.15">
      <c r="A849" s="253" t="s">
        <v>6919</v>
      </c>
      <c r="B849" s="289"/>
      <c r="C849" s="134" t="s">
        <v>6723</v>
      </c>
      <c r="D849" s="134" t="s">
        <v>6920</v>
      </c>
      <c r="E849" s="134" t="s">
        <v>6921</v>
      </c>
      <c r="F849" s="134" t="s">
        <v>6914</v>
      </c>
      <c r="G849" s="134" t="s">
        <v>6922</v>
      </c>
      <c r="H849" s="134" t="s">
        <v>6923</v>
      </c>
      <c r="I849" s="134" t="s">
        <v>6924</v>
      </c>
      <c r="J849" s="134" t="s">
        <v>1442</v>
      </c>
      <c r="K849" s="134" t="s">
        <v>6925</v>
      </c>
      <c r="L849" s="177" t="s">
        <v>1367</v>
      </c>
      <c r="M849" s="21" t="s">
        <v>1415</v>
      </c>
      <c r="O849" s="176" t="s">
        <v>1649</v>
      </c>
      <c r="P849" s="134" t="s">
        <v>1371</v>
      </c>
    </row>
    <row r="850" spans="1:33" ht="57.6">
      <c r="A850" s="253" t="s">
        <v>6926</v>
      </c>
      <c r="B850" s="289"/>
      <c r="C850" s="134" t="s">
        <v>6723</v>
      </c>
      <c r="D850" s="134" t="s">
        <v>6927</v>
      </c>
      <c r="E850" s="134" t="s">
        <v>6928</v>
      </c>
      <c r="F850" s="134" t="s">
        <v>6733</v>
      </c>
      <c r="G850" s="134" t="s">
        <v>6929</v>
      </c>
      <c r="H850" s="134" t="s">
        <v>6930</v>
      </c>
      <c r="I850" s="134" t="s">
        <v>6931</v>
      </c>
      <c r="J850" s="134" t="s">
        <v>1442</v>
      </c>
      <c r="K850" s="134" t="s">
        <v>6932</v>
      </c>
      <c r="L850" s="177" t="s">
        <v>1367</v>
      </c>
      <c r="M850" s="21" t="s">
        <v>1415</v>
      </c>
      <c r="O850" s="176" t="s">
        <v>1649</v>
      </c>
      <c r="P850" s="134" t="s">
        <v>1371</v>
      </c>
    </row>
    <row r="851" spans="1:33" ht="43.15">
      <c r="A851" s="253" t="s">
        <v>6933</v>
      </c>
      <c r="B851" s="289"/>
      <c r="C851" s="134" t="s">
        <v>6723</v>
      </c>
      <c r="D851" s="134" t="s">
        <v>6934</v>
      </c>
      <c r="E851" s="134" t="s">
        <v>6935</v>
      </c>
      <c r="F851" s="134" t="s">
        <v>6936</v>
      </c>
      <c r="G851" s="134" t="s">
        <v>6937</v>
      </c>
      <c r="H851" s="134" t="s">
        <v>6938</v>
      </c>
      <c r="I851" s="134" t="s">
        <v>6939</v>
      </c>
      <c r="J851" s="134" t="s">
        <v>1442</v>
      </c>
      <c r="K851" s="134" t="s">
        <v>6940</v>
      </c>
      <c r="L851" s="177" t="s">
        <v>1367</v>
      </c>
      <c r="M851" s="21" t="s">
        <v>1415</v>
      </c>
      <c r="O851" s="176" t="s">
        <v>1649</v>
      </c>
      <c r="P851" s="134" t="s">
        <v>1393</v>
      </c>
    </row>
    <row r="852" spans="1:33" ht="43.15">
      <c r="A852" s="253" t="s">
        <v>6941</v>
      </c>
      <c r="B852" s="289"/>
      <c r="C852" s="134" t="s">
        <v>6723</v>
      </c>
      <c r="D852" s="134" t="s">
        <v>6942</v>
      </c>
      <c r="E852" s="134" t="s">
        <v>6943</v>
      </c>
      <c r="F852" s="134" t="s">
        <v>6944</v>
      </c>
      <c r="G852" s="134" t="s">
        <v>6945</v>
      </c>
      <c r="H852" s="134" t="s">
        <v>6293</v>
      </c>
      <c r="I852" s="134" t="s">
        <v>6946</v>
      </c>
      <c r="J852" s="134" t="s">
        <v>1442</v>
      </c>
      <c r="K852" s="134" t="s">
        <v>6947</v>
      </c>
      <c r="L852" s="177" t="s">
        <v>1367</v>
      </c>
      <c r="M852" s="21" t="s">
        <v>1415</v>
      </c>
      <c r="O852" s="176" t="s">
        <v>1649</v>
      </c>
      <c r="P852" s="134" t="s">
        <v>1481</v>
      </c>
    </row>
    <row r="853" spans="1:33" ht="57.6">
      <c r="A853" s="253" t="s">
        <v>6948</v>
      </c>
      <c r="B853" s="289"/>
      <c r="C853" s="134" t="s">
        <v>6723</v>
      </c>
      <c r="D853" s="134" t="s">
        <v>6949</v>
      </c>
      <c r="E853" s="134" t="s">
        <v>6950</v>
      </c>
      <c r="F853" s="134" t="s">
        <v>6914</v>
      </c>
      <c r="G853" s="134" t="s">
        <v>6951</v>
      </c>
      <c r="H853" s="134" t="s">
        <v>6952</v>
      </c>
      <c r="I853" s="134" t="s">
        <v>6953</v>
      </c>
      <c r="J853" s="134" t="s">
        <v>6954</v>
      </c>
      <c r="K853" s="134" t="s">
        <v>6955</v>
      </c>
      <c r="L853" s="177" t="s">
        <v>1367</v>
      </c>
      <c r="M853" s="21" t="s">
        <v>1415</v>
      </c>
      <c r="O853" s="176" t="s">
        <v>1649</v>
      </c>
      <c r="P853" s="134" t="s">
        <v>22</v>
      </c>
    </row>
    <row r="854" spans="1:33" ht="57.6">
      <c r="A854" s="253" t="s">
        <v>6956</v>
      </c>
      <c r="B854" s="289"/>
      <c r="C854" s="134" t="s">
        <v>6723</v>
      </c>
      <c r="D854" s="134" t="s">
        <v>6957</v>
      </c>
      <c r="E854" s="134" t="s">
        <v>6958</v>
      </c>
      <c r="F854" s="134" t="s">
        <v>6959</v>
      </c>
      <c r="G854" s="134" t="s">
        <v>6960</v>
      </c>
      <c r="H854" s="134" t="s">
        <v>1442</v>
      </c>
      <c r="I854" s="134" t="s">
        <v>6961</v>
      </c>
      <c r="J854" s="134" t="s">
        <v>1442</v>
      </c>
      <c r="K854" s="134" t="s">
        <v>6962</v>
      </c>
      <c r="L854" s="177" t="s">
        <v>1367</v>
      </c>
      <c r="M854" s="21" t="s">
        <v>1415</v>
      </c>
      <c r="O854" s="176" t="s">
        <v>1649</v>
      </c>
      <c r="P854" s="134" t="s">
        <v>1393</v>
      </c>
    </row>
    <row r="855" spans="1:33" ht="43.15">
      <c r="A855" s="253" t="s">
        <v>6963</v>
      </c>
      <c r="B855" s="289"/>
      <c r="C855" s="134" t="s">
        <v>6723</v>
      </c>
      <c r="D855" s="134" t="s">
        <v>6964</v>
      </c>
      <c r="E855" s="134" t="s">
        <v>6965</v>
      </c>
      <c r="F855" s="134" t="s">
        <v>6966</v>
      </c>
      <c r="G855" s="134" t="s">
        <v>6967</v>
      </c>
      <c r="H855" s="134" t="s">
        <v>6968</v>
      </c>
      <c r="I855" s="134" t="s">
        <v>6969</v>
      </c>
      <c r="J855" s="134" t="s">
        <v>6970</v>
      </c>
      <c r="K855" s="134" t="s">
        <v>6971</v>
      </c>
      <c r="L855" s="177" t="s">
        <v>1367</v>
      </c>
      <c r="M855" s="21" t="s">
        <v>1415</v>
      </c>
      <c r="O855" s="176" t="s">
        <v>1649</v>
      </c>
      <c r="P855" s="134" t="s">
        <v>1371</v>
      </c>
    </row>
    <row r="856" spans="1:33" ht="57.6">
      <c r="A856" s="253" t="s">
        <v>6972</v>
      </c>
      <c r="B856" s="289"/>
      <c r="C856" s="134" t="s">
        <v>6723</v>
      </c>
      <c r="D856" s="134" t="s">
        <v>6973</v>
      </c>
      <c r="E856" s="134" t="s">
        <v>6974</v>
      </c>
      <c r="F856" s="134" t="s">
        <v>6975</v>
      </c>
      <c r="G856" s="134" t="s">
        <v>6976</v>
      </c>
      <c r="H856" s="134" t="s">
        <v>6977</v>
      </c>
      <c r="I856" s="134" t="s">
        <v>6978</v>
      </c>
      <c r="J856" s="134" t="s">
        <v>1442</v>
      </c>
      <c r="K856" s="134" t="s">
        <v>6979</v>
      </c>
      <c r="L856" s="175" t="s">
        <v>1381</v>
      </c>
      <c r="M856" s="21" t="s">
        <v>1415</v>
      </c>
      <c r="O856" s="176" t="s">
        <v>1649</v>
      </c>
      <c r="P856" s="134" t="s">
        <v>1371</v>
      </c>
    </row>
    <row r="857" spans="1:33" ht="43.15">
      <c r="A857" s="253" t="s">
        <v>6980</v>
      </c>
      <c r="B857" s="289"/>
      <c r="C857" s="134" t="s">
        <v>6723</v>
      </c>
      <c r="D857" s="134" t="s">
        <v>6981</v>
      </c>
      <c r="E857" s="134" t="s">
        <v>6982</v>
      </c>
      <c r="F857" s="134" t="s">
        <v>6914</v>
      </c>
      <c r="G857" s="134" t="s">
        <v>6983</v>
      </c>
      <c r="H857" s="134" t="s">
        <v>1442</v>
      </c>
      <c r="I857" s="134" t="s">
        <v>6984</v>
      </c>
      <c r="J857" s="134" t="s">
        <v>1442</v>
      </c>
      <c r="K857" s="134" t="s">
        <v>6985</v>
      </c>
      <c r="L857" s="177" t="s">
        <v>1367</v>
      </c>
      <c r="M857" s="21" t="s">
        <v>1415</v>
      </c>
      <c r="O857" s="176" t="s">
        <v>1649</v>
      </c>
      <c r="P857" s="134" t="s">
        <v>1371</v>
      </c>
    </row>
    <row r="858" spans="1:33" ht="43.15">
      <c r="A858" s="253" t="s">
        <v>6986</v>
      </c>
      <c r="B858" s="289"/>
      <c r="C858" s="65" t="s">
        <v>6723</v>
      </c>
      <c r="D858" s="134" t="s">
        <v>6987</v>
      </c>
      <c r="E858" s="134" t="s">
        <v>6988</v>
      </c>
      <c r="F858" s="134" t="s">
        <v>6989</v>
      </c>
      <c r="G858" s="134" t="s">
        <v>6990</v>
      </c>
      <c r="H858" s="134" t="s">
        <v>5014</v>
      </c>
      <c r="I858" s="134" t="s">
        <v>6991</v>
      </c>
      <c r="J858" s="134" t="s">
        <v>1442</v>
      </c>
      <c r="K858" s="134" t="s">
        <v>6992</v>
      </c>
      <c r="L858" s="177" t="s">
        <v>1367</v>
      </c>
      <c r="M858" s="21" t="s">
        <v>1415</v>
      </c>
      <c r="O858" s="176" t="s">
        <v>1649</v>
      </c>
      <c r="P858" s="134" t="s">
        <v>1371</v>
      </c>
    </row>
    <row r="860" spans="1:33" s="55" customFormat="1">
      <c r="A860" s="151"/>
      <c r="C860" s="62"/>
      <c r="D860" s="54"/>
      <c r="E860" s="54"/>
      <c r="F860" s="54"/>
      <c r="G860" s="54"/>
      <c r="H860" s="54"/>
      <c r="I860" s="54"/>
      <c r="J860" s="54"/>
      <c r="K860" s="54"/>
      <c r="L860" s="71"/>
      <c r="M860" s="62"/>
      <c r="O860"/>
      <c r="P860" s="62"/>
      <c r="Q860" s="21"/>
      <c r="R860" s="302"/>
      <c r="S860"/>
      <c r="W860" s="6"/>
      <c r="X860" s="6"/>
      <c r="AG860" s="21"/>
    </row>
    <row r="861" spans="1:33">
      <c r="B861" s="245"/>
      <c r="C861" s="65"/>
      <c r="D861" s="134"/>
      <c r="E861" s="134"/>
      <c r="F861" s="134"/>
      <c r="G861" s="134"/>
      <c r="H861" s="134"/>
      <c r="I861" s="134"/>
      <c r="J861" s="134"/>
      <c r="K861" s="134"/>
      <c r="L861" s="177"/>
      <c r="O861" s="176"/>
      <c r="P861" s="134"/>
    </row>
    <row r="862" spans="1:33" ht="28.9">
      <c r="A862" s="15" t="s">
        <v>6993</v>
      </c>
      <c r="B862" s="398"/>
      <c r="C862" s="23" t="str">
        <f>"AC 00" &amp; ROW()-27</f>
        <v>AC 00835</v>
      </c>
      <c r="D862" s="2" t="s">
        <v>6994</v>
      </c>
      <c r="E862" s="2" t="s">
        <v>6995</v>
      </c>
      <c r="F862" s="2" t="s">
        <v>6996</v>
      </c>
      <c r="G862" s="2" t="s">
        <v>6997</v>
      </c>
      <c r="H862" s="2" t="s">
        <v>1442</v>
      </c>
      <c r="I862" s="2" t="s">
        <v>6998</v>
      </c>
      <c r="J862" s="2" t="s">
        <v>6999</v>
      </c>
      <c r="K862" s="2" t="s">
        <v>7000</v>
      </c>
      <c r="L862" s="6" t="s">
        <v>1367</v>
      </c>
      <c r="M862" s="21" t="s">
        <v>1368</v>
      </c>
      <c r="P862" s="21" t="s">
        <v>22</v>
      </c>
    </row>
    <row r="863" spans="1:33" ht="72">
      <c r="A863" s="15" t="s">
        <v>7001</v>
      </c>
      <c r="B863" s="398"/>
      <c r="C863" s="23" t="str">
        <f t="shared" ref="C863:C870" si="0">"AC 00" &amp; ROW()-27</f>
        <v>AC 00836</v>
      </c>
      <c r="D863" s="2" t="s">
        <v>7002</v>
      </c>
      <c r="E863" s="2" t="s">
        <v>7003</v>
      </c>
      <c r="F863" s="2" t="s">
        <v>7004</v>
      </c>
      <c r="G863" s="2" t="s">
        <v>7005</v>
      </c>
      <c r="H863" s="2" t="s">
        <v>1442</v>
      </c>
      <c r="I863" s="2" t="s">
        <v>7006</v>
      </c>
      <c r="J863" s="2" t="s">
        <v>7007</v>
      </c>
      <c r="K863" s="2" t="s">
        <v>7008</v>
      </c>
      <c r="L863" s="6" t="s">
        <v>1367</v>
      </c>
      <c r="M863" s="21" t="s">
        <v>1368</v>
      </c>
      <c r="P863" s="21" t="s">
        <v>22</v>
      </c>
    </row>
    <row r="864" spans="1:33" ht="86.45">
      <c r="A864" s="15" t="s">
        <v>7009</v>
      </c>
      <c r="B864" s="398"/>
      <c r="C864" s="23" t="str">
        <f t="shared" si="0"/>
        <v>AC 00837</v>
      </c>
      <c r="D864" s="2" t="s">
        <v>7010</v>
      </c>
      <c r="E864" s="2" t="s">
        <v>7011</v>
      </c>
      <c r="F864" s="2" t="s">
        <v>7004</v>
      </c>
      <c r="G864" s="2" t="s">
        <v>7012</v>
      </c>
      <c r="H864" s="2" t="s">
        <v>1442</v>
      </c>
      <c r="I864" s="2" t="s">
        <v>7013</v>
      </c>
      <c r="J864" s="2" t="s">
        <v>7014</v>
      </c>
      <c r="K864" s="2" t="s">
        <v>7015</v>
      </c>
      <c r="L864" s="6" t="s">
        <v>1367</v>
      </c>
      <c r="M864" s="21" t="s">
        <v>1368</v>
      </c>
      <c r="P864" s="21" t="s">
        <v>1371</v>
      </c>
    </row>
    <row r="865" spans="1:33">
      <c r="A865" s="15" t="s">
        <v>7016</v>
      </c>
      <c r="B865" s="398"/>
      <c r="C865" s="23" t="str">
        <f t="shared" si="0"/>
        <v>AC 00838</v>
      </c>
      <c r="D865" s="2" t="s">
        <v>7017</v>
      </c>
      <c r="E865" s="2" t="s">
        <v>7018</v>
      </c>
      <c r="F865" s="2" t="s">
        <v>7004</v>
      </c>
      <c r="G865" s="2" t="s">
        <v>7019</v>
      </c>
      <c r="H865" s="2" t="s">
        <v>1442</v>
      </c>
      <c r="I865" s="2" t="s">
        <v>7020</v>
      </c>
      <c r="J865" s="2" t="s">
        <v>7021</v>
      </c>
      <c r="K865" s="2" t="s">
        <v>7022</v>
      </c>
      <c r="L865" s="6" t="s">
        <v>1367</v>
      </c>
      <c r="M865" s="21" t="s">
        <v>1368</v>
      </c>
      <c r="P865" s="21" t="s">
        <v>22</v>
      </c>
    </row>
    <row r="866" spans="1:33" ht="100.9">
      <c r="A866" s="15" t="s">
        <v>7023</v>
      </c>
      <c r="B866" s="398"/>
      <c r="C866" s="23" t="str">
        <f t="shared" si="0"/>
        <v>AC 00839</v>
      </c>
      <c r="D866" s="2" t="s">
        <v>7024</v>
      </c>
      <c r="E866" s="2" t="s">
        <v>7025</v>
      </c>
      <c r="F866" s="2" t="s">
        <v>7004</v>
      </c>
      <c r="G866" s="2" t="s">
        <v>7026</v>
      </c>
      <c r="H866" s="2" t="s">
        <v>1442</v>
      </c>
      <c r="I866" s="2" t="s">
        <v>7027</v>
      </c>
      <c r="J866" s="2" t="s">
        <v>7028</v>
      </c>
      <c r="K866" s="2" t="s">
        <v>7029</v>
      </c>
      <c r="L866" s="6" t="s">
        <v>1367</v>
      </c>
      <c r="M866" s="21" t="s">
        <v>1368</v>
      </c>
      <c r="P866" s="21" t="s">
        <v>22</v>
      </c>
    </row>
    <row r="867" spans="1:33" ht="28.9">
      <c r="A867" s="15" t="s">
        <v>7030</v>
      </c>
      <c r="B867" s="398"/>
      <c r="C867" s="23" t="str">
        <f t="shared" si="0"/>
        <v>AC 00840</v>
      </c>
      <c r="D867" s="2" t="s">
        <v>7031</v>
      </c>
      <c r="E867" s="2" t="s">
        <v>7032</v>
      </c>
      <c r="F867" s="2" t="s">
        <v>7004</v>
      </c>
      <c r="G867" s="2" t="s">
        <v>7019</v>
      </c>
      <c r="H867" s="2" t="s">
        <v>1442</v>
      </c>
      <c r="I867" s="2" t="s">
        <v>7033</v>
      </c>
      <c r="J867" s="2" t="s">
        <v>7034</v>
      </c>
      <c r="K867" s="2" t="s">
        <v>7035</v>
      </c>
      <c r="L867" s="6" t="s">
        <v>1367</v>
      </c>
      <c r="M867" s="21" t="s">
        <v>1368</v>
      </c>
      <c r="P867" s="21" t="s">
        <v>22</v>
      </c>
    </row>
    <row r="868" spans="1:33" ht="115.15">
      <c r="A868" s="15" t="s">
        <v>7036</v>
      </c>
      <c r="B868" s="398"/>
      <c r="C868" s="23" t="str">
        <f t="shared" si="0"/>
        <v>AC 00841</v>
      </c>
      <c r="D868" s="2" t="s">
        <v>7037</v>
      </c>
      <c r="E868" s="2" t="s">
        <v>7038</v>
      </c>
      <c r="F868" s="2" t="s">
        <v>7039</v>
      </c>
      <c r="G868" s="2" t="s">
        <v>7040</v>
      </c>
      <c r="H868" s="2" t="s">
        <v>1442</v>
      </c>
      <c r="I868" s="2" t="s">
        <v>7041</v>
      </c>
      <c r="J868" s="2" t="s">
        <v>7042</v>
      </c>
      <c r="K868" s="2" t="s">
        <v>7043</v>
      </c>
      <c r="L868" s="6" t="s">
        <v>1367</v>
      </c>
      <c r="M868" s="21" t="s">
        <v>1368</v>
      </c>
      <c r="P868" s="21" t="s">
        <v>22</v>
      </c>
    </row>
    <row r="869" spans="1:33" s="40" customFormat="1" ht="28.9">
      <c r="A869" s="248" t="s">
        <v>7044</v>
      </c>
      <c r="B869" s="398"/>
      <c r="C869" s="23" t="str">
        <f t="shared" si="0"/>
        <v>AC 00842</v>
      </c>
      <c r="D869" s="2" t="s">
        <v>7045</v>
      </c>
      <c r="E869" s="39" t="s">
        <v>7046</v>
      </c>
      <c r="F869" s="39" t="s">
        <v>7004</v>
      </c>
      <c r="G869" s="39" t="s">
        <v>7047</v>
      </c>
      <c r="H869" s="39" t="s">
        <v>1442</v>
      </c>
      <c r="I869" s="39" t="s">
        <v>7048</v>
      </c>
      <c r="J869" s="39" t="s">
        <v>7049</v>
      </c>
      <c r="K869" s="39" t="s">
        <v>7050</v>
      </c>
      <c r="L869" s="72" t="s">
        <v>1367</v>
      </c>
      <c r="M869" s="21" t="s">
        <v>1368</v>
      </c>
      <c r="O869"/>
      <c r="P869" s="41" t="s">
        <v>22</v>
      </c>
      <c r="Q869" s="21"/>
      <c r="R869" s="304"/>
      <c r="S869"/>
      <c r="W869" s="6"/>
      <c r="X869" s="6"/>
      <c r="AG869" s="21"/>
    </row>
    <row r="870" spans="1:33" ht="28.9">
      <c r="A870" s="15" t="s">
        <v>7051</v>
      </c>
      <c r="B870" s="398"/>
      <c r="C870" s="23" t="str">
        <f t="shared" si="0"/>
        <v>AC 00843</v>
      </c>
      <c r="D870" s="2" t="s">
        <v>7052</v>
      </c>
      <c r="E870" s="2" t="s">
        <v>7053</v>
      </c>
      <c r="F870" s="2" t="s">
        <v>7054</v>
      </c>
      <c r="G870" s="2" t="s">
        <v>7055</v>
      </c>
      <c r="H870" s="2" t="s">
        <v>7056</v>
      </c>
      <c r="I870" s="2" t="s">
        <v>7057</v>
      </c>
      <c r="J870" s="2" t="s">
        <v>7058</v>
      </c>
      <c r="K870" s="2" t="s">
        <v>7059</v>
      </c>
      <c r="L870" s="6" t="s">
        <v>1367</v>
      </c>
      <c r="M870" s="21" t="s">
        <v>1368</v>
      </c>
      <c r="P870" s="21" t="s">
        <v>1371</v>
      </c>
      <c r="W870" s="72"/>
      <c r="X870" s="72"/>
    </row>
    <row r="871" spans="1:33" ht="43.15">
      <c r="A871" s="15" t="s">
        <v>7060</v>
      </c>
      <c r="B871" s="398"/>
      <c r="C871" s="23" t="str">
        <f>"AC 0" &amp; ROW()-27</f>
        <v>AC 0844</v>
      </c>
      <c r="D871" s="2" t="s">
        <v>7061</v>
      </c>
      <c r="E871" s="2" t="s">
        <v>7062</v>
      </c>
      <c r="F871" s="2" t="s">
        <v>7063</v>
      </c>
      <c r="G871" s="2" t="s">
        <v>7064</v>
      </c>
      <c r="H871" s="2" t="s">
        <v>1442</v>
      </c>
      <c r="I871" s="2" t="s">
        <v>7065</v>
      </c>
      <c r="J871" s="2" t="s">
        <v>7066</v>
      </c>
      <c r="K871" s="2" t="s">
        <v>7067</v>
      </c>
      <c r="L871" s="6" t="s">
        <v>1367</v>
      </c>
      <c r="M871" s="21" t="s">
        <v>1368</v>
      </c>
      <c r="P871" s="21" t="s">
        <v>1371</v>
      </c>
    </row>
    <row r="872" spans="1:33" ht="28.9">
      <c r="A872" s="15" t="s">
        <v>7068</v>
      </c>
      <c r="B872" s="398"/>
      <c r="C872" s="23" t="str">
        <f t="shared" ref="C872:C887" si="1">"AC 0" &amp; ROW()-27</f>
        <v>AC 0845</v>
      </c>
      <c r="D872" s="2" t="s">
        <v>7069</v>
      </c>
      <c r="E872" s="2" t="s">
        <v>7070</v>
      </c>
      <c r="F872" s="2" t="s">
        <v>7004</v>
      </c>
      <c r="G872" s="2" t="s">
        <v>7071</v>
      </c>
      <c r="H872" s="65" t="s">
        <v>1442</v>
      </c>
      <c r="I872" s="2" t="s">
        <v>7072</v>
      </c>
      <c r="K872" s="2" t="s">
        <v>7073</v>
      </c>
      <c r="L872" s="6" t="s">
        <v>1367</v>
      </c>
      <c r="M872" s="21" t="s">
        <v>1368</v>
      </c>
      <c r="P872" s="21" t="s">
        <v>1371</v>
      </c>
    </row>
    <row r="873" spans="1:33" ht="43.15">
      <c r="A873" s="15" t="s">
        <v>7074</v>
      </c>
      <c r="B873" s="398"/>
      <c r="C873" s="23" t="str">
        <f t="shared" si="1"/>
        <v>AC 0846</v>
      </c>
      <c r="D873" s="2" t="s">
        <v>7075</v>
      </c>
      <c r="E873" s="2" t="s">
        <v>7076</v>
      </c>
      <c r="F873" s="2" t="s">
        <v>7077</v>
      </c>
      <c r="G873" s="2" t="s">
        <v>7078</v>
      </c>
      <c r="H873" s="2" t="s">
        <v>1442</v>
      </c>
      <c r="I873" s="2" t="s">
        <v>7079</v>
      </c>
      <c r="J873" s="2" t="s">
        <v>7080</v>
      </c>
      <c r="K873" s="2" t="s">
        <v>7081</v>
      </c>
      <c r="L873" s="6" t="s">
        <v>1367</v>
      </c>
      <c r="M873" s="21" t="s">
        <v>1404</v>
      </c>
      <c r="P873" s="21" t="s">
        <v>22</v>
      </c>
    </row>
    <row r="874" spans="1:33" ht="43.15">
      <c r="A874" s="15" t="s">
        <v>7082</v>
      </c>
      <c r="B874" s="398"/>
      <c r="C874" s="23" t="str">
        <f t="shared" si="1"/>
        <v>AC 0847</v>
      </c>
      <c r="D874" s="2" t="s">
        <v>7083</v>
      </c>
      <c r="E874" s="2" t="s">
        <v>7084</v>
      </c>
      <c r="F874" s="2" t="s">
        <v>7085</v>
      </c>
      <c r="G874" s="2" t="s">
        <v>7078</v>
      </c>
      <c r="H874" s="2" t="s">
        <v>1442</v>
      </c>
      <c r="I874" s="2" t="s">
        <v>7079</v>
      </c>
      <c r="J874" s="2" t="s">
        <v>7080</v>
      </c>
      <c r="K874" s="2" t="s">
        <v>7081</v>
      </c>
      <c r="L874" s="6" t="s">
        <v>1367</v>
      </c>
      <c r="M874" s="21" t="s">
        <v>1404</v>
      </c>
    </row>
    <row r="875" spans="1:33" ht="28.9">
      <c r="A875" s="15" t="s">
        <v>7086</v>
      </c>
      <c r="B875" s="398"/>
      <c r="C875" s="23" t="str">
        <f t="shared" si="1"/>
        <v>AC 0848</v>
      </c>
      <c r="D875" s="2" t="s">
        <v>7087</v>
      </c>
      <c r="E875" s="2" t="s">
        <v>7088</v>
      </c>
      <c r="F875" s="2" t="s">
        <v>7089</v>
      </c>
      <c r="G875" s="2" t="s">
        <v>7078</v>
      </c>
      <c r="H875" s="2" t="s">
        <v>1442</v>
      </c>
      <c r="I875" s="2" t="s">
        <v>7090</v>
      </c>
      <c r="J875" s="2" t="s">
        <v>7091</v>
      </c>
      <c r="K875" s="2" t="s">
        <v>7092</v>
      </c>
      <c r="L875" s="6" t="s">
        <v>1367</v>
      </c>
      <c r="M875" s="21" t="s">
        <v>1404</v>
      </c>
    </row>
    <row r="876" spans="1:33" ht="57.6">
      <c r="A876" s="15" t="s">
        <v>7093</v>
      </c>
      <c r="B876" s="398"/>
      <c r="C876" s="23" t="str">
        <f t="shared" si="1"/>
        <v>AC 0849</v>
      </c>
      <c r="D876" s="2" t="s">
        <v>7094</v>
      </c>
      <c r="E876" s="2" t="s">
        <v>7095</v>
      </c>
      <c r="F876" s="2" t="s">
        <v>7096</v>
      </c>
      <c r="G876" s="2" t="s">
        <v>7097</v>
      </c>
      <c r="H876" s="2" t="s">
        <v>7098</v>
      </c>
      <c r="I876" s="2" t="s">
        <v>7099</v>
      </c>
      <c r="K876" s="2" t="s">
        <v>7100</v>
      </c>
      <c r="L876" s="6" t="s">
        <v>1367</v>
      </c>
      <c r="M876" s="21" t="s">
        <v>1404</v>
      </c>
    </row>
    <row r="877" spans="1:33" ht="57.6">
      <c r="A877" s="15" t="s">
        <v>7101</v>
      </c>
      <c r="B877" s="398"/>
      <c r="C877" s="23" t="str">
        <f t="shared" si="1"/>
        <v>AC 0850</v>
      </c>
      <c r="D877" s="2" t="s">
        <v>7102</v>
      </c>
      <c r="E877" s="2" t="s">
        <v>7103</v>
      </c>
      <c r="F877" s="2" t="s">
        <v>7096</v>
      </c>
      <c r="G877" s="2" t="s">
        <v>7104</v>
      </c>
      <c r="H877" s="2" t="s">
        <v>7105</v>
      </c>
      <c r="I877" s="2" t="s">
        <v>7106</v>
      </c>
      <c r="J877" s="2" t="s">
        <v>7107</v>
      </c>
      <c r="K877" s="2" t="s">
        <v>7108</v>
      </c>
      <c r="L877" s="6" t="s">
        <v>1367</v>
      </c>
      <c r="M877" s="21" t="s">
        <v>1404</v>
      </c>
    </row>
    <row r="878" spans="1:33" ht="86.45">
      <c r="A878" s="15" t="s">
        <v>7109</v>
      </c>
      <c r="B878" s="398"/>
      <c r="C878" s="23" t="str">
        <f t="shared" si="1"/>
        <v>AC 0851</v>
      </c>
      <c r="D878" s="2" t="s">
        <v>7110</v>
      </c>
      <c r="E878" s="2" t="s">
        <v>7111</v>
      </c>
      <c r="F878" s="2" t="s">
        <v>7112</v>
      </c>
      <c r="G878" s="2" t="s">
        <v>7113</v>
      </c>
      <c r="H878" s="2" t="s">
        <v>7114</v>
      </c>
      <c r="I878" s="2" t="s">
        <v>7115</v>
      </c>
      <c r="J878" s="2" t="s">
        <v>7116</v>
      </c>
      <c r="K878" s="2" t="s">
        <v>7117</v>
      </c>
      <c r="L878" s="6" t="s">
        <v>1381</v>
      </c>
      <c r="M878" s="21" t="s">
        <v>1368</v>
      </c>
      <c r="P878" s="21" t="s">
        <v>22</v>
      </c>
      <c r="Q878" s="21" t="s">
        <v>1404</v>
      </c>
    </row>
    <row r="879" spans="1:33" ht="57.6">
      <c r="A879" s="15" t="s">
        <v>7118</v>
      </c>
      <c r="B879" s="398"/>
      <c r="C879" s="23" t="str">
        <f t="shared" si="1"/>
        <v>AC 0852</v>
      </c>
      <c r="D879" s="2" t="s">
        <v>7119</v>
      </c>
      <c r="E879" s="2" t="s">
        <v>7120</v>
      </c>
      <c r="F879" s="2" t="s">
        <v>7121</v>
      </c>
      <c r="G879" s="2" t="s">
        <v>7122</v>
      </c>
      <c r="H879" s="2" t="s">
        <v>7123</v>
      </c>
      <c r="I879" s="2" t="s">
        <v>7124</v>
      </c>
      <c r="J879" s="2" t="s">
        <v>7125</v>
      </c>
      <c r="K879" s="2" t="s">
        <v>7126</v>
      </c>
      <c r="L879" s="6" t="s">
        <v>1367</v>
      </c>
      <c r="M879" s="21" t="s">
        <v>1368</v>
      </c>
      <c r="P879" s="21" t="s">
        <v>22</v>
      </c>
      <c r="Q879" s="21" t="s">
        <v>1404</v>
      </c>
    </row>
    <row r="880" spans="1:33" ht="43.15">
      <c r="A880" s="15" t="s">
        <v>7127</v>
      </c>
      <c r="B880" s="398"/>
      <c r="C880" s="23" t="str">
        <f t="shared" si="1"/>
        <v>AC 0853</v>
      </c>
      <c r="D880" s="2" t="s">
        <v>7128</v>
      </c>
      <c r="E880" s="2" t="s">
        <v>7129</v>
      </c>
      <c r="F880" s="2" t="s">
        <v>7112</v>
      </c>
      <c r="G880" s="2" t="s">
        <v>7130</v>
      </c>
      <c r="H880" s="2" t="s">
        <v>7131</v>
      </c>
      <c r="I880" s="2" t="s">
        <v>7132</v>
      </c>
      <c r="J880" s="2" t="s">
        <v>7133</v>
      </c>
      <c r="K880" s="2" t="s">
        <v>7134</v>
      </c>
      <c r="L880" s="6" t="s">
        <v>1381</v>
      </c>
      <c r="M880" s="21" t="s">
        <v>1368</v>
      </c>
      <c r="P880" s="21" t="s">
        <v>22</v>
      </c>
      <c r="Q880" s="21" t="s">
        <v>1404</v>
      </c>
    </row>
    <row r="881" spans="1:17" ht="43.15">
      <c r="A881" s="15" t="s">
        <v>7135</v>
      </c>
      <c r="B881" s="398"/>
      <c r="C881" s="23" t="str">
        <f t="shared" si="1"/>
        <v>AC 0854</v>
      </c>
      <c r="D881" s="2" t="s">
        <v>7136</v>
      </c>
      <c r="E881" s="2" t="s">
        <v>7137</v>
      </c>
      <c r="F881" s="2" t="s">
        <v>7112</v>
      </c>
      <c r="G881" s="2" t="s">
        <v>7138</v>
      </c>
      <c r="H881" s="2" t="s">
        <v>7139</v>
      </c>
      <c r="I881" s="2" t="s">
        <v>7140</v>
      </c>
      <c r="J881" s="2" t="s">
        <v>7141</v>
      </c>
      <c r="K881" s="2" t="s">
        <v>7142</v>
      </c>
      <c r="L881" s="6" t="s">
        <v>1381</v>
      </c>
      <c r="M881" s="21" t="s">
        <v>1368</v>
      </c>
      <c r="P881" s="21" t="s">
        <v>1371</v>
      </c>
      <c r="Q881" s="21" t="s">
        <v>1404</v>
      </c>
    </row>
    <row r="882" spans="1:17" ht="57.6">
      <c r="A882" s="15" t="s">
        <v>7143</v>
      </c>
      <c r="B882" s="398"/>
      <c r="C882" s="23" t="str">
        <f t="shared" si="1"/>
        <v>AC 0855</v>
      </c>
      <c r="D882" s="2" t="s">
        <v>7144</v>
      </c>
      <c r="E882" s="2" t="s">
        <v>7145</v>
      </c>
      <c r="F882" s="2" t="s">
        <v>7112</v>
      </c>
      <c r="G882" s="2" t="s">
        <v>7146</v>
      </c>
      <c r="H882" s="2" t="s">
        <v>1795</v>
      </c>
      <c r="I882" s="2" t="s">
        <v>7147</v>
      </c>
      <c r="J882" s="2" t="s">
        <v>7148</v>
      </c>
      <c r="K882" s="2" t="s">
        <v>7149</v>
      </c>
      <c r="L882" s="6" t="s">
        <v>1367</v>
      </c>
      <c r="M882" s="21" t="s">
        <v>1368</v>
      </c>
      <c r="P882" s="21" t="s">
        <v>1393</v>
      </c>
      <c r="Q882" s="21" t="s">
        <v>1404</v>
      </c>
    </row>
    <row r="883" spans="1:17" ht="28.9">
      <c r="A883" s="15" t="s">
        <v>7150</v>
      </c>
      <c r="B883" s="398"/>
      <c r="C883" s="23" t="str">
        <f t="shared" si="1"/>
        <v>AC 0856</v>
      </c>
      <c r="D883" s="2" t="s">
        <v>7151</v>
      </c>
      <c r="E883" s="2" t="s">
        <v>7152</v>
      </c>
      <c r="F883" s="2" t="s">
        <v>7112</v>
      </c>
      <c r="G883" s="2" t="s">
        <v>7153</v>
      </c>
      <c r="H883" s="2" t="s">
        <v>7154</v>
      </c>
      <c r="I883" s="2" t="s">
        <v>7155</v>
      </c>
      <c r="J883" s="2" t="s">
        <v>7156</v>
      </c>
      <c r="K883" s="2" t="s">
        <v>7157</v>
      </c>
      <c r="L883" s="6" t="s">
        <v>1367</v>
      </c>
      <c r="M883" s="21" t="s">
        <v>1368</v>
      </c>
      <c r="P883" s="21" t="s">
        <v>1393</v>
      </c>
    </row>
    <row r="884" spans="1:17" ht="43.15">
      <c r="A884" s="15" t="s">
        <v>7158</v>
      </c>
      <c r="B884" s="398"/>
      <c r="C884" s="23" t="str">
        <f t="shared" si="1"/>
        <v>AC 0857</v>
      </c>
      <c r="D884" s="2" t="s">
        <v>7159</v>
      </c>
      <c r="E884" s="2" t="s">
        <v>7160</v>
      </c>
      <c r="F884" s="2" t="s">
        <v>7112</v>
      </c>
      <c r="G884" s="2" t="s">
        <v>7161</v>
      </c>
      <c r="H884" s="2" t="s">
        <v>7162</v>
      </c>
      <c r="I884" s="2" t="s">
        <v>7163</v>
      </c>
      <c r="J884" s="2" t="s">
        <v>7164</v>
      </c>
      <c r="K884" s="2" t="s">
        <v>7165</v>
      </c>
      <c r="L884" s="6" t="s">
        <v>1367</v>
      </c>
      <c r="M884" s="21" t="s">
        <v>1368</v>
      </c>
      <c r="P884" s="21" t="s">
        <v>1371</v>
      </c>
    </row>
    <row r="885" spans="1:17" ht="43.15">
      <c r="A885" s="15" t="s">
        <v>7166</v>
      </c>
      <c r="B885" s="398"/>
      <c r="C885" s="23" t="str">
        <f t="shared" si="1"/>
        <v>AC 0858</v>
      </c>
      <c r="D885" s="2" t="s">
        <v>7167</v>
      </c>
      <c r="E885" s="2" t="s">
        <v>7168</v>
      </c>
      <c r="F885" s="2" t="s">
        <v>7112</v>
      </c>
      <c r="G885" s="2" t="s">
        <v>7169</v>
      </c>
      <c r="H885" s="2" t="s">
        <v>7154</v>
      </c>
      <c r="I885" s="2" t="s">
        <v>7170</v>
      </c>
      <c r="J885" s="2" t="s">
        <v>7171</v>
      </c>
      <c r="K885" s="2" t="s">
        <v>7172</v>
      </c>
      <c r="L885" s="6" t="s">
        <v>1381</v>
      </c>
      <c r="M885" s="21" t="s">
        <v>1368</v>
      </c>
      <c r="P885" s="21" t="s">
        <v>1481</v>
      </c>
    </row>
    <row r="886" spans="1:17" ht="43.15">
      <c r="A886" s="15" t="s">
        <v>7173</v>
      </c>
      <c r="B886" s="398"/>
      <c r="C886" s="23" t="str">
        <f t="shared" si="1"/>
        <v>AC 0859</v>
      </c>
      <c r="D886" s="2" t="s">
        <v>7174</v>
      </c>
      <c r="E886" s="2" t="s">
        <v>7175</v>
      </c>
      <c r="F886" s="2" t="s">
        <v>7112</v>
      </c>
      <c r="G886" s="2" t="s">
        <v>7176</v>
      </c>
      <c r="H886" s="2" t="s">
        <v>1442</v>
      </c>
      <c r="I886" s="2" t="s">
        <v>7177</v>
      </c>
      <c r="J886" s="2" t="s">
        <v>7178</v>
      </c>
      <c r="K886" s="2" t="s">
        <v>7179</v>
      </c>
      <c r="L886" s="6" t="s">
        <v>1367</v>
      </c>
      <c r="M886" s="21" t="s">
        <v>1368</v>
      </c>
    </row>
    <row r="887" spans="1:17" ht="28.9">
      <c r="A887" s="15" t="s">
        <v>7180</v>
      </c>
      <c r="B887" s="398"/>
      <c r="C887" s="23" t="str">
        <f t="shared" si="1"/>
        <v>AC 0860</v>
      </c>
      <c r="D887" s="2" t="s">
        <v>7181</v>
      </c>
      <c r="E887" s="2" t="s">
        <v>7182</v>
      </c>
      <c r="F887" s="2" t="s">
        <v>7112</v>
      </c>
      <c r="G887" s="2" t="s">
        <v>7183</v>
      </c>
      <c r="H887" s="2" t="s">
        <v>1442</v>
      </c>
      <c r="I887" s="2" t="s">
        <v>7184</v>
      </c>
      <c r="J887" s="2" t="s">
        <v>7185</v>
      </c>
      <c r="K887" s="2" t="s">
        <v>7186</v>
      </c>
      <c r="L887" s="6" t="s">
        <v>1367</v>
      </c>
      <c r="M887" s="21" t="s">
        <v>1404</v>
      </c>
    </row>
    <row r="888" spans="1:17" ht="28.9">
      <c r="A888" s="15" t="s">
        <v>7187</v>
      </c>
      <c r="B888" s="398"/>
      <c r="C888" s="2" t="str">
        <f t="shared" ref="C888:C920" si="2">"AC 0" &amp; ROW()-27</f>
        <v>AC 0861</v>
      </c>
      <c r="D888" s="2" t="s">
        <v>7188</v>
      </c>
      <c r="E888" s="2" t="s">
        <v>7189</v>
      </c>
      <c r="F888" s="2" t="s">
        <v>7190</v>
      </c>
      <c r="G888" s="2" t="s">
        <v>7191</v>
      </c>
      <c r="H888" s="2" t="s">
        <v>1442</v>
      </c>
      <c r="I888" s="2" t="s">
        <v>7192</v>
      </c>
      <c r="J888" s="2" t="s">
        <v>1442</v>
      </c>
      <c r="K888" s="2" t="s">
        <v>7193</v>
      </c>
      <c r="L888" s="6" t="s">
        <v>1367</v>
      </c>
      <c r="M888" s="21" t="s">
        <v>1404</v>
      </c>
    </row>
    <row r="889" spans="1:17" ht="115.15">
      <c r="A889" s="15" t="s">
        <v>7194</v>
      </c>
      <c r="B889" s="398"/>
      <c r="C889" s="2" t="str">
        <f t="shared" si="2"/>
        <v>AC 0862</v>
      </c>
      <c r="D889" s="2" t="s">
        <v>7195</v>
      </c>
      <c r="E889" s="2" t="s">
        <v>7196</v>
      </c>
      <c r="F889" s="2" t="s">
        <v>7190</v>
      </c>
      <c r="G889" s="2" t="s">
        <v>7197</v>
      </c>
      <c r="H889" s="2" t="s">
        <v>7198</v>
      </c>
      <c r="I889" s="2" t="s">
        <v>7199</v>
      </c>
      <c r="J889" s="2" t="s">
        <v>7200</v>
      </c>
      <c r="K889" s="2" t="s">
        <v>7201</v>
      </c>
      <c r="L889" s="6" t="s">
        <v>1367</v>
      </c>
      <c r="M889" s="21" t="s">
        <v>1404</v>
      </c>
    </row>
    <row r="890" spans="1:17" ht="115.15">
      <c r="A890" s="15" t="s">
        <v>7202</v>
      </c>
      <c r="B890" s="398"/>
      <c r="C890" s="2" t="str">
        <f t="shared" si="2"/>
        <v>AC 0863</v>
      </c>
      <c r="D890" s="2" t="s">
        <v>7203</v>
      </c>
      <c r="E890" s="2" t="s">
        <v>7204</v>
      </c>
      <c r="F890" s="2" t="s">
        <v>7190</v>
      </c>
      <c r="G890" s="2" t="s">
        <v>7205</v>
      </c>
      <c r="H890" s="2" t="s">
        <v>7206</v>
      </c>
      <c r="I890" s="2" t="s">
        <v>7207</v>
      </c>
      <c r="J890" s="2" t="s">
        <v>7208</v>
      </c>
      <c r="K890" s="2" t="s">
        <v>7201</v>
      </c>
      <c r="L890" s="6" t="s">
        <v>1367</v>
      </c>
      <c r="M890" s="21" t="s">
        <v>1404</v>
      </c>
    </row>
    <row r="891" spans="1:17" ht="100.9">
      <c r="A891" s="15" t="s">
        <v>7209</v>
      </c>
      <c r="B891" s="398"/>
      <c r="C891" s="2" t="str">
        <f t="shared" si="2"/>
        <v>AC 0864</v>
      </c>
      <c r="D891" s="2" t="s">
        <v>7210</v>
      </c>
      <c r="E891" s="2" t="s">
        <v>7211</v>
      </c>
      <c r="F891" s="2" t="s">
        <v>7190</v>
      </c>
      <c r="G891" s="2" t="s">
        <v>7212</v>
      </c>
      <c r="H891" s="2" t="s">
        <v>7213</v>
      </c>
      <c r="I891" s="2" t="s">
        <v>7214</v>
      </c>
      <c r="J891" s="2" t="s">
        <v>7215</v>
      </c>
      <c r="K891" s="2" t="s">
        <v>7216</v>
      </c>
      <c r="L891" s="6" t="s">
        <v>1367</v>
      </c>
      <c r="M891" s="21" t="s">
        <v>1404</v>
      </c>
    </row>
    <row r="892" spans="1:17" ht="57.6">
      <c r="A892" s="15" t="s">
        <v>7217</v>
      </c>
      <c r="B892" s="398"/>
      <c r="C892" s="2" t="str">
        <f t="shared" si="2"/>
        <v>AC 0865</v>
      </c>
      <c r="D892" s="2" t="s">
        <v>7218</v>
      </c>
      <c r="E892" s="2" t="s">
        <v>7219</v>
      </c>
      <c r="F892" s="2" t="s">
        <v>7190</v>
      </c>
      <c r="G892" s="2" t="s">
        <v>7220</v>
      </c>
      <c r="H892" s="2" t="s">
        <v>7221</v>
      </c>
      <c r="I892" s="2" t="s">
        <v>7222</v>
      </c>
      <c r="J892" s="2" t="s">
        <v>7223</v>
      </c>
      <c r="K892" s="2" t="s">
        <v>7216</v>
      </c>
      <c r="L892" s="6" t="s">
        <v>1367</v>
      </c>
      <c r="M892" s="21" t="s">
        <v>1404</v>
      </c>
    </row>
    <row r="893" spans="1:17" ht="86.45">
      <c r="A893" s="15" t="s">
        <v>7224</v>
      </c>
      <c r="B893" s="398"/>
      <c r="C893" s="2" t="str">
        <f t="shared" si="2"/>
        <v>AC 0866</v>
      </c>
      <c r="D893" s="2" t="s">
        <v>7225</v>
      </c>
      <c r="E893" s="2" t="s">
        <v>7226</v>
      </c>
      <c r="F893" s="2" t="s">
        <v>7190</v>
      </c>
      <c r="G893" s="2" t="s">
        <v>7227</v>
      </c>
      <c r="H893" s="2" t="s">
        <v>7228</v>
      </c>
      <c r="I893" s="2" t="s">
        <v>7229</v>
      </c>
      <c r="J893" s="2" t="s">
        <v>7223</v>
      </c>
      <c r="K893" s="2" t="s">
        <v>7230</v>
      </c>
      <c r="L893" s="6" t="s">
        <v>1367</v>
      </c>
      <c r="M893" s="21" t="s">
        <v>1404</v>
      </c>
    </row>
    <row r="894" spans="1:17" ht="57.6">
      <c r="A894" s="15" t="s">
        <v>7231</v>
      </c>
      <c r="B894" s="398"/>
      <c r="C894" s="2" t="str">
        <f t="shared" si="2"/>
        <v>AC 0867</v>
      </c>
      <c r="D894" s="2" t="s">
        <v>7232</v>
      </c>
      <c r="E894" s="2" t="s">
        <v>7233</v>
      </c>
      <c r="F894" s="2" t="s">
        <v>7190</v>
      </c>
      <c r="G894" s="2" t="s">
        <v>7234</v>
      </c>
      <c r="H894" s="2" t="s">
        <v>7235</v>
      </c>
      <c r="I894" s="2" t="s">
        <v>7236</v>
      </c>
      <c r="J894" s="2" t="s">
        <v>7223</v>
      </c>
      <c r="K894" s="2" t="s">
        <v>7230</v>
      </c>
      <c r="L894" s="6" t="s">
        <v>1367</v>
      </c>
      <c r="M894" s="21" t="s">
        <v>1404</v>
      </c>
    </row>
    <row r="895" spans="1:17" ht="187.15">
      <c r="A895" s="15" t="s">
        <v>7237</v>
      </c>
      <c r="B895" s="398"/>
      <c r="C895" s="2" t="str">
        <f t="shared" si="2"/>
        <v>AC 0868</v>
      </c>
      <c r="D895" s="2" t="s">
        <v>7238</v>
      </c>
      <c r="E895" s="2" t="s">
        <v>7239</v>
      </c>
      <c r="F895" s="2" t="s">
        <v>7190</v>
      </c>
      <c r="G895" s="2" t="s">
        <v>7240</v>
      </c>
      <c r="H895" s="2" t="s">
        <v>7198</v>
      </c>
      <c r="I895" s="2" t="s">
        <v>7241</v>
      </c>
      <c r="J895" s="2" t="s">
        <v>7242</v>
      </c>
      <c r="K895" s="2" t="s">
        <v>7243</v>
      </c>
      <c r="L895" s="6" t="s">
        <v>1367</v>
      </c>
      <c r="M895" s="21" t="s">
        <v>1404</v>
      </c>
    </row>
    <row r="896" spans="1:17" ht="57.6">
      <c r="A896" s="15" t="s">
        <v>7244</v>
      </c>
      <c r="B896" s="398"/>
      <c r="C896" s="2" t="str">
        <f t="shared" si="2"/>
        <v>AC 0869</v>
      </c>
      <c r="D896" s="2" t="s">
        <v>7245</v>
      </c>
      <c r="E896" s="2" t="s">
        <v>7246</v>
      </c>
      <c r="F896" s="2" t="s">
        <v>7247</v>
      </c>
      <c r="G896" s="2" t="s">
        <v>7248</v>
      </c>
      <c r="H896" s="2" t="s">
        <v>7249</v>
      </c>
      <c r="I896" s="2" t="s">
        <v>7250</v>
      </c>
      <c r="J896" s="2" t="s">
        <v>7251</v>
      </c>
      <c r="K896" s="2" t="s">
        <v>7252</v>
      </c>
      <c r="L896" s="6" t="s">
        <v>1367</v>
      </c>
      <c r="M896" s="21" t="s">
        <v>1404</v>
      </c>
    </row>
    <row r="897" spans="1:24" ht="100.9">
      <c r="A897" s="15" t="s">
        <v>7253</v>
      </c>
      <c r="B897" s="398"/>
      <c r="C897" s="2" t="str">
        <f t="shared" si="2"/>
        <v>AC 0870</v>
      </c>
      <c r="D897" s="2" t="s">
        <v>7254</v>
      </c>
      <c r="E897" s="2" t="s">
        <v>7255</v>
      </c>
      <c r="F897" s="2" t="s">
        <v>7256</v>
      </c>
      <c r="G897" s="2" t="s">
        <v>7257</v>
      </c>
      <c r="H897" s="2" t="s">
        <v>7258</v>
      </c>
      <c r="I897" s="2" t="s">
        <v>7259</v>
      </c>
      <c r="J897" s="2" t="s">
        <v>7260</v>
      </c>
      <c r="K897" s="2" t="s">
        <v>7261</v>
      </c>
      <c r="L897" s="6" t="s">
        <v>1367</v>
      </c>
      <c r="M897" s="21" t="s">
        <v>1404</v>
      </c>
      <c r="P897" s="19" t="s">
        <v>6013</v>
      </c>
    </row>
    <row r="898" spans="1:24" ht="72">
      <c r="A898" s="15" t="s">
        <v>7262</v>
      </c>
      <c r="B898" s="398"/>
      <c r="C898" s="2" t="str">
        <f t="shared" si="2"/>
        <v>AC 0871</v>
      </c>
      <c r="D898" s="2" t="s">
        <v>7263</v>
      </c>
      <c r="E898" s="2" t="s">
        <v>7264</v>
      </c>
      <c r="F898" s="2" t="s">
        <v>7265</v>
      </c>
      <c r="G898" s="2" t="s">
        <v>7266</v>
      </c>
      <c r="H898" s="2" t="s">
        <v>7267</v>
      </c>
      <c r="I898" s="2" t="s">
        <v>7268</v>
      </c>
      <c r="J898" s="2" t="s">
        <v>1442</v>
      </c>
      <c r="K898" s="2" t="s">
        <v>7269</v>
      </c>
      <c r="L898" s="6" t="s">
        <v>1367</v>
      </c>
      <c r="M898" s="21" t="s">
        <v>1404</v>
      </c>
      <c r="P898" s="21" t="s">
        <v>22</v>
      </c>
    </row>
    <row r="899" spans="1:24" ht="72">
      <c r="A899" s="15" t="s">
        <v>7270</v>
      </c>
      <c r="B899" s="398"/>
      <c r="C899" s="2" t="str">
        <f t="shared" si="2"/>
        <v>AC 0872</v>
      </c>
      <c r="D899" s="2" t="s">
        <v>7271</v>
      </c>
      <c r="E899" s="2" t="s">
        <v>7272</v>
      </c>
      <c r="F899" s="2" t="s">
        <v>7265</v>
      </c>
      <c r="G899" s="2" t="s">
        <v>7273</v>
      </c>
      <c r="H899" s="2" t="s">
        <v>7274</v>
      </c>
      <c r="I899" s="2" t="s">
        <v>7275</v>
      </c>
      <c r="J899" s="2" t="s">
        <v>1442</v>
      </c>
      <c r="K899" s="2" t="s">
        <v>7276</v>
      </c>
      <c r="L899" s="6" t="s">
        <v>1367</v>
      </c>
      <c r="M899" s="21" t="s">
        <v>1404</v>
      </c>
      <c r="P899" s="21" t="s">
        <v>22</v>
      </c>
    </row>
    <row r="900" spans="1:24" ht="72">
      <c r="A900" s="15" t="s">
        <v>7277</v>
      </c>
      <c r="B900" s="398"/>
      <c r="C900" s="2" t="str">
        <f t="shared" si="2"/>
        <v>AC 0873</v>
      </c>
      <c r="D900" s="2" t="s">
        <v>7278</v>
      </c>
      <c r="E900" s="2" t="s">
        <v>7279</v>
      </c>
      <c r="F900" s="2" t="s">
        <v>7265</v>
      </c>
      <c r="G900" s="2" t="s">
        <v>7280</v>
      </c>
      <c r="H900" s="2" t="s">
        <v>7281</v>
      </c>
      <c r="I900" s="2" t="s">
        <v>7282</v>
      </c>
      <c r="J900" s="2" t="s">
        <v>1442</v>
      </c>
      <c r="K900" s="2" t="s">
        <v>7283</v>
      </c>
      <c r="L900" s="6" t="s">
        <v>1367</v>
      </c>
      <c r="M900" s="21" t="s">
        <v>1404</v>
      </c>
      <c r="P900" s="21" t="s">
        <v>1371</v>
      </c>
    </row>
    <row r="901" spans="1:24" ht="72">
      <c r="A901" s="15" t="s">
        <v>7284</v>
      </c>
      <c r="B901" s="398"/>
      <c r="C901" s="2" t="str">
        <f t="shared" si="2"/>
        <v>AC 0874</v>
      </c>
      <c r="D901" s="2" t="s">
        <v>7285</v>
      </c>
      <c r="E901" s="2" t="s">
        <v>7286</v>
      </c>
      <c r="F901" s="2" t="s">
        <v>7265</v>
      </c>
      <c r="G901" s="2" t="s">
        <v>7287</v>
      </c>
      <c r="H901" s="2" t="s">
        <v>7288</v>
      </c>
      <c r="I901" s="2" t="s">
        <v>7289</v>
      </c>
      <c r="J901" s="2" t="s">
        <v>1442</v>
      </c>
      <c r="K901" s="2" t="s">
        <v>7290</v>
      </c>
      <c r="L901" s="6" t="s">
        <v>1367</v>
      </c>
      <c r="M901" s="21" t="s">
        <v>1404</v>
      </c>
      <c r="P901" s="21" t="s">
        <v>1371</v>
      </c>
    </row>
    <row r="902" spans="1:24" ht="72">
      <c r="A902" s="15" t="s">
        <v>7291</v>
      </c>
      <c r="B902" s="398"/>
      <c r="C902" s="2" t="str">
        <f t="shared" si="2"/>
        <v>AC 0875</v>
      </c>
      <c r="D902" s="2" t="s">
        <v>7292</v>
      </c>
      <c r="E902" s="2" t="s">
        <v>7293</v>
      </c>
      <c r="F902" s="2" t="s">
        <v>7265</v>
      </c>
      <c r="G902" s="2" t="s">
        <v>7294</v>
      </c>
      <c r="H902" s="2" t="s">
        <v>7295</v>
      </c>
      <c r="I902" s="2" t="s">
        <v>7296</v>
      </c>
      <c r="J902" s="2" t="s">
        <v>1442</v>
      </c>
      <c r="K902" s="2" t="s">
        <v>7297</v>
      </c>
      <c r="L902" s="6" t="s">
        <v>1367</v>
      </c>
      <c r="M902" s="21" t="s">
        <v>1404</v>
      </c>
      <c r="P902" s="21" t="s">
        <v>1481</v>
      </c>
    </row>
    <row r="903" spans="1:24" ht="72">
      <c r="A903" s="15" t="s">
        <v>7298</v>
      </c>
      <c r="B903" s="398"/>
      <c r="C903" s="2" t="str">
        <f t="shared" si="2"/>
        <v>AC 0876</v>
      </c>
      <c r="D903" s="2" t="s">
        <v>7299</v>
      </c>
      <c r="E903" s="2" t="s">
        <v>7300</v>
      </c>
      <c r="F903" s="2" t="s">
        <v>7265</v>
      </c>
      <c r="G903" s="2" t="s">
        <v>7301</v>
      </c>
      <c r="H903" s="2" t="s">
        <v>7302</v>
      </c>
      <c r="I903" s="2" t="s">
        <v>7303</v>
      </c>
      <c r="J903" s="2" t="s">
        <v>1442</v>
      </c>
      <c r="K903" s="2" t="s">
        <v>7304</v>
      </c>
      <c r="L903" s="6" t="s">
        <v>1367</v>
      </c>
      <c r="M903" s="21" t="s">
        <v>1404</v>
      </c>
      <c r="P903" s="21" t="s">
        <v>1371</v>
      </c>
    </row>
    <row r="904" spans="1:24" ht="72">
      <c r="A904" s="15" t="s">
        <v>7305</v>
      </c>
      <c r="B904" s="398"/>
      <c r="C904" s="2" t="str">
        <f t="shared" si="2"/>
        <v>AC 0877</v>
      </c>
      <c r="D904" s="2" t="s">
        <v>7306</v>
      </c>
      <c r="E904" s="2" t="s">
        <v>7307</v>
      </c>
      <c r="F904" s="2" t="s">
        <v>7265</v>
      </c>
      <c r="G904" s="2" t="s">
        <v>7308</v>
      </c>
      <c r="H904" s="2" t="s">
        <v>7309</v>
      </c>
      <c r="I904" s="2" t="s">
        <v>7310</v>
      </c>
      <c r="J904" s="2" t="s">
        <v>1442</v>
      </c>
      <c r="K904" s="2" t="s">
        <v>7311</v>
      </c>
      <c r="L904" s="6" t="s">
        <v>1367</v>
      </c>
      <c r="M904" s="21" t="s">
        <v>1404</v>
      </c>
      <c r="P904" s="21" t="s">
        <v>1371</v>
      </c>
    </row>
    <row r="905" spans="1:24" ht="43.15">
      <c r="A905" s="15" t="s">
        <v>7312</v>
      </c>
      <c r="B905" s="398"/>
      <c r="C905" s="2" t="str">
        <f t="shared" si="2"/>
        <v>AC 0878</v>
      </c>
      <c r="D905" s="2" t="s">
        <v>7313</v>
      </c>
      <c r="E905" s="2" t="s">
        <v>7314</v>
      </c>
      <c r="F905" s="2" t="s">
        <v>7256</v>
      </c>
      <c r="G905" s="2" t="s">
        <v>7315</v>
      </c>
      <c r="H905" s="2" t="s">
        <v>7316</v>
      </c>
      <c r="I905" s="2" t="s">
        <v>7317</v>
      </c>
      <c r="J905" s="2" t="s">
        <v>7318</v>
      </c>
      <c r="K905" s="2" t="s">
        <v>7319</v>
      </c>
      <c r="L905" s="6" t="s">
        <v>1367</v>
      </c>
      <c r="M905" s="21" t="s">
        <v>1404</v>
      </c>
      <c r="P905" s="21" t="s">
        <v>1371</v>
      </c>
    </row>
    <row r="906" spans="1:24" ht="57.6">
      <c r="A906" s="15" t="s">
        <v>7320</v>
      </c>
      <c r="B906" s="398"/>
      <c r="C906" s="2" t="str">
        <f t="shared" si="2"/>
        <v>AC 0879</v>
      </c>
      <c r="D906" s="2" t="s">
        <v>7321</v>
      </c>
      <c r="E906" s="2" t="s">
        <v>7322</v>
      </c>
      <c r="F906" s="2" t="s">
        <v>7323</v>
      </c>
      <c r="G906" s="2" t="s">
        <v>7324</v>
      </c>
      <c r="H906" s="2" t="s">
        <v>1442</v>
      </c>
      <c r="I906" s="2" t="s">
        <v>7325</v>
      </c>
      <c r="J906" s="2" t="s">
        <v>7326</v>
      </c>
      <c r="K906" s="2" t="s">
        <v>7327</v>
      </c>
      <c r="L906" s="6" t="s">
        <v>1367</v>
      </c>
      <c r="M906" s="21" t="s">
        <v>1404</v>
      </c>
      <c r="P906" s="21" t="s">
        <v>22</v>
      </c>
    </row>
    <row r="907" spans="1:24" ht="28.9">
      <c r="A907" s="15" t="s">
        <v>7328</v>
      </c>
      <c r="B907" s="398"/>
      <c r="C907" s="2" t="str">
        <f t="shared" si="2"/>
        <v>AC 0880</v>
      </c>
      <c r="D907" s="2" t="s">
        <v>7329</v>
      </c>
      <c r="E907" s="2" t="s">
        <v>7330</v>
      </c>
      <c r="F907" s="2" t="s">
        <v>7331</v>
      </c>
      <c r="G907" s="2" t="s">
        <v>7332</v>
      </c>
      <c r="H907" s="2" t="s">
        <v>7267</v>
      </c>
      <c r="I907" s="2" t="s">
        <v>7333</v>
      </c>
      <c r="J907" s="2" t="s">
        <v>7334</v>
      </c>
      <c r="K907" s="2" t="s">
        <v>7335</v>
      </c>
      <c r="L907" s="6" t="s">
        <v>1367</v>
      </c>
      <c r="M907" s="21" t="s">
        <v>1404</v>
      </c>
      <c r="P907" s="21" t="s">
        <v>22</v>
      </c>
    </row>
    <row r="908" spans="1:24" ht="28.9">
      <c r="A908" s="15" t="s">
        <v>7336</v>
      </c>
      <c r="B908" s="398"/>
      <c r="C908" s="2" t="str">
        <f t="shared" si="2"/>
        <v>AC 0881</v>
      </c>
      <c r="D908" s="2" t="s">
        <v>7337</v>
      </c>
      <c r="E908" s="2" t="s">
        <v>7338</v>
      </c>
      <c r="F908" s="2" t="s">
        <v>7331</v>
      </c>
      <c r="G908" s="2" t="s">
        <v>7339</v>
      </c>
      <c r="H908" s="2" t="s">
        <v>7267</v>
      </c>
      <c r="I908" s="2" t="s">
        <v>7333</v>
      </c>
      <c r="J908" s="2" t="s">
        <v>7334</v>
      </c>
      <c r="K908" s="2" t="s">
        <v>7335</v>
      </c>
      <c r="L908" s="6" t="s">
        <v>1367</v>
      </c>
      <c r="M908" s="21" t="s">
        <v>1404</v>
      </c>
      <c r="P908" s="21" t="s">
        <v>22</v>
      </c>
    </row>
    <row r="909" spans="1:24" ht="172.9">
      <c r="A909" s="15" t="s">
        <v>7340</v>
      </c>
      <c r="B909" s="398"/>
      <c r="C909" s="2" t="str">
        <f t="shared" si="2"/>
        <v>AC 0882</v>
      </c>
      <c r="D909" s="2" t="s">
        <v>7341</v>
      </c>
      <c r="E909" s="2" t="s">
        <v>7342</v>
      </c>
      <c r="F909" s="2" t="s">
        <v>7343</v>
      </c>
      <c r="G909" s="2" t="s">
        <v>7344</v>
      </c>
      <c r="H909" s="2" t="s">
        <v>7345</v>
      </c>
      <c r="I909" s="2" t="s">
        <v>7346</v>
      </c>
      <c r="J909" s="2" t="s">
        <v>7347</v>
      </c>
      <c r="K909" s="2" t="s">
        <v>7348</v>
      </c>
      <c r="L909" s="6" t="s">
        <v>1367</v>
      </c>
      <c r="M909" s="21" t="s">
        <v>1404</v>
      </c>
      <c r="P909" s="21" t="s">
        <v>22</v>
      </c>
      <c r="R909" s="2" t="s">
        <v>7349</v>
      </c>
    </row>
    <row r="910" spans="1:24" ht="115.15">
      <c r="A910" s="15" t="s">
        <v>7350</v>
      </c>
      <c r="B910" s="398"/>
      <c r="C910" s="2" t="str">
        <f t="shared" si="2"/>
        <v>AC 0883</v>
      </c>
      <c r="D910" s="2" t="s">
        <v>7351</v>
      </c>
      <c r="E910" s="2" t="s">
        <v>7352</v>
      </c>
      <c r="F910" s="2" t="s">
        <v>7343</v>
      </c>
      <c r="G910" s="2" t="s">
        <v>7353</v>
      </c>
      <c r="H910" s="2" t="s">
        <v>7354</v>
      </c>
      <c r="I910" s="2" t="s">
        <v>7355</v>
      </c>
      <c r="J910" s="2" t="s">
        <v>7356</v>
      </c>
      <c r="K910" s="2" t="s">
        <v>7357</v>
      </c>
      <c r="L910" s="6" t="s">
        <v>1367</v>
      </c>
      <c r="M910" s="21" t="s">
        <v>1404</v>
      </c>
      <c r="P910" s="21" t="s">
        <v>22</v>
      </c>
      <c r="R910" s="2"/>
    </row>
    <row r="911" spans="1:24" ht="72">
      <c r="A911" s="15" t="s">
        <v>7358</v>
      </c>
      <c r="B911" s="398"/>
      <c r="C911" s="2" t="str">
        <f t="shared" si="2"/>
        <v>AC 0884</v>
      </c>
      <c r="D911" s="2" t="s">
        <v>7359</v>
      </c>
      <c r="E911" s="2" t="s">
        <v>7360</v>
      </c>
      <c r="F911" s="2" t="s">
        <v>7343</v>
      </c>
      <c r="G911" s="2" t="s">
        <v>7361</v>
      </c>
      <c r="H911" s="2" t="s">
        <v>7362</v>
      </c>
      <c r="I911" s="2" t="s">
        <v>7363</v>
      </c>
      <c r="J911" s="2" t="s">
        <v>7364</v>
      </c>
      <c r="K911" s="2" t="s">
        <v>7365</v>
      </c>
      <c r="L911" s="6" t="s">
        <v>1367</v>
      </c>
      <c r="M911" s="21" t="s">
        <v>1404</v>
      </c>
      <c r="P911" s="21" t="s">
        <v>1371</v>
      </c>
      <c r="R911" s="2"/>
    </row>
    <row r="912" spans="1:24" s="21" customFormat="1" ht="86.45">
      <c r="A912" s="15" t="s">
        <v>7366</v>
      </c>
      <c r="B912" s="398"/>
      <c r="C912" s="2" t="str">
        <f t="shared" si="2"/>
        <v>AC 0885</v>
      </c>
      <c r="D912" s="2" t="s">
        <v>7367</v>
      </c>
      <c r="E912" s="2" t="s">
        <v>7368</v>
      </c>
      <c r="F912" s="2" t="s">
        <v>7369</v>
      </c>
      <c r="G912" s="2" t="s">
        <v>7370</v>
      </c>
      <c r="H912" s="2" t="s">
        <v>7371</v>
      </c>
      <c r="I912" s="2" t="s">
        <v>7372</v>
      </c>
      <c r="J912" s="2" t="s">
        <v>7373</v>
      </c>
      <c r="K912" s="2" t="s">
        <v>7374</v>
      </c>
      <c r="L912" s="6" t="s">
        <v>1367</v>
      </c>
      <c r="M912" s="21" t="s">
        <v>1404</v>
      </c>
      <c r="P912" s="21" t="s">
        <v>1371</v>
      </c>
      <c r="R912" s="2"/>
      <c r="S912"/>
      <c r="W912" s="6"/>
      <c r="X912" s="6"/>
    </row>
    <row r="913" spans="1:33" ht="86.45">
      <c r="A913" s="15" t="s">
        <v>7375</v>
      </c>
      <c r="B913" s="398"/>
      <c r="C913" s="2" t="str">
        <f t="shared" si="2"/>
        <v>AC 0886</v>
      </c>
      <c r="D913" s="2" t="s">
        <v>7376</v>
      </c>
      <c r="E913" s="2" t="s">
        <v>7377</v>
      </c>
      <c r="F913" s="2" t="s">
        <v>7378</v>
      </c>
      <c r="G913" s="2" t="s">
        <v>7379</v>
      </c>
      <c r="H913" s="2" t="s">
        <v>7380</v>
      </c>
      <c r="I913" s="2" t="s">
        <v>7381</v>
      </c>
      <c r="J913" s="2" t="s">
        <v>7382</v>
      </c>
      <c r="K913" s="2" t="s">
        <v>7383</v>
      </c>
      <c r="L913" s="6" t="s">
        <v>1367</v>
      </c>
      <c r="M913" s="21" t="s">
        <v>1404</v>
      </c>
      <c r="P913" s="21" t="s">
        <v>22</v>
      </c>
      <c r="R913" s="2"/>
    </row>
    <row r="914" spans="1:33" ht="100.9">
      <c r="A914" s="15" t="s">
        <v>7384</v>
      </c>
      <c r="B914" s="398"/>
      <c r="C914" s="2" t="str">
        <f t="shared" si="2"/>
        <v>AC 0887</v>
      </c>
      <c r="D914" s="2" t="s">
        <v>7385</v>
      </c>
      <c r="E914" s="2" t="s">
        <v>7386</v>
      </c>
      <c r="F914" s="2" t="s">
        <v>7378</v>
      </c>
      <c r="G914" s="2" t="s">
        <v>7387</v>
      </c>
      <c r="H914" s="2" t="s">
        <v>7388</v>
      </c>
      <c r="I914" s="2" t="s">
        <v>7389</v>
      </c>
      <c r="J914" s="2" t="s">
        <v>7390</v>
      </c>
      <c r="K914" s="2" t="s">
        <v>7391</v>
      </c>
      <c r="L914" s="6" t="s">
        <v>1367</v>
      </c>
      <c r="M914" s="21" t="s">
        <v>1404</v>
      </c>
      <c r="P914" s="21" t="s">
        <v>22</v>
      </c>
      <c r="R914" s="2"/>
    </row>
    <row r="915" spans="1:33" ht="144">
      <c r="A915" s="15" t="s">
        <v>7392</v>
      </c>
      <c r="B915" s="398"/>
      <c r="C915" s="2" t="str">
        <f t="shared" si="2"/>
        <v>AC 0888</v>
      </c>
      <c r="D915" s="2" t="s">
        <v>7393</v>
      </c>
      <c r="E915" s="2" t="s">
        <v>7394</v>
      </c>
      <c r="F915" s="2" t="s">
        <v>7395</v>
      </c>
      <c r="G915" s="2" t="s">
        <v>7396</v>
      </c>
      <c r="H915" s="2" t="s">
        <v>7397</v>
      </c>
      <c r="I915" s="2" t="s">
        <v>7398</v>
      </c>
      <c r="J915" s="2" t="s">
        <v>7399</v>
      </c>
      <c r="K915" s="2" t="s">
        <v>7400</v>
      </c>
      <c r="L915" s="6" t="s">
        <v>1367</v>
      </c>
      <c r="M915" s="21" t="s">
        <v>1404</v>
      </c>
      <c r="P915" s="21" t="s">
        <v>1371</v>
      </c>
      <c r="R915" s="2"/>
    </row>
    <row r="916" spans="1:33" ht="115.15">
      <c r="A916" s="15" t="s">
        <v>7401</v>
      </c>
      <c r="B916" s="398"/>
      <c r="C916" s="2" t="str">
        <f t="shared" si="2"/>
        <v>AC 0889</v>
      </c>
      <c r="D916" s="2" t="s">
        <v>7402</v>
      </c>
      <c r="E916" s="2" t="s">
        <v>7352</v>
      </c>
      <c r="F916" s="2" t="s">
        <v>7343</v>
      </c>
      <c r="G916" s="2" t="s">
        <v>7353</v>
      </c>
      <c r="H916" s="2" t="s">
        <v>7354</v>
      </c>
      <c r="I916" s="2" t="s">
        <v>7355</v>
      </c>
      <c r="J916" s="2" t="s">
        <v>7356</v>
      </c>
      <c r="K916" s="2" t="s">
        <v>7357</v>
      </c>
      <c r="L916" s="6" t="s">
        <v>1367</v>
      </c>
      <c r="M916" s="21" t="s">
        <v>1404</v>
      </c>
      <c r="P916" s="21" t="s">
        <v>22</v>
      </c>
      <c r="R916" s="2"/>
    </row>
    <row r="917" spans="1:33" ht="72">
      <c r="A917" s="15" t="s">
        <v>7403</v>
      </c>
      <c r="B917" s="398"/>
      <c r="C917" s="2" t="str">
        <f t="shared" si="2"/>
        <v>AC 0890</v>
      </c>
      <c r="D917" s="2" t="s">
        <v>7404</v>
      </c>
      <c r="E917" s="2" t="s">
        <v>7360</v>
      </c>
      <c r="F917" s="2" t="s">
        <v>7343</v>
      </c>
      <c r="G917" s="2" t="s">
        <v>7361</v>
      </c>
      <c r="H917" s="2" t="s">
        <v>7362</v>
      </c>
      <c r="I917" s="2" t="s">
        <v>7363</v>
      </c>
      <c r="J917" s="2" t="s">
        <v>7364</v>
      </c>
      <c r="K917" s="2" t="s">
        <v>7365</v>
      </c>
      <c r="L917" s="6" t="s">
        <v>1367</v>
      </c>
      <c r="M917" s="21" t="s">
        <v>1404</v>
      </c>
      <c r="P917" s="21" t="s">
        <v>1371</v>
      </c>
      <c r="R917" s="2"/>
    </row>
    <row r="918" spans="1:33" s="21" customFormat="1" ht="86.45">
      <c r="A918" s="15" t="s">
        <v>7405</v>
      </c>
      <c r="B918" s="398"/>
      <c r="C918" s="2" t="str">
        <f t="shared" si="2"/>
        <v>AC 0891</v>
      </c>
      <c r="D918" s="2" t="s">
        <v>7406</v>
      </c>
      <c r="E918" s="2" t="s">
        <v>7368</v>
      </c>
      <c r="F918" s="2" t="s">
        <v>7369</v>
      </c>
      <c r="G918" s="2" t="s">
        <v>7370</v>
      </c>
      <c r="H918" s="2" t="s">
        <v>7371</v>
      </c>
      <c r="I918" s="2" t="s">
        <v>7372</v>
      </c>
      <c r="J918" s="2" t="s">
        <v>7373</v>
      </c>
      <c r="K918" s="2" t="s">
        <v>7374</v>
      </c>
      <c r="L918" s="6" t="s">
        <v>1367</v>
      </c>
      <c r="M918" s="21" t="s">
        <v>1404</v>
      </c>
      <c r="P918" s="21" t="s">
        <v>1371</v>
      </c>
      <c r="R918" s="2"/>
      <c r="S918"/>
      <c r="W918" s="6"/>
      <c r="X918" s="6"/>
    </row>
    <row r="919" spans="1:33" ht="86.45">
      <c r="A919" s="15" t="s">
        <v>7407</v>
      </c>
      <c r="B919" s="398"/>
      <c r="C919" s="2" t="str">
        <f t="shared" si="2"/>
        <v>AC 0892</v>
      </c>
      <c r="D919" s="2" t="s">
        <v>7408</v>
      </c>
      <c r="E919" s="2" t="s">
        <v>7377</v>
      </c>
      <c r="F919" s="2" t="s">
        <v>7378</v>
      </c>
      <c r="G919" s="2" t="s">
        <v>7379</v>
      </c>
      <c r="H919" s="2" t="s">
        <v>7380</v>
      </c>
      <c r="I919" s="2" t="s">
        <v>7381</v>
      </c>
      <c r="J919" s="2" t="s">
        <v>7382</v>
      </c>
      <c r="K919" s="2" t="s">
        <v>7409</v>
      </c>
      <c r="L919" s="6" t="s">
        <v>1367</v>
      </c>
      <c r="M919" s="21" t="s">
        <v>1404</v>
      </c>
      <c r="P919" s="21" t="s">
        <v>22</v>
      </c>
      <c r="R919" s="2"/>
    </row>
    <row r="920" spans="1:33" ht="100.9">
      <c r="A920" s="15" t="s">
        <v>7410</v>
      </c>
      <c r="B920" s="398"/>
      <c r="C920" s="2" t="str">
        <f t="shared" si="2"/>
        <v>AC 0893</v>
      </c>
      <c r="D920" s="2" t="s">
        <v>7411</v>
      </c>
      <c r="E920" s="2" t="s">
        <v>7386</v>
      </c>
      <c r="F920" s="2" t="s">
        <v>7378</v>
      </c>
      <c r="G920" s="2" t="s">
        <v>7387</v>
      </c>
      <c r="H920" s="2" t="s">
        <v>7388</v>
      </c>
      <c r="I920" s="2" t="s">
        <v>7389</v>
      </c>
      <c r="J920" s="2" t="s">
        <v>7390</v>
      </c>
      <c r="K920" s="2" t="s">
        <v>7391</v>
      </c>
      <c r="L920" s="6" t="s">
        <v>1367</v>
      </c>
      <c r="M920" s="21" t="s">
        <v>1404</v>
      </c>
      <c r="P920" s="21" t="s">
        <v>22</v>
      </c>
      <c r="R920" s="2"/>
      <c r="AG920" s="78"/>
    </row>
    <row r="921" spans="1:33" s="45" customFormat="1">
      <c r="A921" s="84"/>
      <c r="B921" s="398"/>
      <c r="C921" s="44"/>
      <c r="D921" s="44"/>
      <c r="E921" s="44"/>
      <c r="F921" s="44"/>
      <c r="G921" s="44"/>
      <c r="H921" s="44"/>
      <c r="I921" s="44"/>
      <c r="J921" s="44"/>
      <c r="K921" s="44"/>
      <c r="L921" s="81"/>
      <c r="M921" s="78"/>
      <c r="P921" s="78"/>
      <c r="Q921" s="78"/>
      <c r="R921" s="44"/>
      <c r="W921" s="81"/>
      <c r="X921" s="81"/>
      <c r="AG921" s="21"/>
    </row>
    <row r="922" spans="1:33" ht="43.15">
      <c r="A922" s="15" t="s">
        <v>7412</v>
      </c>
      <c r="B922" s="398"/>
      <c r="C922" s="2" t="str">
        <f t="shared" ref="C922:C935" si="3">"AC 0" &amp; ROW()-27</f>
        <v>AC 0895</v>
      </c>
      <c r="D922" s="2" t="s">
        <v>7413</v>
      </c>
      <c r="E922" s="2" t="s">
        <v>7414</v>
      </c>
      <c r="F922" s="2" t="s">
        <v>7415</v>
      </c>
      <c r="G922" s="2" t="s">
        <v>7416</v>
      </c>
      <c r="H922" s="2" t="s">
        <v>7417</v>
      </c>
      <c r="I922" s="2" t="s">
        <v>7418</v>
      </c>
      <c r="J922" s="2" t="s">
        <v>7419</v>
      </c>
      <c r="K922" s="2" t="s">
        <v>7420</v>
      </c>
      <c r="L922" s="6" t="s">
        <v>1367</v>
      </c>
      <c r="M922" s="21" t="s">
        <v>1368</v>
      </c>
      <c r="P922" s="21" t="s">
        <v>1393</v>
      </c>
      <c r="W922" s="81"/>
      <c r="X922" s="81"/>
    </row>
    <row r="923" spans="1:33" ht="28.9">
      <c r="A923" s="15" t="s">
        <v>7421</v>
      </c>
      <c r="B923" s="398"/>
      <c r="C923" s="2" t="str">
        <f t="shared" si="3"/>
        <v>AC 0896</v>
      </c>
      <c r="D923" s="2" t="s">
        <v>7422</v>
      </c>
      <c r="E923" s="2" t="s">
        <v>7423</v>
      </c>
      <c r="F923" s="2" t="s">
        <v>7420</v>
      </c>
      <c r="G923" s="2" t="s">
        <v>7424</v>
      </c>
      <c r="H923" s="2" t="s">
        <v>7425</v>
      </c>
      <c r="I923" s="2" t="s">
        <v>7426</v>
      </c>
      <c r="J923" s="2" t="s">
        <v>7427</v>
      </c>
      <c r="K923" s="2" t="s">
        <v>7428</v>
      </c>
      <c r="L923" s="6" t="s">
        <v>1367</v>
      </c>
      <c r="M923" s="21" t="s">
        <v>1368</v>
      </c>
      <c r="P923" s="21" t="s">
        <v>22</v>
      </c>
    </row>
    <row r="924" spans="1:33" ht="28.9">
      <c r="A924" s="15" t="s">
        <v>7429</v>
      </c>
      <c r="B924" s="398"/>
      <c r="C924" s="2" t="str">
        <f t="shared" si="3"/>
        <v>AC 0897</v>
      </c>
      <c r="D924" s="2" t="s">
        <v>7430</v>
      </c>
      <c r="E924" s="2" t="s">
        <v>7431</v>
      </c>
      <c r="F924" s="2" t="s">
        <v>7420</v>
      </c>
      <c r="G924" s="2" t="s">
        <v>7432</v>
      </c>
      <c r="H924" s="2" t="s">
        <v>7417</v>
      </c>
      <c r="I924" s="2" t="s">
        <v>7433</v>
      </c>
      <c r="J924" s="2" t="s">
        <v>2745</v>
      </c>
      <c r="K924" s="2" t="s">
        <v>2630</v>
      </c>
      <c r="L924" s="6" t="s">
        <v>1367</v>
      </c>
      <c r="M924" s="21" t="s">
        <v>1368</v>
      </c>
      <c r="P924" s="21" t="s">
        <v>1371</v>
      </c>
    </row>
    <row r="925" spans="1:33" ht="28.9">
      <c r="A925" s="15" t="s">
        <v>7434</v>
      </c>
      <c r="B925" s="398"/>
      <c r="C925" s="2" t="str">
        <f t="shared" si="3"/>
        <v>AC 0898</v>
      </c>
      <c r="D925" s="2" t="s">
        <v>7435</v>
      </c>
      <c r="E925" s="2" t="s">
        <v>7436</v>
      </c>
      <c r="F925" s="2" t="s">
        <v>7437</v>
      </c>
      <c r="G925" s="2" t="s">
        <v>7438</v>
      </c>
      <c r="H925" s="2" t="s">
        <v>7439</v>
      </c>
      <c r="I925" s="2" t="s">
        <v>7440</v>
      </c>
      <c r="J925" s="2" t="s">
        <v>7441</v>
      </c>
      <c r="K925" s="2" t="s">
        <v>7442</v>
      </c>
      <c r="L925" s="6" t="s">
        <v>1367</v>
      </c>
      <c r="M925" s="21" t="s">
        <v>1368</v>
      </c>
      <c r="P925" s="21" t="s">
        <v>22</v>
      </c>
      <c r="AG925" s="78"/>
    </row>
    <row r="926" spans="1:33" s="45" customFormat="1">
      <c r="A926" s="84"/>
      <c r="B926" s="398"/>
      <c r="C926" s="44"/>
      <c r="D926" s="44"/>
      <c r="E926" s="44"/>
      <c r="F926" s="44"/>
      <c r="G926" s="44"/>
      <c r="H926" s="44"/>
      <c r="I926" s="44"/>
      <c r="J926" s="44"/>
      <c r="K926" s="44"/>
      <c r="L926" s="81"/>
      <c r="M926" s="78"/>
      <c r="P926" s="78"/>
      <c r="Q926" s="78"/>
      <c r="R926" s="303"/>
      <c r="W926" s="81"/>
      <c r="X926" s="81"/>
      <c r="AG926" s="21"/>
    </row>
    <row r="927" spans="1:33" ht="28.9">
      <c r="A927" s="15" t="s">
        <v>7443</v>
      </c>
      <c r="B927" s="398"/>
      <c r="C927" s="2" t="str">
        <f t="shared" si="3"/>
        <v>AC 0900</v>
      </c>
      <c r="D927" s="2" t="s">
        <v>7444</v>
      </c>
      <c r="E927" s="2" t="s">
        <v>7445</v>
      </c>
      <c r="F927" s="2" t="s">
        <v>7446</v>
      </c>
      <c r="G927" s="2" t="s">
        <v>7447</v>
      </c>
      <c r="H927" s="2" t="s">
        <v>1442</v>
      </c>
      <c r="I927" s="2" t="s">
        <v>7448</v>
      </c>
      <c r="J927" s="2" t="s">
        <v>7449</v>
      </c>
      <c r="K927" s="2" t="s">
        <v>7450</v>
      </c>
      <c r="L927" s="6" t="s">
        <v>1367</v>
      </c>
      <c r="M927" s="21" t="s">
        <v>1368</v>
      </c>
      <c r="P927" s="21" t="s">
        <v>1371</v>
      </c>
    </row>
    <row r="928" spans="1:33" ht="28.9">
      <c r="A928" s="15" t="s">
        <v>7451</v>
      </c>
      <c r="B928" s="398"/>
      <c r="C928" s="2" t="str">
        <f t="shared" si="3"/>
        <v>AC 0901</v>
      </c>
      <c r="D928" s="2" t="s">
        <v>7452</v>
      </c>
      <c r="E928" s="2" t="s">
        <v>7453</v>
      </c>
      <c r="F928" s="2" t="s">
        <v>6178</v>
      </c>
      <c r="G928" s="2" t="s">
        <v>7454</v>
      </c>
      <c r="H928" s="2" t="s">
        <v>1442</v>
      </c>
      <c r="I928" s="2" t="s">
        <v>7455</v>
      </c>
      <c r="J928" s="2" t="s">
        <v>7456</v>
      </c>
      <c r="K928" s="2" t="s">
        <v>1835</v>
      </c>
      <c r="L928" s="6" t="s">
        <v>1367</v>
      </c>
      <c r="M928" s="21" t="s">
        <v>1368</v>
      </c>
      <c r="P928" s="21" t="s">
        <v>22</v>
      </c>
    </row>
    <row r="929" spans="1:33" ht="43.15">
      <c r="A929" s="15" t="s">
        <v>7457</v>
      </c>
      <c r="B929" s="398"/>
      <c r="C929" s="2" t="str">
        <f t="shared" si="3"/>
        <v>AC 0902</v>
      </c>
      <c r="D929" s="2" t="s">
        <v>7458</v>
      </c>
      <c r="E929" s="2" t="s">
        <v>7459</v>
      </c>
      <c r="F929" s="2" t="s">
        <v>7460</v>
      </c>
      <c r="G929" s="2" t="s">
        <v>7461</v>
      </c>
      <c r="H929" s="2" t="s">
        <v>1442</v>
      </c>
      <c r="I929" s="2" t="s">
        <v>7462</v>
      </c>
      <c r="J929" s="2" t="s">
        <v>7463</v>
      </c>
      <c r="K929" s="2" t="s">
        <v>5066</v>
      </c>
      <c r="L929" s="6" t="s">
        <v>1367</v>
      </c>
      <c r="M929" s="21" t="s">
        <v>1368</v>
      </c>
      <c r="P929" s="21" t="s">
        <v>1371</v>
      </c>
    </row>
    <row r="930" spans="1:33" ht="57.6">
      <c r="A930" s="15" t="s">
        <v>7464</v>
      </c>
      <c r="B930" s="398"/>
      <c r="C930" s="2" t="str">
        <f t="shared" si="3"/>
        <v>AC 0903</v>
      </c>
      <c r="D930" s="2" t="s">
        <v>7465</v>
      </c>
      <c r="E930" s="2" t="s">
        <v>7466</v>
      </c>
      <c r="F930" s="2" t="s">
        <v>7460</v>
      </c>
      <c r="G930" s="2" t="s">
        <v>7467</v>
      </c>
      <c r="H930" s="2" t="s">
        <v>1442</v>
      </c>
      <c r="I930" s="2" t="s">
        <v>7468</v>
      </c>
      <c r="J930" s="2" t="s">
        <v>7469</v>
      </c>
      <c r="K930" s="2" t="s">
        <v>7470</v>
      </c>
      <c r="L930" s="6" t="s">
        <v>1367</v>
      </c>
      <c r="M930" s="21" t="s">
        <v>1368</v>
      </c>
      <c r="P930" s="21" t="s">
        <v>1371</v>
      </c>
    </row>
    <row r="931" spans="1:33" ht="43.15">
      <c r="A931" s="15" t="s">
        <v>7471</v>
      </c>
      <c r="B931" s="398"/>
      <c r="C931" s="2" t="str">
        <f t="shared" si="3"/>
        <v>AC 0904</v>
      </c>
      <c r="D931" s="2" t="s">
        <v>7472</v>
      </c>
      <c r="E931" s="2" t="s">
        <v>7473</v>
      </c>
      <c r="F931" s="2" t="s">
        <v>7460</v>
      </c>
      <c r="G931" s="2" t="s">
        <v>7474</v>
      </c>
      <c r="H931" s="2" t="s">
        <v>1442</v>
      </c>
      <c r="I931" s="2" t="s">
        <v>7475</v>
      </c>
      <c r="J931" s="2" t="s">
        <v>7476</v>
      </c>
      <c r="K931" s="2" t="s">
        <v>5066</v>
      </c>
      <c r="L931" s="6" t="s">
        <v>1367</v>
      </c>
      <c r="M931" s="21" t="s">
        <v>1368</v>
      </c>
      <c r="P931" s="21" t="s">
        <v>22</v>
      </c>
    </row>
    <row r="932" spans="1:33" ht="28.9">
      <c r="A932" s="15" t="s">
        <v>7477</v>
      </c>
      <c r="B932" s="398"/>
      <c r="C932" s="2" t="str">
        <f t="shared" si="3"/>
        <v>AC 0905</v>
      </c>
      <c r="D932" s="2" t="s">
        <v>7478</v>
      </c>
      <c r="E932" s="2" t="s">
        <v>7479</v>
      </c>
      <c r="F932" s="2" t="s">
        <v>7480</v>
      </c>
      <c r="G932" s="2" t="s">
        <v>7481</v>
      </c>
      <c r="H932" s="2" t="s">
        <v>7482</v>
      </c>
      <c r="I932" s="2" t="s">
        <v>7483</v>
      </c>
      <c r="J932" s="2" t="s">
        <v>7484</v>
      </c>
      <c r="K932" s="2" t="s">
        <v>7485</v>
      </c>
      <c r="L932" s="6" t="s">
        <v>1367</v>
      </c>
      <c r="M932" s="21" t="s">
        <v>1368</v>
      </c>
      <c r="P932" s="21" t="s">
        <v>22</v>
      </c>
    </row>
    <row r="933" spans="1:33" ht="28.9">
      <c r="A933" s="15" t="s">
        <v>7486</v>
      </c>
      <c r="B933" s="398"/>
      <c r="C933" s="2" t="str">
        <f t="shared" si="3"/>
        <v>AC 0906</v>
      </c>
      <c r="D933" s="2" t="s">
        <v>7487</v>
      </c>
      <c r="E933" s="2" t="s">
        <v>7488</v>
      </c>
      <c r="F933" s="2" t="s">
        <v>7489</v>
      </c>
      <c r="G933" s="2" t="s">
        <v>7490</v>
      </c>
      <c r="H933" s="2" t="s">
        <v>7491</v>
      </c>
      <c r="I933" s="2" t="s">
        <v>7492</v>
      </c>
      <c r="J933" s="2" t="s">
        <v>7493</v>
      </c>
      <c r="K933" s="2" t="s">
        <v>7494</v>
      </c>
      <c r="L933" s="6" t="s">
        <v>1367</v>
      </c>
      <c r="M933" s="21" t="s">
        <v>1368</v>
      </c>
      <c r="P933" s="21" t="s">
        <v>22</v>
      </c>
    </row>
    <row r="934" spans="1:33" ht="28.9">
      <c r="A934" s="15" t="s">
        <v>7495</v>
      </c>
      <c r="B934" s="398"/>
      <c r="C934" s="2" t="str">
        <f t="shared" si="3"/>
        <v>AC 0907</v>
      </c>
      <c r="D934" s="2" t="s">
        <v>7496</v>
      </c>
      <c r="E934" s="2" t="s">
        <v>7497</v>
      </c>
      <c r="F934" s="2" t="s">
        <v>7489</v>
      </c>
      <c r="G934" s="2" t="s">
        <v>7498</v>
      </c>
      <c r="H934" s="2" t="s">
        <v>7491</v>
      </c>
      <c r="I934" s="2" t="s">
        <v>7499</v>
      </c>
      <c r="J934" s="2" t="s">
        <v>7500</v>
      </c>
      <c r="K934" s="2" t="s">
        <v>5040</v>
      </c>
      <c r="L934" s="6" t="s">
        <v>1367</v>
      </c>
      <c r="M934" s="21" t="s">
        <v>1368</v>
      </c>
      <c r="P934" s="21" t="s">
        <v>22</v>
      </c>
    </row>
    <row r="935" spans="1:33" ht="43.15">
      <c r="A935" s="15" t="s">
        <v>7501</v>
      </c>
      <c r="B935" s="398"/>
      <c r="C935" s="2" t="str">
        <f t="shared" si="3"/>
        <v>AC 0908</v>
      </c>
      <c r="D935" s="2" t="s">
        <v>7502</v>
      </c>
      <c r="E935" s="2" t="s">
        <v>7503</v>
      </c>
      <c r="F935" s="2" t="s">
        <v>7504</v>
      </c>
      <c r="G935" s="2" t="s">
        <v>7505</v>
      </c>
      <c r="H935" s="2" t="s">
        <v>7506</v>
      </c>
      <c r="I935" s="2" t="s">
        <v>7433</v>
      </c>
      <c r="J935" s="2" t="s">
        <v>7507</v>
      </c>
      <c r="K935" s="2" t="s">
        <v>2630</v>
      </c>
      <c r="L935" s="6" t="s">
        <v>1367</v>
      </c>
      <c r="M935" s="21" t="s">
        <v>1368</v>
      </c>
      <c r="P935" s="21" t="s">
        <v>1371</v>
      </c>
      <c r="AG935" s="78"/>
    </row>
    <row r="936" spans="1:33" s="45" customFormat="1">
      <c r="A936" s="84"/>
      <c r="B936" s="398"/>
      <c r="C936" s="44"/>
      <c r="D936" s="44"/>
      <c r="E936" s="44"/>
      <c r="F936" s="44"/>
      <c r="G936" s="44"/>
      <c r="H936" s="44"/>
      <c r="I936" s="44"/>
      <c r="J936" s="44"/>
      <c r="K936" s="44"/>
      <c r="L936" s="81"/>
      <c r="M936" s="78"/>
      <c r="P936" s="78"/>
      <c r="Q936" s="78"/>
      <c r="R936" s="303"/>
      <c r="W936" s="81"/>
      <c r="X936" s="81"/>
      <c r="AG936" s="21"/>
    </row>
    <row r="937" spans="1:33" ht="28.9">
      <c r="A937" s="15" t="s">
        <v>7508</v>
      </c>
      <c r="B937" s="398"/>
      <c r="C937" s="2" t="str">
        <f t="shared" ref="C937:C940" si="4">"AC 0" &amp; ROW()-27</f>
        <v>AC 0910</v>
      </c>
      <c r="D937" s="2" t="s">
        <v>7509</v>
      </c>
      <c r="E937" s="2" t="s">
        <v>7510</v>
      </c>
      <c r="F937" s="2" t="s">
        <v>7511</v>
      </c>
      <c r="G937" s="2" t="s">
        <v>7512</v>
      </c>
      <c r="H937" s="2" t="s">
        <v>1442</v>
      </c>
      <c r="I937" s="2" t="s">
        <v>7513</v>
      </c>
      <c r="J937" s="2" t="s">
        <v>7514</v>
      </c>
      <c r="K937" s="2" t="s">
        <v>7515</v>
      </c>
      <c r="L937" s="6" t="s">
        <v>1367</v>
      </c>
      <c r="M937" s="21" t="s">
        <v>1368</v>
      </c>
      <c r="P937" s="21" t="s">
        <v>22</v>
      </c>
    </row>
    <row r="938" spans="1:33" ht="28.9">
      <c r="A938" s="15" t="s">
        <v>7516</v>
      </c>
      <c r="B938" s="398"/>
      <c r="C938" s="2" t="str">
        <f t="shared" si="4"/>
        <v>AC 0911</v>
      </c>
      <c r="D938" s="2" t="s">
        <v>7517</v>
      </c>
      <c r="E938" s="2" t="s">
        <v>7518</v>
      </c>
      <c r="F938" s="2" t="s">
        <v>7519</v>
      </c>
      <c r="G938" s="2" t="s">
        <v>7520</v>
      </c>
      <c r="H938" s="2" t="s">
        <v>1442</v>
      </c>
      <c r="I938" s="2" t="s">
        <v>7521</v>
      </c>
      <c r="J938" s="2" t="s">
        <v>7522</v>
      </c>
      <c r="K938" s="2" t="s">
        <v>7523</v>
      </c>
      <c r="L938" s="6" t="s">
        <v>1367</v>
      </c>
      <c r="M938" s="21" t="s">
        <v>1368</v>
      </c>
      <c r="P938" s="21" t="s">
        <v>1371</v>
      </c>
    </row>
    <row r="939" spans="1:33" ht="28.9">
      <c r="A939" s="15" t="s">
        <v>7524</v>
      </c>
      <c r="B939" s="398"/>
      <c r="C939" s="2" t="str">
        <f t="shared" si="4"/>
        <v>AC 0912</v>
      </c>
      <c r="D939" s="2" t="s">
        <v>7525</v>
      </c>
      <c r="E939" s="2" t="s">
        <v>7526</v>
      </c>
      <c r="F939" s="2" t="s">
        <v>7527</v>
      </c>
      <c r="G939" s="2" t="s">
        <v>7528</v>
      </c>
      <c r="H939" s="2" t="s">
        <v>1442</v>
      </c>
      <c r="I939" s="2" t="s">
        <v>7529</v>
      </c>
      <c r="J939" s="2" t="s">
        <v>7530</v>
      </c>
      <c r="K939" s="2" t="s">
        <v>5504</v>
      </c>
      <c r="L939" s="6" t="s">
        <v>1367</v>
      </c>
      <c r="M939" s="21" t="s">
        <v>1368</v>
      </c>
      <c r="P939" s="21" t="s">
        <v>22</v>
      </c>
    </row>
    <row r="940" spans="1:33" ht="72">
      <c r="A940" s="15" t="s">
        <v>7531</v>
      </c>
      <c r="B940" s="398"/>
      <c r="C940" s="2" t="str">
        <f t="shared" si="4"/>
        <v>AC 0913</v>
      </c>
      <c r="D940" s="2" t="s">
        <v>7532</v>
      </c>
      <c r="E940" s="2" t="s">
        <v>7533</v>
      </c>
      <c r="F940" s="2" t="s">
        <v>7534</v>
      </c>
      <c r="G940" s="2" t="s">
        <v>7535</v>
      </c>
      <c r="H940" s="2" t="s">
        <v>1442</v>
      </c>
      <c r="I940" s="2" t="s">
        <v>7536</v>
      </c>
      <c r="J940" s="2" t="s">
        <v>7537</v>
      </c>
      <c r="K940" s="2" t="s">
        <v>7538</v>
      </c>
      <c r="L940" s="6" t="s">
        <v>1367</v>
      </c>
      <c r="M940" s="21" t="s">
        <v>1368</v>
      </c>
      <c r="P940" s="21" t="s">
        <v>22</v>
      </c>
    </row>
    <row r="941" spans="1:33" ht="28.9">
      <c r="A941" s="15" t="s">
        <v>7539</v>
      </c>
      <c r="B941" s="398"/>
      <c r="C941" s="2" t="str">
        <f t="shared" ref="C941:C948" si="5">"AC 0" &amp; ROW()-27</f>
        <v>AC 0914</v>
      </c>
      <c r="D941" s="2" t="s">
        <v>7540</v>
      </c>
      <c r="E941" s="2" t="s">
        <v>7541</v>
      </c>
      <c r="F941" s="2" t="s">
        <v>7542</v>
      </c>
      <c r="G941" s="2" t="s">
        <v>7535</v>
      </c>
      <c r="H941" s="2" t="s">
        <v>7543</v>
      </c>
      <c r="I941" s="2" t="s">
        <v>7544</v>
      </c>
      <c r="J941" s="2" t="s">
        <v>7545</v>
      </c>
      <c r="K941" s="2" t="s">
        <v>7546</v>
      </c>
      <c r="L941" s="6" t="s">
        <v>1367</v>
      </c>
      <c r="M941" s="21" t="s">
        <v>1368</v>
      </c>
      <c r="P941" s="21" t="s">
        <v>1371</v>
      </c>
    </row>
    <row r="942" spans="1:33" ht="28.9">
      <c r="A942" s="15" t="s">
        <v>7547</v>
      </c>
      <c r="B942" s="398"/>
      <c r="C942" s="2" t="str">
        <f t="shared" si="5"/>
        <v>AC 0915</v>
      </c>
      <c r="D942" s="2" t="s">
        <v>7548</v>
      </c>
      <c r="E942" s="2" t="s">
        <v>7549</v>
      </c>
      <c r="F942" s="2" t="s">
        <v>7534</v>
      </c>
      <c r="G942" s="2" t="s">
        <v>7535</v>
      </c>
      <c r="H942" s="2" t="s">
        <v>1442</v>
      </c>
      <c r="I942" s="2" t="s">
        <v>7550</v>
      </c>
      <c r="J942" s="2" t="s">
        <v>7551</v>
      </c>
      <c r="K942" s="2" t="s">
        <v>7552</v>
      </c>
      <c r="L942" s="6" t="s">
        <v>1367</v>
      </c>
      <c r="M942" s="21" t="s">
        <v>1368</v>
      </c>
      <c r="P942" s="21" t="s">
        <v>1371</v>
      </c>
    </row>
    <row r="943" spans="1:33" ht="28.9">
      <c r="A943" s="15" t="s">
        <v>7553</v>
      </c>
      <c r="B943" s="398"/>
      <c r="C943" s="2" t="str">
        <f t="shared" si="5"/>
        <v>AC 0916</v>
      </c>
      <c r="D943" s="2" t="s">
        <v>7554</v>
      </c>
      <c r="E943" s="2" t="s">
        <v>7555</v>
      </c>
      <c r="F943" s="2" t="s">
        <v>7542</v>
      </c>
      <c r="G943" s="2" t="s">
        <v>7556</v>
      </c>
      <c r="H943" s="2" t="s">
        <v>7557</v>
      </c>
      <c r="I943" s="2" t="s">
        <v>7558</v>
      </c>
      <c r="J943" s="2" t="s">
        <v>2580</v>
      </c>
      <c r="K943" s="2" t="s">
        <v>7559</v>
      </c>
      <c r="L943" s="6" t="s">
        <v>1367</v>
      </c>
      <c r="M943" s="21" t="s">
        <v>1368</v>
      </c>
      <c r="P943" s="21" t="s">
        <v>22</v>
      </c>
    </row>
    <row r="944" spans="1:33" ht="28.9">
      <c r="A944" s="15" t="s">
        <v>7560</v>
      </c>
      <c r="B944" s="398"/>
      <c r="C944" s="2" t="str">
        <f t="shared" si="5"/>
        <v>AC 0917</v>
      </c>
      <c r="D944" s="2" t="s">
        <v>7561</v>
      </c>
      <c r="E944" s="2" t="s">
        <v>7562</v>
      </c>
      <c r="F944" s="2" t="s">
        <v>7563</v>
      </c>
      <c r="G944" s="2" t="s">
        <v>7564</v>
      </c>
      <c r="H944" s="2" t="s">
        <v>1442</v>
      </c>
      <c r="I944" s="2" t="s">
        <v>2785</v>
      </c>
      <c r="J944" s="2" t="s">
        <v>7565</v>
      </c>
      <c r="K944" s="2" t="s">
        <v>7566</v>
      </c>
      <c r="L944" s="6" t="s">
        <v>1367</v>
      </c>
      <c r="M944" s="21" t="s">
        <v>1368</v>
      </c>
      <c r="P944" s="21" t="s">
        <v>1481</v>
      </c>
      <c r="AG944" s="78"/>
    </row>
    <row r="945" spans="1:33" s="45" customFormat="1">
      <c r="A945" s="84"/>
      <c r="B945" s="398"/>
      <c r="C945" s="44"/>
      <c r="D945" s="44"/>
      <c r="E945" s="44"/>
      <c r="F945" s="44"/>
      <c r="G945" s="44"/>
      <c r="H945" s="44"/>
      <c r="I945" s="44"/>
      <c r="J945" s="44"/>
      <c r="K945" s="44"/>
      <c r="L945" s="81"/>
      <c r="M945" s="78"/>
      <c r="P945" s="78"/>
      <c r="Q945" s="78"/>
      <c r="R945" s="303"/>
      <c r="W945" s="81"/>
      <c r="X945" s="81"/>
      <c r="AG945" s="21"/>
    </row>
    <row r="946" spans="1:33" ht="28.9">
      <c r="A946" s="15" t="s">
        <v>7567</v>
      </c>
      <c r="B946" s="398"/>
      <c r="C946" s="2" t="str">
        <f t="shared" si="5"/>
        <v>AC 0919</v>
      </c>
      <c r="D946" s="2" t="s">
        <v>7568</v>
      </c>
      <c r="E946" s="2" t="s">
        <v>7569</v>
      </c>
      <c r="F946" s="2" t="s">
        <v>7534</v>
      </c>
      <c r="G946" s="2" t="s">
        <v>2586</v>
      </c>
      <c r="H946" s="2" t="s">
        <v>1442</v>
      </c>
      <c r="I946" s="2" t="s">
        <v>7570</v>
      </c>
      <c r="J946" s="2" t="s">
        <v>7571</v>
      </c>
      <c r="K946" s="2" t="s">
        <v>7572</v>
      </c>
      <c r="L946" s="6" t="s">
        <v>1367</v>
      </c>
      <c r="M946" s="21" t="s">
        <v>1368</v>
      </c>
      <c r="P946" s="21" t="s">
        <v>22</v>
      </c>
    </row>
    <row r="947" spans="1:33" ht="28.9">
      <c r="A947" s="15" t="s">
        <v>7573</v>
      </c>
      <c r="B947" s="398"/>
      <c r="C947" s="2" t="str">
        <f t="shared" si="5"/>
        <v>AC 0920</v>
      </c>
      <c r="D947" s="2" t="s">
        <v>7574</v>
      </c>
      <c r="E947" s="2" t="s">
        <v>7575</v>
      </c>
      <c r="F947" s="2" t="s">
        <v>2593</v>
      </c>
      <c r="G947" s="2" t="s">
        <v>7576</v>
      </c>
      <c r="I947" s="2" t="s">
        <v>7577</v>
      </c>
      <c r="J947" s="2" t="s">
        <v>7578</v>
      </c>
      <c r="K947" s="2" t="s">
        <v>7579</v>
      </c>
      <c r="L947" s="6" t="s">
        <v>1367</v>
      </c>
      <c r="M947" s="21" t="s">
        <v>1368</v>
      </c>
      <c r="P947" s="21" t="s">
        <v>1371</v>
      </c>
    </row>
    <row r="948" spans="1:33" ht="28.9">
      <c r="A948" s="15" t="s">
        <v>7580</v>
      </c>
      <c r="B948" s="398"/>
      <c r="C948" s="2" t="str">
        <f t="shared" si="5"/>
        <v>AC 0921</v>
      </c>
      <c r="D948" s="2" t="s">
        <v>7581</v>
      </c>
      <c r="E948" s="2" t="s">
        <v>7582</v>
      </c>
      <c r="F948" s="2" t="s">
        <v>2593</v>
      </c>
      <c r="G948" s="2" t="s">
        <v>7583</v>
      </c>
      <c r="H948" s="2" t="s">
        <v>5249</v>
      </c>
      <c r="I948" s="2" t="s">
        <v>7584</v>
      </c>
      <c r="J948" s="2" t="s">
        <v>2597</v>
      </c>
      <c r="K948" s="2" t="s">
        <v>2598</v>
      </c>
      <c r="L948" s="6" t="s">
        <v>1367</v>
      </c>
      <c r="M948" s="21" t="s">
        <v>1368</v>
      </c>
      <c r="P948" s="21" t="s">
        <v>22</v>
      </c>
    </row>
    <row r="949" spans="1:33" ht="43.15">
      <c r="A949" s="15" t="s">
        <v>7585</v>
      </c>
      <c r="B949" s="398"/>
      <c r="C949" s="2" t="str">
        <f t="shared" ref="C949:C972" si="6">"AC 0" &amp; ROW()-27</f>
        <v>AC 0922</v>
      </c>
      <c r="D949" s="2" t="s">
        <v>7586</v>
      </c>
      <c r="E949" s="2" t="s">
        <v>7587</v>
      </c>
      <c r="F949" s="2" t="s">
        <v>2593</v>
      </c>
      <c r="G949" s="2" t="s">
        <v>4503</v>
      </c>
      <c r="H949" s="2" t="s">
        <v>7588</v>
      </c>
      <c r="I949" s="2" t="s">
        <v>7589</v>
      </c>
      <c r="J949" s="2" t="s">
        <v>7590</v>
      </c>
      <c r="K949" s="2" t="s">
        <v>2615</v>
      </c>
      <c r="L949" s="6" t="s">
        <v>1367</v>
      </c>
      <c r="M949" s="21" t="s">
        <v>1368</v>
      </c>
      <c r="P949" s="21" t="s">
        <v>1393</v>
      </c>
    </row>
    <row r="950" spans="1:33" ht="28.9">
      <c r="A950" s="15" t="s">
        <v>7591</v>
      </c>
      <c r="B950" s="398"/>
      <c r="C950" s="2" t="str">
        <f t="shared" si="6"/>
        <v>AC 0923</v>
      </c>
      <c r="D950" s="2" t="s">
        <v>7592</v>
      </c>
      <c r="E950" s="2" t="s">
        <v>7593</v>
      </c>
      <c r="F950" s="2" t="s">
        <v>7589</v>
      </c>
      <c r="G950" s="2" t="s">
        <v>7594</v>
      </c>
      <c r="H950" s="2" t="s">
        <v>7595</v>
      </c>
      <c r="I950" s="2" t="s">
        <v>7596</v>
      </c>
      <c r="J950" s="2" t="s">
        <v>7597</v>
      </c>
      <c r="K950" s="2" t="s">
        <v>7598</v>
      </c>
      <c r="L950" s="6" t="s">
        <v>1367</v>
      </c>
      <c r="M950" s="21" t="s">
        <v>1368</v>
      </c>
      <c r="P950" s="21" t="s">
        <v>22</v>
      </c>
    </row>
    <row r="951" spans="1:33" ht="28.9">
      <c r="A951" s="15" t="s">
        <v>7599</v>
      </c>
      <c r="B951" s="398"/>
      <c r="C951" s="2" t="str">
        <f t="shared" si="6"/>
        <v>AC 0924</v>
      </c>
      <c r="D951" s="2" t="s">
        <v>7600</v>
      </c>
      <c r="E951" s="2" t="s">
        <v>2626</v>
      </c>
      <c r="F951" s="2" t="s">
        <v>7601</v>
      </c>
      <c r="G951" s="2" t="s">
        <v>7602</v>
      </c>
      <c r="H951" s="2" t="s">
        <v>7603</v>
      </c>
      <c r="I951" s="2" t="s">
        <v>2630</v>
      </c>
      <c r="J951" s="2" t="s">
        <v>7604</v>
      </c>
      <c r="K951" s="2" t="s">
        <v>2630</v>
      </c>
      <c r="L951" s="6" t="s">
        <v>1367</v>
      </c>
      <c r="M951" s="21" t="s">
        <v>1368</v>
      </c>
      <c r="P951" s="21" t="s">
        <v>1371</v>
      </c>
    </row>
    <row r="952" spans="1:33" ht="57.6">
      <c r="A952" s="15" t="s">
        <v>7605</v>
      </c>
      <c r="B952" s="398"/>
      <c r="C952" s="2" t="str">
        <f t="shared" si="6"/>
        <v>AC 0925</v>
      </c>
      <c r="D952" s="2" t="s">
        <v>7606</v>
      </c>
      <c r="E952" s="2" t="s">
        <v>7607</v>
      </c>
      <c r="F952" s="2" t="s">
        <v>7608</v>
      </c>
      <c r="G952" s="2" t="s">
        <v>7609</v>
      </c>
      <c r="H952" s="2" t="s">
        <v>7610</v>
      </c>
      <c r="I952" s="2" t="s">
        <v>7611</v>
      </c>
      <c r="J952" s="2" t="s">
        <v>7612</v>
      </c>
      <c r="K952" s="2" t="s">
        <v>7613</v>
      </c>
      <c r="L952" s="6" t="s">
        <v>1381</v>
      </c>
      <c r="M952" s="21" t="s">
        <v>1368</v>
      </c>
      <c r="P952" s="21" t="s">
        <v>1371</v>
      </c>
    </row>
    <row r="953" spans="1:33" ht="57.6">
      <c r="A953" s="15" t="s">
        <v>7614</v>
      </c>
      <c r="B953" s="398"/>
      <c r="C953" s="2" t="str">
        <f t="shared" si="6"/>
        <v>AC 0926</v>
      </c>
      <c r="D953" s="2" t="s">
        <v>7615</v>
      </c>
      <c r="E953" s="2" t="s">
        <v>7616</v>
      </c>
      <c r="F953" s="2" t="s">
        <v>7608</v>
      </c>
      <c r="G953" s="2" t="s">
        <v>7617</v>
      </c>
      <c r="H953" s="2" t="s">
        <v>7618</v>
      </c>
      <c r="I953" s="2" t="s">
        <v>7619</v>
      </c>
      <c r="J953" s="2" t="s">
        <v>7620</v>
      </c>
      <c r="K953" s="2" t="s">
        <v>7621</v>
      </c>
      <c r="L953" s="6" t="s">
        <v>1381</v>
      </c>
      <c r="M953" s="21" t="s">
        <v>1368</v>
      </c>
      <c r="P953" s="21" t="s">
        <v>1371</v>
      </c>
    </row>
    <row r="954" spans="1:33" ht="57.6">
      <c r="A954" s="15" t="s">
        <v>7622</v>
      </c>
      <c r="B954" s="398"/>
      <c r="C954" s="2" t="str">
        <f t="shared" si="6"/>
        <v>AC 0927</v>
      </c>
      <c r="D954" s="2" t="s">
        <v>7623</v>
      </c>
      <c r="E954" s="2" t="s">
        <v>7624</v>
      </c>
      <c r="F954" s="2" t="s">
        <v>7625</v>
      </c>
      <c r="G954" s="2" t="s">
        <v>7626</v>
      </c>
      <c r="H954" s="2" t="s">
        <v>7627</v>
      </c>
      <c r="I954" s="2" t="s">
        <v>7628</v>
      </c>
      <c r="J954" s="2" t="s">
        <v>2648</v>
      </c>
      <c r="K954" s="2" t="s">
        <v>7629</v>
      </c>
      <c r="L954" s="6" t="s">
        <v>1367</v>
      </c>
      <c r="M954" s="21" t="s">
        <v>1368</v>
      </c>
      <c r="P954" s="21" t="s">
        <v>22</v>
      </c>
    </row>
    <row r="955" spans="1:33" ht="28.9">
      <c r="A955" s="15" t="s">
        <v>7630</v>
      </c>
      <c r="B955" s="398"/>
      <c r="C955" s="2" t="str">
        <f t="shared" si="6"/>
        <v>AC 0928</v>
      </c>
      <c r="D955" s="2" t="s">
        <v>7631</v>
      </c>
      <c r="E955" s="2" t="s">
        <v>7632</v>
      </c>
      <c r="F955" s="2" t="s">
        <v>2593</v>
      </c>
      <c r="G955" s="2" t="s">
        <v>7633</v>
      </c>
      <c r="H955" s="2" t="s">
        <v>7634</v>
      </c>
      <c r="I955" s="2" t="s">
        <v>7635</v>
      </c>
      <c r="J955" s="2" t="s">
        <v>7636</v>
      </c>
      <c r="K955" s="2" t="s">
        <v>7637</v>
      </c>
      <c r="L955" s="6" t="s">
        <v>1367</v>
      </c>
      <c r="M955" s="21" t="s">
        <v>1368</v>
      </c>
      <c r="P955" s="21" t="s">
        <v>22</v>
      </c>
      <c r="AG955" s="78"/>
    </row>
    <row r="956" spans="1:33" s="45" customFormat="1">
      <c r="A956" s="83"/>
      <c r="B956" s="398"/>
      <c r="C956" s="78"/>
      <c r="D956" s="44"/>
      <c r="E956" s="44"/>
      <c r="F956" s="44"/>
      <c r="G956" s="44"/>
      <c r="H956" s="44"/>
      <c r="I956" s="44"/>
      <c r="J956" s="44"/>
      <c r="K956" s="44"/>
      <c r="L956" s="81"/>
      <c r="M956" s="78"/>
      <c r="P956" s="78"/>
      <c r="Q956" s="78"/>
      <c r="R956" s="303"/>
      <c r="W956" s="81"/>
      <c r="X956" s="81"/>
      <c r="AG956" s="21"/>
    </row>
    <row r="957" spans="1:33" ht="28.9">
      <c r="A957" s="9" t="s">
        <v>7638</v>
      </c>
      <c r="B957" s="398"/>
      <c r="C957" s="2" t="str">
        <f t="shared" si="6"/>
        <v>AC 0930</v>
      </c>
      <c r="D957" s="2" t="s">
        <v>7639</v>
      </c>
      <c r="E957" s="2" t="s">
        <v>7640</v>
      </c>
      <c r="F957" s="2" t="s">
        <v>7641</v>
      </c>
      <c r="G957" s="2" t="s">
        <v>2671</v>
      </c>
      <c r="H957" s="2" t="s">
        <v>7642</v>
      </c>
      <c r="I957" s="2" t="s">
        <v>7643</v>
      </c>
      <c r="J957" s="2" t="s">
        <v>2674</v>
      </c>
      <c r="K957" s="2" t="s">
        <v>2675</v>
      </c>
      <c r="L957" s="6" t="s">
        <v>1367</v>
      </c>
      <c r="M957" s="21" t="s">
        <v>1368</v>
      </c>
      <c r="P957" s="21" t="s">
        <v>22</v>
      </c>
    </row>
    <row r="958" spans="1:33" ht="28.9">
      <c r="A958" s="9" t="s">
        <v>7644</v>
      </c>
      <c r="B958" s="398"/>
      <c r="C958" s="2" t="str">
        <f t="shared" si="6"/>
        <v>AC 0931</v>
      </c>
      <c r="D958" s="2" t="s">
        <v>7645</v>
      </c>
      <c r="E958" s="2" t="s">
        <v>7646</v>
      </c>
      <c r="F958" s="2" t="s">
        <v>2679</v>
      </c>
      <c r="G958" s="2" t="s">
        <v>7647</v>
      </c>
      <c r="H958" s="2" t="s">
        <v>7648</v>
      </c>
      <c r="I958" s="2" t="s">
        <v>2682</v>
      </c>
      <c r="J958" s="2" t="s">
        <v>2683</v>
      </c>
      <c r="K958" s="2" t="s">
        <v>2684</v>
      </c>
      <c r="L958" s="6" t="s">
        <v>1367</v>
      </c>
      <c r="M958" s="21" t="s">
        <v>1368</v>
      </c>
      <c r="P958" s="21" t="s">
        <v>1393</v>
      </c>
    </row>
    <row r="959" spans="1:33" ht="28.9">
      <c r="A959" s="9" t="s">
        <v>7649</v>
      </c>
      <c r="B959" s="398"/>
      <c r="C959" s="2" t="str">
        <f t="shared" si="6"/>
        <v>AC 0932</v>
      </c>
      <c r="D959" s="2" t="s">
        <v>7650</v>
      </c>
      <c r="E959" s="2" t="s">
        <v>7651</v>
      </c>
      <c r="F959" s="2" t="s">
        <v>2684</v>
      </c>
      <c r="G959" s="2" t="s">
        <v>7652</v>
      </c>
      <c r="H959" s="2" t="s">
        <v>7653</v>
      </c>
      <c r="I959" s="2" t="s">
        <v>7654</v>
      </c>
      <c r="J959" s="2" t="s">
        <v>7655</v>
      </c>
      <c r="K959" s="2" t="s">
        <v>3468</v>
      </c>
      <c r="L959" s="6" t="s">
        <v>1367</v>
      </c>
      <c r="M959" s="21" t="s">
        <v>1368</v>
      </c>
      <c r="P959" s="21" t="s">
        <v>22</v>
      </c>
    </row>
    <row r="960" spans="1:33" ht="28.9">
      <c r="A960" s="9" t="s">
        <v>7656</v>
      </c>
      <c r="B960" s="398"/>
      <c r="C960" s="2" t="str">
        <f t="shared" si="6"/>
        <v>AC 0933</v>
      </c>
      <c r="D960" s="2" t="s">
        <v>7657</v>
      </c>
      <c r="E960" s="2" t="s">
        <v>7658</v>
      </c>
      <c r="F960" s="2" t="s">
        <v>7659</v>
      </c>
      <c r="G960" s="2" t="s">
        <v>7660</v>
      </c>
      <c r="H960" s="2" t="s">
        <v>7661</v>
      </c>
      <c r="I960" s="2" t="s">
        <v>2630</v>
      </c>
      <c r="J960" s="2" t="s">
        <v>2699</v>
      </c>
      <c r="K960" s="2" t="s">
        <v>2630</v>
      </c>
      <c r="L960" s="6" t="s">
        <v>1367</v>
      </c>
      <c r="M960" s="21" t="s">
        <v>1368</v>
      </c>
      <c r="P960" s="21" t="s">
        <v>1371</v>
      </c>
    </row>
    <row r="961" spans="1:33" ht="57.6">
      <c r="A961" s="9" t="s">
        <v>7662</v>
      </c>
      <c r="B961" s="398"/>
      <c r="C961" s="2" t="str">
        <f t="shared" si="6"/>
        <v>AC 0934</v>
      </c>
      <c r="D961" s="2" t="s">
        <v>2701</v>
      </c>
      <c r="E961" s="2" t="s">
        <v>7663</v>
      </c>
      <c r="F961" s="2" t="s">
        <v>7641</v>
      </c>
      <c r="G961" s="2" t="s">
        <v>7664</v>
      </c>
      <c r="H961" s="2" t="s">
        <v>7665</v>
      </c>
      <c r="I961" s="2" t="s">
        <v>7666</v>
      </c>
      <c r="J961" s="2" t="s">
        <v>7667</v>
      </c>
      <c r="K961" s="2" t="s">
        <v>7668</v>
      </c>
      <c r="L961" s="6" t="s">
        <v>1381</v>
      </c>
      <c r="M961" s="21" t="s">
        <v>1368</v>
      </c>
      <c r="P961" s="21" t="s">
        <v>22</v>
      </c>
    </row>
    <row r="962" spans="1:33" ht="28.9">
      <c r="A962" s="9" t="s">
        <v>7669</v>
      </c>
      <c r="B962" s="398"/>
      <c r="C962" s="2" t="str">
        <f t="shared" si="6"/>
        <v>AC 0935</v>
      </c>
      <c r="D962" s="2" t="s">
        <v>7670</v>
      </c>
      <c r="E962" s="2" t="s">
        <v>7671</v>
      </c>
      <c r="F962" s="2" t="s">
        <v>7641</v>
      </c>
      <c r="G962" s="2" t="s">
        <v>7672</v>
      </c>
      <c r="H962" s="2" t="s">
        <v>7642</v>
      </c>
      <c r="I962" s="2" t="s">
        <v>7673</v>
      </c>
      <c r="J962" s="2" t="s">
        <v>2666</v>
      </c>
      <c r="K962" s="2" t="s">
        <v>7674</v>
      </c>
      <c r="L962" s="6" t="s">
        <v>1367</v>
      </c>
      <c r="M962" s="21" t="s">
        <v>1368</v>
      </c>
      <c r="P962" s="21" t="s">
        <v>22</v>
      </c>
      <c r="AG962" s="78"/>
    </row>
    <row r="963" spans="1:33" s="45" customFormat="1">
      <c r="A963" s="83"/>
      <c r="B963" s="398"/>
      <c r="C963" s="78"/>
      <c r="D963" s="44"/>
      <c r="E963" s="44"/>
      <c r="F963" s="44"/>
      <c r="G963" s="44"/>
      <c r="H963" s="44"/>
      <c r="I963" s="44"/>
      <c r="J963" s="44"/>
      <c r="K963" s="44"/>
      <c r="L963" s="81"/>
      <c r="M963" s="78"/>
      <c r="P963" s="78"/>
      <c r="Q963" s="78"/>
      <c r="R963" s="303"/>
      <c r="W963" s="81"/>
      <c r="X963" s="81"/>
      <c r="AG963" s="21"/>
    </row>
    <row r="964" spans="1:33" ht="28.9">
      <c r="A964" s="15" t="s">
        <v>7675</v>
      </c>
      <c r="B964" s="398"/>
      <c r="C964" s="2" t="str">
        <f t="shared" si="6"/>
        <v>AC 0937</v>
      </c>
      <c r="D964" s="2" t="s">
        <v>7676</v>
      </c>
      <c r="E964" s="2" t="s">
        <v>7677</v>
      </c>
      <c r="F964" s="2" t="s">
        <v>7678</v>
      </c>
      <c r="G964" s="2" t="s">
        <v>2712</v>
      </c>
      <c r="H964" s="2" t="s">
        <v>2713</v>
      </c>
      <c r="I964" s="2" t="s">
        <v>2714</v>
      </c>
      <c r="J964" s="2" t="s">
        <v>7679</v>
      </c>
      <c r="K964" s="2" t="s">
        <v>2716</v>
      </c>
      <c r="L964" s="6" t="s">
        <v>1367</v>
      </c>
      <c r="M964" s="21" t="s">
        <v>1368</v>
      </c>
      <c r="P964" s="21" t="s">
        <v>1371</v>
      </c>
    </row>
    <row r="965" spans="1:33" ht="28.9">
      <c r="A965" s="15" t="s">
        <v>7680</v>
      </c>
      <c r="B965" s="398"/>
      <c r="C965" s="2" t="str">
        <f t="shared" si="6"/>
        <v>AC 0938</v>
      </c>
      <c r="D965" s="2" t="s">
        <v>7681</v>
      </c>
      <c r="E965" s="2" t="s">
        <v>2719</v>
      </c>
      <c r="F965" s="2" t="s">
        <v>2720</v>
      </c>
      <c r="G965" s="2" t="s">
        <v>7682</v>
      </c>
      <c r="H965" s="2" t="s">
        <v>7642</v>
      </c>
      <c r="I965" s="2" t="s">
        <v>7683</v>
      </c>
      <c r="J965" s="2" t="s">
        <v>2724</v>
      </c>
      <c r="K965" s="2" t="s">
        <v>2723</v>
      </c>
      <c r="L965" s="6" t="s">
        <v>1367</v>
      </c>
      <c r="M965" s="21" t="s">
        <v>1368</v>
      </c>
      <c r="P965" s="21" t="s">
        <v>22</v>
      </c>
    </row>
    <row r="966" spans="1:33" ht="28.9">
      <c r="A966" s="15" t="s">
        <v>7684</v>
      </c>
      <c r="B966" s="398"/>
      <c r="C966" s="2" t="str">
        <f t="shared" si="6"/>
        <v>AC 0939</v>
      </c>
      <c r="D966" s="2" t="s">
        <v>7685</v>
      </c>
      <c r="E966" s="2" t="s">
        <v>2727</v>
      </c>
      <c r="F966" s="2" t="s">
        <v>2728</v>
      </c>
      <c r="G966" s="2" t="s">
        <v>2729</v>
      </c>
      <c r="H966" s="2" t="s">
        <v>7642</v>
      </c>
      <c r="I966" s="2" t="s">
        <v>2732</v>
      </c>
      <c r="J966" s="2" t="s">
        <v>2731</v>
      </c>
      <c r="K966" s="2" t="s">
        <v>2732</v>
      </c>
      <c r="L966" s="6" t="s">
        <v>1367</v>
      </c>
      <c r="M966" s="21" t="s">
        <v>1368</v>
      </c>
      <c r="P966" s="21" t="s">
        <v>1393</v>
      </c>
    </row>
    <row r="967" spans="1:33" ht="28.9">
      <c r="A967" s="15" t="s">
        <v>7686</v>
      </c>
      <c r="B967" s="398"/>
      <c r="C967" s="2" t="str">
        <f t="shared" si="6"/>
        <v>AC 0940</v>
      </c>
      <c r="D967" s="2" t="s">
        <v>7687</v>
      </c>
      <c r="E967" s="2" t="s">
        <v>7688</v>
      </c>
      <c r="F967" s="2" t="s">
        <v>2732</v>
      </c>
      <c r="G967" s="2" t="s">
        <v>7689</v>
      </c>
      <c r="H967" s="2" t="s">
        <v>7690</v>
      </c>
      <c r="I967" s="2" t="s">
        <v>7691</v>
      </c>
      <c r="J967" s="2" t="s">
        <v>2739</v>
      </c>
      <c r="K967" s="2" t="s">
        <v>2740</v>
      </c>
      <c r="L967" s="6" t="s">
        <v>1367</v>
      </c>
      <c r="M967" s="21" t="s">
        <v>1368</v>
      </c>
      <c r="P967" s="21" t="s">
        <v>22</v>
      </c>
    </row>
    <row r="968" spans="1:33" ht="28.9">
      <c r="A968" s="15" t="s">
        <v>7692</v>
      </c>
      <c r="B968" s="398"/>
      <c r="C968" s="2" t="str">
        <f t="shared" si="6"/>
        <v>AC 0941</v>
      </c>
      <c r="D968" s="2" t="s">
        <v>7693</v>
      </c>
      <c r="E968" s="2" t="s">
        <v>2743</v>
      </c>
      <c r="F968" s="2" t="s">
        <v>2732</v>
      </c>
      <c r="G968" s="2" t="s">
        <v>7694</v>
      </c>
      <c r="H968" s="2" t="s">
        <v>7642</v>
      </c>
      <c r="I968" s="2" t="s">
        <v>2630</v>
      </c>
      <c r="J968" s="2" t="s">
        <v>2745</v>
      </c>
      <c r="K968" s="2" t="s">
        <v>2630</v>
      </c>
      <c r="L968" s="6" t="s">
        <v>1367</v>
      </c>
      <c r="M968" s="21" t="s">
        <v>1368</v>
      </c>
      <c r="P968" s="21" t="s">
        <v>1371</v>
      </c>
    </row>
    <row r="969" spans="1:33" ht="43.15">
      <c r="A969" s="15" t="s">
        <v>7695</v>
      </c>
      <c r="B969" s="398"/>
      <c r="C969" s="2" t="str">
        <f t="shared" si="6"/>
        <v>AC 0942</v>
      </c>
      <c r="D969" s="2" t="s">
        <v>7696</v>
      </c>
      <c r="E969" s="2" t="s">
        <v>7697</v>
      </c>
      <c r="F969" s="2" t="s">
        <v>7641</v>
      </c>
      <c r="G969" s="2" t="s">
        <v>7698</v>
      </c>
      <c r="H969" s="2" t="s">
        <v>7699</v>
      </c>
      <c r="I969" s="2" t="s">
        <v>7700</v>
      </c>
      <c r="J969" s="2" t="s">
        <v>2767</v>
      </c>
      <c r="K969" s="2" t="s">
        <v>7701</v>
      </c>
      <c r="L969" s="6" t="s">
        <v>1367</v>
      </c>
      <c r="M969" s="21" t="s">
        <v>1368</v>
      </c>
      <c r="P969" s="21" t="s">
        <v>22</v>
      </c>
    </row>
    <row r="970" spans="1:33" ht="43.15">
      <c r="A970" s="15" t="s">
        <v>7702</v>
      </c>
      <c r="B970" s="398"/>
      <c r="C970" s="2" t="str">
        <f t="shared" si="6"/>
        <v>AC 0943</v>
      </c>
      <c r="D970" s="2" t="s">
        <v>7703</v>
      </c>
      <c r="E970" s="2" t="s">
        <v>7704</v>
      </c>
      <c r="F970" s="2" t="s">
        <v>7705</v>
      </c>
      <c r="G970" s="2" t="s">
        <v>7706</v>
      </c>
      <c r="H970" s="2" t="s">
        <v>2672</v>
      </c>
      <c r="I970" s="2" t="s">
        <v>7707</v>
      </c>
      <c r="J970" s="2" t="s">
        <v>7708</v>
      </c>
      <c r="K970" s="2" t="s">
        <v>7709</v>
      </c>
      <c r="L970" s="6" t="s">
        <v>1367</v>
      </c>
      <c r="M970" s="21" t="s">
        <v>1368</v>
      </c>
      <c r="P970" s="21" t="s">
        <v>22</v>
      </c>
    </row>
    <row r="971" spans="1:33" ht="28.9">
      <c r="A971" s="15" t="s">
        <v>7710</v>
      </c>
      <c r="B971" s="398"/>
      <c r="C971" s="2" t="str">
        <f t="shared" si="6"/>
        <v>AC 0944</v>
      </c>
      <c r="D971" s="2" t="s">
        <v>7711</v>
      </c>
      <c r="E971" s="2" t="s">
        <v>7712</v>
      </c>
      <c r="F971" s="2" t="s">
        <v>7713</v>
      </c>
      <c r="G971" s="2" t="s">
        <v>7714</v>
      </c>
      <c r="H971" s="2" t="s">
        <v>7642</v>
      </c>
      <c r="I971" s="2" t="s">
        <v>7715</v>
      </c>
      <c r="J971" s="2" t="s">
        <v>7716</v>
      </c>
      <c r="K971" s="2" t="s">
        <v>7717</v>
      </c>
      <c r="L971" s="6" t="s">
        <v>1367</v>
      </c>
      <c r="M971" s="21" t="s">
        <v>1368</v>
      </c>
      <c r="P971" s="21" t="s">
        <v>1371</v>
      </c>
    </row>
    <row r="972" spans="1:33" ht="43.15">
      <c r="A972" s="15" t="s">
        <v>7718</v>
      </c>
      <c r="B972" s="398"/>
      <c r="C972" s="2" t="str">
        <f t="shared" si="6"/>
        <v>AC 0945</v>
      </c>
      <c r="D972" s="2" t="s">
        <v>7719</v>
      </c>
      <c r="E972" s="2" t="s">
        <v>7720</v>
      </c>
      <c r="F972" s="2" t="s">
        <v>2716</v>
      </c>
      <c r="G972" s="2" t="s">
        <v>7721</v>
      </c>
      <c r="H972" s="2" t="s">
        <v>2713</v>
      </c>
      <c r="I972" s="2" t="s">
        <v>7722</v>
      </c>
      <c r="J972" s="2" t="s">
        <v>7723</v>
      </c>
      <c r="K972" s="2" t="s">
        <v>7724</v>
      </c>
      <c r="L972" s="6" t="s">
        <v>1367</v>
      </c>
      <c r="M972" s="21" t="s">
        <v>1368</v>
      </c>
      <c r="P972" s="21" t="s">
        <v>1481</v>
      </c>
      <c r="AG972" s="78"/>
    </row>
    <row r="973" spans="1:33" s="45" customFormat="1">
      <c r="A973" s="84"/>
      <c r="B973" s="398"/>
      <c r="C973" s="44"/>
      <c r="D973" s="44"/>
      <c r="E973" s="44"/>
      <c r="F973" s="44"/>
      <c r="G973" s="44"/>
      <c r="H973" s="44"/>
      <c r="I973" s="44"/>
      <c r="J973" s="44"/>
      <c r="K973" s="44"/>
      <c r="L973" s="81"/>
      <c r="M973" s="78"/>
      <c r="P973" s="78"/>
      <c r="Q973" s="78"/>
      <c r="R973" s="303"/>
      <c r="W973" s="81"/>
      <c r="X973" s="81"/>
      <c r="AG973" s="21"/>
    </row>
    <row r="974" spans="1:33" s="61" customFormat="1" ht="28.9">
      <c r="A974" s="15" t="s">
        <v>7710</v>
      </c>
      <c r="B974" s="398"/>
      <c r="C974" s="2"/>
      <c r="D974" s="2" t="s">
        <v>7725</v>
      </c>
      <c r="E974" s="2" t="s">
        <v>7726</v>
      </c>
      <c r="F974" s="2" t="s">
        <v>7519</v>
      </c>
      <c r="G974" s="2" t="s">
        <v>7520</v>
      </c>
      <c r="H974" s="2" t="s">
        <v>1442</v>
      </c>
      <c r="I974" s="2" t="s">
        <v>7727</v>
      </c>
      <c r="J974" s="2" t="s">
        <v>7728</v>
      </c>
      <c r="K974" s="2" t="s">
        <v>7523</v>
      </c>
      <c r="L974" s="73" t="s">
        <v>1367</v>
      </c>
      <c r="M974" s="21" t="s">
        <v>1404</v>
      </c>
      <c r="O974"/>
      <c r="P974" s="63" t="s">
        <v>1371</v>
      </c>
      <c r="Q974" s="21"/>
      <c r="R974" s="305"/>
      <c r="S974"/>
      <c r="W974" s="6"/>
      <c r="X974" s="6"/>
      <c r="AG974" s="21"/>
    </row>
    <row r="975" spans="1:33" ht="100.9">
      <c r="A975" s="15" t="s">
        <v>7718</v>
      </c>
      <c r="B975" s="398"/>
      <c r="D975" s="2" t="s">
        <v>7729</v>
      </c>
      <c r="E975" s="2" t="s">
        <v>7730</v>
      </c>
      <c r="F975" s="2" t="s">
        <v>7511</v>
      </c>
      <c r="G975" s="2" t="s">
        <v>7731</v>
      </c>
      <c r="H975" s="2" t="s">
        <v>1442</v>
      </c>
      <c r="I975" s="2" t="s">
        <v>7732</v>
      </c>
      <c r="J975" s="2" t="s">
        <v>7733</v>
      </c>
      <c r="K975" s="2" t="s">
        <v>7734</v>
      </c>
      <c r="L975" s="73" t="s">
        <v>1367</v>
      </c>
      <c r="M975" s="21" t="s">
        <v>1404</v>
      </c>
      <c r="P975" s="21" t="s">
        <v>22</v>
      </c>
      <c r="W975" s="73"/>
      <c r="X975" s="73"/>
    </row>
    <row r="976" spans="1:33" ht="100.9">
      <c r="A976" s="15" t="s">
        <v>7735</v>
      </c>
      <c r="B976" s="398"/>
      <c r="D976" s="2" t="s">
        <v>7736</v>
      </c>
      <c r="E976" s="2" t="s">
        <v>7737</v>
      </c>
      <c r="F976" s="2" t="s">
        <v>7738</v>
      </c>
      <c r="G976" s="2" t="s">
        <v>7739</v>
      </c>
      <c r="H976" s="2" t="s">
        <v>7740</v>
      </c>
      <c r="I976" s="2" t="s">
        <v>7741</v>
      </c>
      <c r="J976" s="2" t="s">
        <v>7742</v>
      </c>
      <c r="K976" s="2" t="s">
        <v>7743</v>
      </c>
      <c r="L976" s="73" t="s">
        <v>1367</v>
      </c>
      <c r="M976" s="21" t="s">
        <v>1404</v>
      </c>
      <c r="P976" s="21" t="s">
        <v>22</v>
      </c>
    </row>
    <row r="977" spans="1:33" ht="100.9">
      <c r="A977" s="15" t="s">
        <v>7744</v>
      </c>
      <c r="B977" s="398"/>
      <c r="D977" s="2" t="s">
        <v>7745</v>
      </c>
      <c r="E977" s="2" t="s">
        <v>7746</v>
      </c>
      <c r="F977" s="2" t="s">
        <v>7747</v>
      </c>
      <c r="G977" s="2" t="s">
        <v>7748</v>
      </c>
      <c r="H977" s="2" t="s">
        <v>7749</v>
      </c>
      <c r="I977" s="2" t="s">
        <v>7750</v>
      </c>
      <c r="J977" s="2" t="s">
        <v>7751</v>
      </c>
      <c r="K977" s="2" t="s">
        <v>7752</v>
      </c>
      <c r="L977" s="73" t="s">
        <v>1367</v>
      </c>
      <c r="M977" s="21" t="s">
        <v>1404</v>
      </c>
      <c r="P977" s="21" t="s">
        <v>22</v>
      </c>
    </row>
    <row r="978" spans="1:33" ht="100.9">
      <c r="A978" s="15" t="s">
        <v>7753</v>
      </c>
      <c r="B978" s="398"/>
      <c r="D978" s="2" t="s">
        <v>7754</v>
      </c>
      <c r="E978" s="2" t="s">
        <v>7755</v>
      </c>
      <c r="F978" s="2" t="s">
        <v>7756</v>
      </c>
      <c r="G978" s="2" t="s">
        <v>7757</v>
      </c>
      <c r="H978" s="2" t="s">
        <v>1442</v>
      </c>
      <c r="I978" s="2" t="s">
        <v>7758</v>
      </c>
      <c r="J978" s="2" t="s">
        <v>7759</v>
      </c>
      <c r="K978" s="2" t="s">
        <v>7760</v>
      </c>
      <c r="L978" s="73" t="s">
        <v>1367</v>
      </c>
      <c r="M978" s="21" t="s">
        <v>1404</v>
      </c>
      <c r="P978" s="21" t="s">
        <v>22</v>
      </c>
    </row>
    <row r="979" spans="1:33" ht="100.9">
      <c r="A979" s="15" t="s">
        <v>7761</v>
      </c>
      <c r="B979" s="398"/>
      <c r="D979" s="2" t="s">
        <v>7762</v>
      </c>
      <c r="E979" s="2" t="s">
        <v>7763</v>
      </c>
      <c r="F979" s="2" t="s">
        <v>7764</v>
      </c>
      <c r="G979" s="2" t="s">
        <v>7765</v>
      </c>
      <c r="H979" s="2" t="s">
        <v>7749</v>
      </c>
      <c r="I979" s="2" t="s">
        <v>7766</v>
      </c>
      <c r="J979" s="2" t="s">
        <v>7767</v>
      </c>
      <c r="K979" s="2" t="s">
        <v>7768</v>
      </c>
      <c r="L979" s="73" t="s">
        <v>1381</v>
      </c>
      <c r="M979" s="21" t="s">
        <v>1404</v>
      </c>
      <c r="P979" s="21" t="s">
        <v>22</v>
      </c>
      <c r="R979" s="5" t="s">
        <v>7769</v>
      </c>
    </row>
    <row r="980" spans="1:33" ht="86.45">
      <c r="A980" s="15" t="s">
        <v>7770</v>
      </c>
      <c r="B980" s="398"/>
      <c r="D980" s="2" t="s">
        <v>7771</v>
      </c>
      <c r="E980" s="2" t="s">
        <v>7772</v>
      </c>
      <c r="F980" s="2" t="s">
        <v>7773</v>
      </c>
      <c r="G980" s="2" t="s">
        <v>7774</v>
      </c>
      <c r="H980" s="2" t="s">
        <v>7775</v>
      </c>
      <c r="I980" s="2" t="s">
        <v>7776</v>
      </c>
      <c r="J980" s="2" t="s">
        <v>7777</v>
      </c>
      <c r="K980" s="2" t="s">
        <v>7778</v>
      </c>
      <c r="L980" s="73" t="s">
        <v>1367</v>
      </c>
      <c r="M980" s="21" t="s">
        <v>1404</v>
      </c>
      <c r="P980" s="21" t="s">
        <v>22</v>
      </c>
    </row>
    <row r="981" spans="1:33" ht="86.45">
      <c r="A981" s="15" t="s">
        <v>7779</v>
      </c>
      <c r="B981" s="398"/>
      <c r="D981" s="2" t="s">
        <v>7780</v>
      </c>
      <c r="E981" s="2" t="s">
        <v>7781</v>
      </c>
      <c r="F981" s="2" t="s">
        <v>7782</v>
      </c>
      <c r="G981" s="2" t="s">
        <v>7783</v>
      </c>
      <c r="H981" s="2" t="s">
        <v>7784</v>
      </c>
      <c r="I981" s="2" t="s">
        <v>7785</v>
      </c>
      <c r="J981" s="2" t="s">
        <v>7786</v>
      </c>
      <c r="K981" s="2" t="s">
        <v>7787</v>
      </c>
      <c r="L981" s="73" t="s">
        <v>1367</v>
      </c>
      <c r="M981" s="21" t="s">
        <v>1404</v>
      </c>
      <c r="P981" s="21" t="s">
        <v>22</v>
      </c>
    </row>
    <row r="982" spans="1:33" ht="66">
      <c r="A982" s="15" t="s">
        <v>7788</v>
      </c>
      <c r="B982" s="398"/>
      <c r="D982" s="87" t="s">
        <v>7789</v>
      </c>
      <c r="E982" s="87" t="s">
        <v>7790</v>
      </c>
      <c r="F982" s="87" t="s">
        <v>7782</v>
      </c>
      <c r="G982" s="87" t="s">
        <v>7791</v>
      </c>
      <c r="H982" s="87" t="s">
        <v>7792</v>
      </c>
      <c r="I982" s="87" t="s">
        <v>7793</v>
      </c>
      <c r="J982" s="2" t="s">
        <v>1442</v>
      </c>
      <c r="K982" s="2" t="s">
        <v>7794</v>
      </c>
      <c r="L982" s="73" t="s">
        <v>1381</v>
      </c>
      <c r="M982" s="21" t="s">
        <v>1404</v>
      </c>
      <c r="P982" s="21" t="s">
        <v>1371</v>
      </c>
    </row>
    <row r="983" spans="1:33" ht="79.150000000000006">
      <c r="A983" s="15" t="s">
        <v>7795</v>
      </c>
      <c r="B983" s="398"/>
      <c r="D983" s="87" t="s">
        <v>7796</v>
      </c>
      <c r="E983" s="87" t="s">
        <v>7797</v>
      </c>
      <c r="F983" s="87" t="s">
        <v>7782</v>
      </c>
      <c r="G983" s="87" t="s">
        <v>7798</v>
      </c>
      <c r="H983" s="87" t="s">
        <v>7799</v>
      </c>
      <c r="I983" s="87" t="s">
        <v>7800</v>
      </c>
      <c r="J983" s="87" t="s">
        <v>7801</v>
      </c>
      <c r="K983" s="2" t="s">
        <v>7802</v>
      </c>
      <c r="L983" s="73" t="s">
        <v>1381</v>
      </c>
      <c r="M983" s="21" t="s">
        <v>1404</v>
      </c>
      <c r="P983" s="21" t="s">
        <v>22</v>
      </c>
    </row>
    <row r="984" spans="1:33" ht="92.45">
      <c r="A984" s="15" t="s">
        <v>7803</v>
      </c>
      <c r="B984" s="398"/>
      <c r="D984" s="87" t="s">
        <v>7804</v>
      </c>
      <c r="E984" s="87" t="s">
        <v>7805</v>
      </c>
      <c r="F984" s="87" t="s">
        <v>7806</v>
      </c>
      <c r="G984" s="87" t="s">
        <v>7807</v>
      </c>
      <c r="H984" s="87" t="s">
        <v>7808</v>
      </c>
      <c r="I984" s="87" t="s">
        <v>7809</v>
      </c>
      <c r="J984" s="87" t="s">
        <v>7810</v>
      </c>
      <c r="K984" s="2" t="s">
        <v>7811</v>
      </c>
      <c r="L984" s="73" t="s">
        <v>1381</v>
      </c>
      <c r="M984" s="21" t="s">
        <v>1404</v>
      </c>
      <c r="P984" s="21" t="s">
        <v>22</v>
      </c>
      <c r="AG984" s="78"/>
    </row>
    <row r="985" spans="1:33" s="45" customFormat="1" ht="15" thickBot="1">
      <c r="A985" s="83"/>
      <c r="B985" s="398"/>
      <c r="C985" s="78"/>
      <c r="D985" s="244"/>
      <c r="E985" s="244"/>
      <c r="F985" s="44"/>
      <c r="G985" s="44"/>
      <c r="H985" s="44"/>
      <c r="I985" s="44"/>
      <c r="J985" s="44"/>
      <c r="K985" s="44"/>
      <c r="L985" s="81"/>
      <c r="M985" s="78"/>
      <c r="P985" s="78"/>
      <c r="Q985" s="78"/>
      <c r="R985" s="303"/>
      <c r="W985" s="81"/>
      <c r="X985" s="81"/>
      <c r="AG985" s="21"/>
    </row>
    <row r="986" spans="1:33" ht="43.15">
      <c r="A986" s="15" t="s">
        <v>7812</v>
      </c>
      <c r="B986" s="398"/>
      <c r="C986" s="2" t="str">
        <f>"AC 0" &amp; ROW()-27</f>
        <v>AC 0959</v>
      </c>
      <c r="D986" s="2" t="s">
        <v>7813</v>
      </c>
      <c r="E986" s="2" t="s">
        <v>7814</v>
      </c>
      <c r="F986" s="2" t="s">
        <v>7519</v>
      </c>
      <c r="G986" s="2" t="s">
        <v>7520</v>
      </c>
      <c r="H986" s="2" t="s">
        <v>1442</v>
      </c>
      <c r="I986" s="2" t="s">
        <v>7815</v>
      </c>
      <c r="J986" s="2" t="s">
        <v>7816</v>
      </c>
      <c r="K986" s="2" t="s">
        <v>7815</v>
      </c>
      <c r="L986" s="6" t="s">
        <v>1367</v>
      </c>
      <c r="M986" s="21" t="s">
        <v>1368</v>
      </c>
      <c r="P986" s="21" t="s">
        <v>1371</v>
      </c>
    </row>
    <row r="987" spans="1:33" ht="28.9">
      <c r="A987" s="15" t="s">
        <v>7817</v>
      </c>
      <c r="B987" s="398"/>
      <c r="C987" s="2" t="str">
        <f>"AC 0" &amp; ROW()-27</f>
        <v>AC 0960</v>
      </c>
      <c r="D987" s="2" t="s">
        <v>7818</v>
      </c>
      <c r="E987" s="2" t="s">
        <v>7819</v>
      </c>
      <c r="F987" s="2" t="s">
        <v>3094</v>
      </c>
      <c r="G987" s="2" t="s">
        <v>7820</v>
      </c>
      <c r="H987" s="2" t="s">
        <v>1442</v>
      </c>
      <c r="I987" s="2" t="s">
        <v>7821</v>
      </c>
      <c r="J987" s="2" t="s">
        <v>7822</v>
      </c>
      <c r="K987" s="2" t="s">
        <v>7823</v>
      </c>
      <c r="L987" s="6" t="s">
        <v>1367</v>
      </c>
      <c r="M987" s="21" t="s">
        <v>1368</v>
      </c>
      <c r="P987" s="21" t="s">
        <v>22</v>
      </c>
    </row>
    <row r="988" spans="1:33" ht="28.9">
      <c r="A988" s="15" t="s">
        <v>7824</v>
      </c>
      <c r="B988" s="398"/>
      <c r="C988" s="2" t="str">
        <f t="shared" ref="C988:C1046" si="7">"AC 0" &amp; ROW()-27</f>
        <v>AC 0961</v>
      </c>
      <c r="D988" s="2" t="s">
        <v>7825</v>
      </c>
      <c r="E988" s="2" t="s">
        <v>7826</v>
      </c>
      <c r="F988" s="2" t="s">
        <v>7827</v>
      </c>
      <c r="G988" s="2" t="s">
        <v>7828</v>
      </c>
      <c r="H988" s="2" t="s">
        <v>1442</v>
      </c>
      <c r="I988" s="2" t="s">
        <v>7829</v>
      </c>
      <c r="J988" s="2" t="s">
        <v>7530</v>
      </c>
      <c r="K988" s="2" t="s">
        <v>5504</v>
      </c>
      <c r="L988" s="6" t="s">
        <v>1367</v>
      </c>
      <c r="M988" s="21" t="s">
        <v>1368</v>
      </c>
      <c r="P988" s="21" t="s">
        <v>22</v>
      </c>
    </row>
    <row r="989" spans="1:33" ht="57.6">
      <c r="A989" s="15" t="s">
        <v>7830</v>
      </c>
      <c r="B989" s="398"/>
      <c r="C989" s="2" t="str">
        <f t="shared" si="7"/>
        <v>AC 0962</v>
      </c>
      <c r="D989" s="2" t="s">
        <v>7831</v>
      </c>
      <c r="E989" s="2" t="s">
        <v>7832</v>
      </c>
      <c r="F989" s="2" t="s">
        <v>2585</v>
      </c>
      <c r="G989" s="2" t="s">
        <v>7833</v>
      </c>
      <c r="H989" s="2" t="s">
        <v>1442</v>
      </c>
      <c r="I989" s="2" t="s">
        <v>7834</v>
      </c>
      <c r="J989" s="2" t="s">
        <v>2564</v>
      </c>
      <c r="K989" s="2" t="s">
        <v>7538</v>
      </c>
      <c r="L989" s="6" t="s">
        <v>1367</v>
      </c>
      <c r="M989" s="21" t="s">
        <v>1368</v>
      </c>
      <c r="P989" s="21" t="s">
        <v>22</v>
      </c>
    </row>
    <row r="990" spans="1:33" ht="28.9">
      <c r="A990" s="15" t="s">
        <v>7835</v>
      </c>
      <c r="B990" s="398"/>
      <c r="C990" s="2" t="str">
        <f t="shared" si="7"/>
        <v>AC 0963</v>
      </c>
      <c r="D990" s="2" t="s">
        <v>7836</v>
      </c>
      <c r="E990" s="2" t="s">
        <v>7837</v>
      </c>
      <c r="F990" s="2" t="s">
        <v>7838</v>
      </c>
      <c r="G990" s="2" t="s">
        <v>7839</v>
      </c>
      <c r="H990" s="2" t="s">
        <v>2713</v>
      </c>
      <c r="I990" s="2" t="s">
        <v>7840</v>
      </c>
      <c r="J990" s="2" t="s">
        <v>7841</v>
      </c>
      <c r="K990" s="2" t="s">
        <v>7546</v>
      </c>
      <c r="L990" s="6" t="s">
        <v>1367</v>
      </c>
      <c r="M990" s="21" t="s">
        <v>1368</v>
      </c>
      <c r="P990" s="21" t="s">
        <v>1371</v>
      </c>
    </row>
    <row r="991" spans="1:33" ht="28.9">
      <c r="A991" s="15" t="s">
        <v>7842</v>
      </c>
      <c r="B991" s="398"/>
      <c r="C991" s="2" t="str">
        <f t="shared" si="7"/>
        <v>AC 0964</v>
      </c>
      <c r="D991" s="2" t="s">
        <v>7843</v>
      </c>
      <c r="E991" s="2" t="s">
        <v>7844</v>
      </c>
      <c r="F991" s="2" t="s">
        <v>2585</v>
      </c>
      <c r="G991" s="2" t="s">
        <v>7845</v>
      </c>
      <c r="H991" s="2" t="s">
        <v>1442</v>
      </c>
      <c r="I991" s="2" t="s">
        <v>7846</v>
      </c>
      <c r="J991" s="2" t="s">
        <v>7847</v>
      </c>
      <c r="K991" s="2" t="s">
        <v>7552</v>
      </c>
      <c r="L991" s="6" t="s">
        <v>1367</v>
      </c>
      <c r="M991" s="21" t="s">
        <v>1368</v>
      </c>
      <c r="P991" s="21" t="s">
        <v>1371</v>
      </c>
    </row>
    <row r="992" spans="1:33" ht="28.9">
      <c r="A992" s="15" t="s">
        <v>7848</v>
      </c>
      <c r="B992" s="398"/>
      <c r="C992" s="2" t="str">
        <f t="shared" si="7"/>
        <v>AC 0965</v>
      </c>
      <c r="D992" s="2" t="s">
        <v>7849</v>
      </c>
      <c r="E992" s="2" t="s">
        <v>7850</v>
      </c>
      <c r="F992" s="2" t="s">
        <v>7838</v>
      </c>
      <c r="G992" s="2" t="s">
        <v>7851</v>
      </c>
      <c r="H992" s="2" t="s">
        <v>2713</v>
      </c>
      <c r="I992" s="2" t="s">
        <v>7852</v>
      </c>
      <c r="J992" s="2" t="s">
        <v>2580</v>
      </c>
      <c r="K992" s="2" t="s">
        <v>7558</v>
      </c>
      <c r="L992" s="6" t="s">
        <v>1367</v>
      </c>
      <c r="M992" s="21" t="s">
        <v>1368</v>
      </c>
      <c r="P992" s="21" t="s">
        <v>22</v>
      </c>
    </row>
    <row r="993" spans="1:16" ht="28.9">
      <c r="A993" s="15" t="s">
        <v>7853</v>
      </c>
      <c r="B993" s="398"/>
      <c r="C993" s="2" t="str">
        <f t="shared" si="7"/>
        <v>AC 0966</v>
      </c>
      <c r="D993" s="2" t="s">
        <v>7854</v>
      </c>
      <c r="E993" s="2" t="s">
        <v>7855</v>
      </c>
      <c r="F993" s="2" t="s">
        <v>7856</v>
      </c>
      <c r="G993" s="2" t="s">
        <v>7857</v>
      </c>
      <c r="H993" s="2" t="s">
        <v>1442</v>
      </c>
      <c r="I993" s="2" t="s">
        <v>2785</v>
      </c>
      <c r="J993" s="2" t="s">
        <v>7565</v>
      </c>
      <c r="K993" s="2" t="s">
        <v>7566</v>
      </c>
      <c r="L993" s="6" t="s">
        <v>1367</v>
      </c>
      <c r="M993" s="21" t="s">
        <v>1368</v>
      </c>
      <c r="P993" s="21" t="s">
        <v>1481</v>
      </c>
    </row>
    <row r="994" spans="1:16" ht="28.9">
      <c r="A994" s="15" t="s">
        <v>7858</v>
      </c>
      <c r="B994" s="398"/>
      <c r="C994" s="2" t="str">
        <f t="shared" si="7"/>
        <v>AC 0967</v>
      </c>
      <c r="D994" s="2" t="s">
        <v>7859</v>
      </c>
      <c r="E994" s="2" t="s">
        <v>2584</v>
      </c>
      <c r="F994" s="2" t="s">
        <v>2585</v>
      </c>
      <c r="G994" s="2" t="s">
        <v>2586</v>
      </c>
      <c r="H994" s="2" t="s">
        <v>1442</v>
      </c>
      <c r="I994" s="2" t="s">
        <v>2587</v>
      </c>
      <c r="J994" s="2" t="s">
        <v>2588</v>
      </c>
      <c r="K994" s="2" t="s">
        <v>2589</v>
      </c>
      <c r="L994" s="6" t="s">
        <v>1367</v>
      </c>
      <c r="M994" s="21" t="s">
        <v>1368</v>
      </c>
      <c r="P994" s="21" t="s">
        <v>22</v>
      </c>
    </row>
    <row r="995" spans="1:16" ht="28.9">
      <c r="A995" s="15" t="s">
        <v>7860</v>
      </c>
      <c r="B995" s="398"/>
      <c r="C995" s="2" t="str">
        <f t="shared" si="7"/>
        <v>AC 0968</v>
      </c>
      <c r="D995" s="2" t="s">
        <v>2591</v>
      </c>
      <c r="E995" s="2" t="s">
        <v>2592</v>
      </c>
      <c r="F995" s="2" t="s">
        <v>2593</v>
      </c>
      <c r="G995" s="2" t="s">
        <v>7861</v>
      </c>
      <c r="H995" s="2" t="s">
        <v>2595</v>
      </c>
      <c r="I995" s="2" t="s">
        <v>2596</v>
      </c>
      <c r="J995" s="2" t="s">
        <v>2597</v>
      </c>
      <c r="K995" s="2" t="s">
        <v>2598</v>
      </c>
      <c r="L995" s="6" t="s">
        <v>1367</v>
      </c>
      <c r="M995" s="21" t="s">
        <v>1368</v>
      </c>
      <c r="P995" s="21" t="s">
        <v>22</v>
      </c>
    </row>
    <row r="996" spans="1:16" ht="28.9">
      <c r="A996" s="15" t="s">
        <v>7862</v>
      </c>
      <c r="B996" s="398"/>
      <c r="C996" s="2" t="str">
        <f t="shared" si="7"/>
        <v>AC 0969</v>
      </c>
      <c r="D996" s="2" t="s">
        <v>2609</v>
      </c>
      <c r="E996" s="2" t="s">
        <v>7863</v>
      </c>
      <c r="F996" s="2" t="s">
        <v>2593</v>
      </c>
      <c r="G996" s="2" t="s">
        <v>4040</v>
      </c>
      <c r="H996" s="2" t="s">
        <v>7864</v>
      </c>
      <c r="I996" s="2" t="s">
        <v>7865</v>
      </c>
      <c r="J996" s="2" t="s">
        <v>2614</v>
      </c>
      <c r="K996" s="2" t="s">
        <v>2615</v>
      </c>
      <c r="L996" s="6" t="s">
        <v>1367</v>
      </c>
      <c r="M996" s="21" t="s">
        <v>1368</v>
      </c>
      <c r="P996" s="21" t="s">
        <v>1393</v>
      </c>
    </row>
    <row r="997" spans="1:16" ht="28.9">
      <c r="A997" s="15" t="s">
        <v>7866</v>
      </c>
      <c r="B997" s="398"/>
      <c r="C997" s="2" t="str">
        <f t="shared" si="7"/>
        <v>AC 0970</v>
      </c>
      <c r="D997" s="2" t="s">
        <v>7867</v>
      </c>
      <c r="E997" s="2" t="s">
        <v>2618</v>
      </c>
      <c r="F997" s="2" t="s">
        <v>7865</v>
      </c>
      <c r="G997" s="2" t="s">
        <v>7868</v>
      </c>
      <c r="H997" s="2" t="s">
        <v>2620</v>
      </c>
      <c r="I997" s="2" t="s">
        <v>7869</v>
      </c>
      <c r="J997" s="2" t="s">
        <v>2622</v>
      </c>
      <c r="K997" s="2" t="s">
        <v>2623</v>
      </c>
      <c r="L997" s="6" t="s">
        <v>1367</v>
      </c>
      <c r="M997" s="21" t="s">
        <v>1368</v>
      </c>
      <c r="P997" s="21" t="s">
        <v>22</v>
      </c>
    </row>
    <row r="998" spans="1:16" ht="28.9">
      <c r="A998" s="15" t="s">
        <v>7870</v>
      </c>
      <c r="B998" s="398"/>
      <c r="C998" s="2" t="str">
        <f t="shared" si="7"/>
        <v>AC 0971</v>
      </c>
      <c r="D998" s="2" t="s">
        <v>7871</v>
      </c>
      <c r="E998" s="2" t="s">
        <v>2626</v>
      </c>
      <c r="F998" s="2" t="s">
        <v>2627</v>
      </c>
      <c r="G998" s="2" t="s">
        <v>7872</v>
      </c>
      <c r="H998" s="2" t="s">
        <v>7873</v>
      </c>
      <c r="I998" s="2" t="s">
        <v>2630</v>
      </c>
      <c r="J998" s="2" t="s">
        <v>2631</v>
      </c>
      <c r="K998" s="2" t="s">
        <v>2630</v>
      </c>
      <c r="L998" s="6" t="s">
        <v>1367</v>
      </c>
      <c r="M998" s="21" t="s">
        <v>1368</v>
      </c>
      <c r="P998" s="21" t="s">
        <v>1371</v>
      </c>
    </row>
    <row r="999" spans="1:16" ht="57.6">
      <c r="A999" s="15" t="s">
        <v>7874</v>
      </c>
      <c r="B999" s="398"/>
      <c r="C999" s="2" t="str">
        <f t="shared" si="7"/>
        <v>AC 0972</v>
      </c>
      <c r="D999" s="2" t="s">
        <v>7875</v>
      </c>
      <c r="E999" s="2" t="s">
        <v>2634</v>
      </c>
      <c r="F999" s="2" t="s">
        <v>7876</v>
      </c>
      <c r="G999" s="2" t="s">
        <v>7877</v>
      </c>
      <c r="H999" s="2" t="s">
        <v>7878</v>
      </c>
      <c r="I999" s="2" t="s">
        <v>2638</v>
      </c>
      <c r="J999" s="2" t="s">
        <v>2639</v>
      </c>
      <c r="K999" s="2" t="s">
        <v>4057</v>
      </c>
      <c r="L999" s="6" t="s">
        <v>1381</v>
      </c>
      <c r="M999" s="21" t="s">
        <v>1368</v>
      </c>
      <c r="P999" s="21" t="s">
        <v>1371</v>
      </c>
    </row>
    <row r="1000" spans="1:16" ht="86.45">
      <c r="A1000" s="15" t="s">
        <v>7879</v>
      </c>
      <c r="B1000" s="398"/>
      <c r="C1000" s="2" t="str">
        <f t="shared" si="7"/>
        <v>AC 0973</v>
      </c>
      <c r="D1000" s="2" t="s">
        <v>7880</v>
      </c>
      <c r="E1000" s="2" t="s">
        <v>7881</v>
      </c>
      <c r="F1000" s="2" t="s">
        <v>4061</v>
      </c>
      <c r="G1000" s="2" t="s">
        <v>7882</v>
      </c>
      <c r="H1000" s="2" t="s">
        <v>7883</v>
      </c>
      <c r="I1000" s="2" t="s">
        <v>7884</v>
      </c>
      <c r="J1000" s="2" t="s">
        <v>2648</v>
      </c>
      <c r="K1000" s="2" t="s">
        <v>7885</v>
      </c>
      <c r="L1000" s="6" t="s">
        <v>1381</v>
      </c>
      <c r="M1000" s="21" t="s">
        <v>1368</v>
      </c>
      <c r="P1000" s="21" t="s">
        <v>22</v>
      </c>
    </row>
    <row r="1001" spans="1:16" ht="43.15">
      <c r="A1001" s="15" t="s">
        <v>7886</v>
      </c>
      <c r="B1001" s="398"/>
      <c r="C1001" s="2" t="str">
        <f t="shared" si="7"/>
        <v>AC 0974</v>
      </c>
      <c r="D1001" s="2" t="s">
        <v>7887</v>
      </c>
      <c r="E1001" s="2" t="s">
        <v>2652</v>
      </c>
      <c r="F1001" s="2" t="s">
        <v>7888</v>
      </c>
      <c r="G1001" s="2" t="s">
        <v>7889</v>
      </c>
      <c r="H1001" s="2" t="s">
        <v>7890</v>
      </c>
      <c r="I1001" s="2" t="s">
        <v>7891</v>
      </c>
      <c r="J1001" s="2" t="s">
        <v>2657</v>
      </c>
      <c r="K1001" s="2" t="s">
        <v>7892</v>
      </c>
      <c r="L1001" s="6" t="s">
        <v>1367</v>
      </c>
      <c r="M1001" s="21" t="s">
        <v>1368</v>
      </c>
      <c r="P1001" s="21" t="s">
        <v>22</v>
      </c>
    </row>
    <row r="1002" spans="1:16" ht="28.9">
      <c r="A1002" s="15" t="s">
        <v>7893</v>
      </c>
      <c r="B1002" s="398"/>
      <c r="C1002" s="2" t="str">
        <f t="shared" si="7"/>
        <v>AC 0975</v>
      </c>
      <c r="D1002" s="2" t="s">
        <v>2669</v>
      </c>
      <c r="E1002" s="2" t="s">
        <v>2670</v>
      </c>
      <c r="F1002" s="2" t="s">
        <v>4061</v>
      </c>
      <c r="G1002" s="2" t="s">
        <v>2671</v>
      </c>
      <c r="H1002" s="2" t="s">
        <v>2672</v>
      </c>
      <c r="I1002" s="2" t="s">
        <v>2673</v>
      </c>
      <c r="J1002" s="2" t="s">
        <v>2674</v>
      </c>
      <c r="K1002" s="2" t="s">
        <v>2675</v>
      </c>
      <c r="L1002" s="6" t="s">
        <v>1367</v>
      </c>
      <c r="M1002" s="21" t="s">
        <v>1368</v>
      </c>
      <c r="P1002" s="21" t="s">
        <v>22</v>
      </c>
    </row>
    <row r="1003" spans="1:16" ht="28.9">
      <c r="A1003" s="15" t="s">
        <v>7894</v>
      </c>
      <c r="B1003" s="398"/>
      <c r="C1003" s="2" t="str">
        <f t="shared" si="7"/>
        <v>AC 0976</v>
      </c>
      <c r="D1003" s="2" t="s">
        <v>7895</v>
      </c>
      <c r="E1003" s="2" t="s">
        <v>2678</v>
      </c>
      <c r="F1003" s="2" t="s">
        <v>2679</v>
      </c>
      <c r="G1003" s="2" t="s">
        <v>7896</v>
      </c>
      <c r="H1003" s="2" t="s">
        <v>2681</v>
      </c>
      <c r="I1003" s="2" t="s">
        <v>2682</v>
      </c>
      <c r="J1003" s="2" t="s">
        <v>2683</v>
      </c>
      <c r="K1003" s="2" t="s">
        <v>2684</v>
      </c>
      <c r="L1003" s="6" t="s">
        <v>1367</v>
      </c>
      <c r="M1003" s="21" t="s">
        <v>1368</v>
      </c>
      <c r="P1003" s="21" t="s">
        <v>1393</v>
      </c>
    </row>
    <row r="1004" spans="1:16" ht="28.9">
      <c r="A1004" s="15" t="s">
        <v>7897</v>
      </c>
      <c r="B1004" s="398"/>
      <c r="C1004" s="2" t="str">
        <f t="shared" si="7"/>
        <v>AC 0977</v>
      </c>
      <c r="D1004" s="2" t="s">
        <v>7898</v>
      </c>
      <c r="E1004" s="2" t="s">
        <v>2687</v>
      </c>
      <c r="F1004" s="2" t="s">
        <v>2684</v>
      </c>
      <c r="G1004" s="2" t="s">
        <v>7899</v>
      </c>
      <c r="H1004" s="2" t="s">
        <v>7900</v>
      </c>
      <c r="I1004" s="2" t="s">
        <v>2690</v>
      </c>
      <c r="J1004" s="2" t="s">
        <v>2691</v>
      </c>
      <c r="K1004" s="2" t="s">
        <v>2692</v>
      </c>
      <c r="L1004" s="6" t="s">
        <v>1367</v>
      </c>
      <c r="M1004" s="21" t="s">
        <v>1368</v>
      </c>
      <c r="P1004" s="21" t="s">
        <v>22</v>
      </c>
    </row>
    <row r="1005" spans="1:16" ht="43.15">
      <c r="A1005" s="15" t="s">
        <v>7901</v>
      </c>
      <c r="B1005" s="398"/>
      <c r="C1005" s="2" t="str">
        <f t="shared" si="7"/>
        <v>AC 0978</v>
      </c>
      <c r="D1005" s="2" t="s">
        <v>7902</v>
      </c>
      <c r="E1005" s="2" t="s">
        <v>2695</v>
      </c>
      <c r="F1005" s="2" t="s">
        <v>2696</v>
      </c>
      <c r="G1005" s="2" t="s">
        <v>7903</v>
      </c>
      <c r="H1005" s="2" t="s">
        <v>2698</v>
      </c>
      <c r="I1005" s="2" t="s">
        <v>2630</v>
      </c>
      <c r="J1005" s="2" t="s">
        <v>2699</v>
      </c>
      <c r="K1005" s="2" t="s">
        <v>2630</v>
      </c>
      <c r="L1005" s="6" t="s">
        <v>1367</v>
      </c>
      <c r="M1005" s="21" t="s">
        <v>1368</v>
      </c>
      <c r="P1005" s="21" t="s">
        <v>1371</v>
      </c>
    </row>
    <row r="1006" spans="1:16" ht="57.6">
      <c r="A1006" s="15" t="s">
        <v>7904</v>
      </c>
      <c r="B1006" s="398"/>
      <c r="C1006" s="2" t="str">
        <f t="shared" si="7"/>
        <v>AC 0979</v>
      </c>
      <c r="D1006" s="2" t="s">
        <v>7905</v>
      </c>
      <c r="E1006" s="2" t="s">
        <v>2634</v>
      </c>
      <c r="F1006" s="2" t="s">
        <v>7906</v>
      </c>
      <c r="G1006" s="2" t="s">
        <v>7907</v>
      </c>
      <c r="H1006" s="2" t="s">
        <v>7878</v>
      </c>
      <c r="I1006" s="2" t="s">
        <v>2638</v>
      </c>
      <c r="J1006" s="2" t="s">
        <v>2639</v>
      </c>
      <c r="K1006" s="2" t="s">
        <v>4057</v>
      </c>
      <c r="L1006" s="6" t="s">
        <v>1381</v>
      </c>
      <c r="M1006" s="21" t="s">
        <v>1368</v>
      </c>
      <c r="P1006" s="21" t="s">
        <v>1371</v>
      </c>
    </row>
    <row r="1007" spans="1:16" ht="86.45">
      <c r="A1007" s="15" t="s">
        <v>7908</v>
      </c>
      <c r="B1007" s="398"/>
      <c r="C1007" s="2" t="str">
        <f t="shared" si="7"/>
        <v>AC 0980</v>
      </c>
      <c r="D1007" s="2" t="s">
        <v>2701</v>
      </c>
      <c r="E1007" s="2" t="s">
        <v>7909</v>
      </c>
      <c r="F1007" s="2" t="s">
        <v>4061</v>
      </c>
      <c r="G1007" s="2" t="s">
        <v>7910</v>
      </c>
      <c r="H1007" s="2" t="s">
        <v>2704</v>
      </c>
      <c r="I1007" s="2" t="s">
        <v>2705</v>
      </c>
      <c r="J1007" s="2" t="s">
        <v>4093</v>
      </c>
      <c r="K1007" s="2" t="s">
        <v>7911</v>
      </c>
      <c r="L1007" s="6" t="s">
        <v>1381</v>
      </c>
      <c r="M1007" s="21" t="s">
        <v>1368</v>
      </c>
      <c r="P1007" s="21" t="s">
        <v>22</v>
      </c>
    </row>
    <row r="1008" spans="1:16" ht="28.9">
      <c r="A1008" s="15" t="s">
        <v>7912</v>
      </c>
      <c r="B1008" s="398"/>
      <c r="C1008" s="2" t="str">
        <f t="shared" si="7"/>
        <v>AC 0981</v>
      </c>
      <c r="D1008" s="2" t="s">
        <v>7913</v>
      </c>
      <c r="E1008" s="2" t="s">
        <v>2710</v>
      </c>
      <c r="F1008" s="2" t="s">
        <v>7838</v>
      </c>
      <c r="G1008" s="2" t="s">
        <v>2712</v>
      </c>
      <c r="H1008" s="2" t="s">
        <v>2713</v>
      </c>
      <c r="I1008" s="2" t="s">
        <v>2714</v>
      </c>
      <c r="J1008" s="2" t="s">
        <v>2715</v>
      </c>
      <c r="K1008" s="2" t="s">
        <v>2716</v>
      </c>
      <c r="L1008" s="6" t="s">
        <v>1367</v>
      </c>
      <c r="M1008" s="21" t="s">
        <v>1368</v>
      </c>
      <c r="P1008" s="21" t="s">
        <v>1371</v>
      </c>
    </row>
    <row r="1009" spans="1:33" ht="28.9">
      <c r="A1009" s="15" t="s">
        <v>7914</v>
      </c>
      <c r="B1009" s="398"/>
      <c r="C1009" s="2" t="str">
        <f t="shared" si="7"/>
        <v>AC 0982</v>
      </c>
      <c r="D1009" s="2" t="s">
        <v>2718</v>
      </c>
      <c r="E1009" s="2" t="s">
        <v>2719</v>
      </c>
      <c r="F1009" s="2" t="s">
        <v>2720</v>
      </c>
      <c r="G1009" s="2" t="s">
        <v>7915</v>
      </c>
      <c r="H1009" s="2" t="s">
        <v>7916</v>
      </c>
      <c r="I1009" s="2" t="s">
        <v>2723</v>
      </c>
      <c r="J1009" s="2" t="s">
        <v>2724</v>
      </c>
      <c r="K1009" s="2" t="s">
        <v>2723</v>
      </c>
      <c r="L1009" s="6" t="s">
        <v>1367</v>
      </c>
      <c r="M1009" s="21" t="s">
        <v>1368</v>
      </c>
      <c r="P1009" s="21" t="s">
        <v>22</v>
      </c>
    </row>
    <row r="1010" spans="1:33" ht="28.9">
      <c r="A1010" s="15" t="s">
        <v>7917</v>
      </c>
      <c r="B1010" s="398"/>
      <c r="C1010" s="2" t="str">
        <f t="shared" si="7"/>
        <v>AC 0983</v>
      </c>
      <c r="D1010" s="2" t="s">
        <v>7918</v>
      </c>
      <c r="E1010" s="2" t="s">
        <v>2727</v>
      </c>
      <c r="F1010" s="2" t="s">
        <v>2728</v>
      </c>
      <c r="G1010" s="2" t="s">
        <v>2729</v>
      </c>
      <c r="H1010" s="2" t="s">
        <v>7916</v>
      </c>
      <c r="I1010" s="2" t="s">
        <v>7919</v>
      </c>
      <c r="J1010" s="2" t="s">
        <v>2731</v>
      </c>
      <c r="K1010" s="2" t="s">
        <v>2732</v>
      </c>
      <c r="L1010" s="6" t="s">
        <v>1367</v>
      </c>
      <c r="M1010" s="21" t="s">
        <v>1368</v>
      </c>
      <c r="P1010" s="21" t="s">
        <v>1393</v>
      </c>
    </row>
    <row r="1011" spans="1:33" ht="28.9">
      <c r="A1011" s="15" t="s">
        <v>7920</v>
      </c>
      <c r="B1011" s="398"/>
      <c r="C1011" s="2" t="str">
        <f t="shared" si="7"/>
        <v>AC 0984</v>
      </c>
      <c r="D1011" s="2" t="s">
        <v>7921</v>
      </c>
      <c r="E1011" s="2" t="s">
        <v>2735</v>
      </c>
      <c r="F1011" s="2" t="s">
        <v>2732</v>
      </c>
      <c r="G1011" s="2" t="s">
        <v>7922</v>
      </c>
      <c r="H1011" s="2" t="s">
        <v>7923</v>
      </c>
      <c r="I1011" s="2" t="s">
        <v>2738</v>
      </c>
      <c r="J1011" s="2" t="s">
        <v>2739</v>
      </c>
      <c r="K1011" s="2" t="s">
        <v>2740</v>
      </c>
      <c r="L1011" s="6" t="s">
        <v>1367</v>
      </c>
      <c r="M1011" s="21" t="s">
        <v>1368</v>
      </c>
      <c r="P1011" s="21" t="s">
        <v>22</v>
      </c>
    </row>
    <row r="1012" spans="1:33" ht="28.9">
      <c r="A1012" s="15" t="s">
        <v>7924</v>
      </c>
      <c r="B1012" s="398"/>
      <c r="C1012" s="2" t="str">
        <f t="shared" si="7"/>
        <v>AC 0985</v>
      </c>
      <c r="D1012" s="2" t="s">
        <v>7925</v>
      </c>
      <c r="E1012" s="2" t="s">
        <v>2743</v>
      </c>
      <c r="F1012" s="2" t="s">
        <v>2732</v>
      </c>
      <c r="G1012" s="2" t="s">
        <v>7926</v>
      </c>
      <c r="H1012" s="2" t="s">
        <v>7916</v>
      </c>
      <c r="I1012" s="2" t="s">
        <v>2630</v>
      </c>
      <c r="J1012" s="2" t="s">
        <v>2745</v>
      </c>
      <c r="K1012" s="2" t="s">
        <v>2630</v>
      </c>
      <c r="L1012" s="6" t="s">
        <v>1367</v>
      </c>
      <c r="M1012" s="21" t="s">
        <v>1368</v>
      </c>
      <c r="P1012" s="21" t="s">
        <v>1371</v>
      </c>
    </row>
    <row r="1013" spans="1:33" ht="43.15">
      <c r="A1013" s="15" t="s">
        <v>7927</v>
      </c>
      <c r="B1013" s="398"/>
      <c r="C1013" s="2" t="str">
        <f t="shared" si="7"/>
        <v>AC 0986</v>
      </c>
      <c r="D1013" s="2" t="s">
        <v>7928</v>
      </c>
      <c r="E1013" s="2" t="s">
        <v>2748</v>
      </c>
      <c r="F1013" s="2" t="s">
        <v>4061</v>
      </c>
      <c r="G1013" s="2" t="s">
        <v>7929</v>
      </c>
      <c r="H1013" s="2" t="s">
        <v>7883</v>
      </c>
      <c r="I1013" s="2" t="s">
        <v>7930</v>
      </c>
      <c r="J1013" s="2" t="s">
        <v>2752</v>
      </c>
      <c r="K1013" s="2" t="s">
        <v>7931</v>
      </c>
      <c r="L1013" s="6" t="s">
        <v>1367</v>
      </c>
      <c r="M1013" s="21" t="s">
        <v>1368</v>
      </c>
      <c r="P1013" s="21" t="s">
        <v>22</v>
      </c>
    </row>
    <row r="1014" spans="1:33" ht="43.15">
      <c r="A1014" s="15" t="s">
        <v>7932</v>
      </c>
      <c r="B1014" s="398"/>
      <c r="C1014" s="2" t="str">
        <f t="shared" si="7"/>
        <v>AC 0987</v>
      </c>
      <c r="D1014" s="2" t="s">
        <v>7933</v>
      </c>
      <c r="E1014" s="2" t="s">
        <v>2756</v>
      </c>
      <c r="F1014" s="2" t="s">
        <v>7934</v>
      </c>
      <c r="G1014" s="2" t="s">
        <v>2758</v>
      </c>
      <c r="H1014" s="2" t="s">
        <v>7916</v>
      </c>
      <c r="I1014" s="2" t="s">
        <v>2759</v>
      </c>
      <c r="J1014" s="2" t="s">
        <v>2760</v>
      </c>
      <c r="K1014" s="2" t="s">
        <v>2761</v>
      </c>
      <c r="L1014" s="6" t="s">
        <v>1367</v>
      </c>
      <c r="M1014" s="21" t="s">
        <v>1368</v>
      </c>
      <c r="P1014" s="21" t="s">
        <v>22</v>
      </c>
      <c r="AG1014" s="78"/>
    </row>
    <row r="1015" spans="1:33" s="45" customFormat="1">
      <c r="A1015" s="84"/>
      <c r="B1015" s="398"/>
      <c r="C1015" s="44"/>
      <c r="D1015" s="44"/>
      <c r="E1015" s="44"/>
      <c r="F1015" s="44"/>
      <c r="G1015" s="44"/>
      <c r="H1015" s="44"/>
      <c r="I1015" s="44"/>
      <c r="J1015" s="44"/>
      <c r="K1015" s="44"/>
      <c r="L1015" s="81"/>
      <c r="M1015" s="78"/>
      <c r="P1015" s="78"/>
      <c r="Q1015" s="78"/>
      <c r="R1015" s="303"/>
      <c r="W1015" s="81"/>
      <c r="X1015" s="81"/>
      <c r="AG1015" s="21"/>
    </row>
    <row r="1016" spans="1:33" ht="43.15">
      <c r="A1016" s="15" t="s">
        <v>7935</v>
      </c>
      <c r="B1016" s="398"/>
      <c r="C1016" s="2" t="str">
        <f>"AC 0" &amp; ROW()-27</f>
        <v>AC 0989</v>
      </c>
      <c r="D1016" s="2" t="s">
        <v>7936</v>
      </c>
      <c r="E1016" s="2" t="s">
        <v>7937</v>
      </c>
      <c r="F1016" s="2" t="s">
        <v>7519</v>
      </c>
      <c r="G1016" s="2" t="s">
        <v>7520</v>
      </c>
      <c r="H1016" s="2" t="s">
        <v>1442</v>
      </c>
      <c r="I1016" s="2" t="s">
        <v>7938</v>
      </c>
      <c r="J1016" s="2" t="s">
        <v>7939</v>
      </c>
      <c r="K1016" s="2" t="s">
        <v>7938</v>
      </c>
      <c r="L1016" s="6" t="s">
        <v>1367</v>
      </c>
      <c r="M1016" s="21" t="s">
        <v>1368</v>
      </c>
      <c r="P1016" s="21" t="s">
        <v>1371</v>
      </c>
      <c r="W1016" s="133"/>
      <c r="X1016" s="133"/>
    </row>
    <row r="1017" spans="1:33" ht="43.15">
      <c r="A1017" s="15" t="s">
        <v>7940</v>
      </c>
      <c r="B1017" s="398"/>
      <c r="C1017" s="2" t="str">
        <f>"AC 0" &amp; ROW()-27</f>
        <v>AC 0990</v>
      </c>
      <c r="D1017" s="2" t="s">
        <v>7941</v>
      </c>
      <c r="E1017" s="2" t="s">
        <v>7942</v>
      </c>
      <c r="F1017" s="2" t="s">
        <v>3094</v>
      </c>
      <c r="G1017" s="2" t="s">
        <v>7943</v>
      </c>
      <c r="H1017" s="2" t="s">
        <v>1442</v>
      </c>
      <c r="I1017" s="2" t="s">
        <v>7944</v>
      </c>
      <c r="J1017" s="2" t="s">
        <v>7945</v>
      </c>
      <c r="K1017" s="2" t="s">
        <v>7823</v>
      </c>
      <c r="L1017" s="6" t="s">
        <v>1367</v>
      </c>
      <c r="M1017" s="21" t="s">
        <v>1368</v>
      </c>
      <c r="P1017" s="21" t="s">
        <v>22</v>
      </c>
    </row>
    <row r="1018" spans="1:33" ht="28.9">
      <c r="A1018" s="15" t="s">
        <v>7946</v>
      </c>
      <c r="B1018" s="398"/>
      <c r="C1018" s="2" t="str">
        <f t="shared" si="7"/>
        <v>AC 0991</v>
      </c>
      <c r="D1018" s="2" t="s">
        <v>7947</v>
      </c>
      <c r="E1018" s="2" t="s">
        <v>7826</v>
      </c>
      <c r="F1018" s="2" t="s">
        <v>7948</v>
      </c>
      <c r="G1018" s="2" t="s">
        <v>7949</v>
      </c>
      <c r="H1018" s="2" t="s">
        <v>1442</v>
      </c>
      <c r="I1018" s="2" t="s">
        <v>7829</v>
      </c>
      <c r="J1018" s="2" t="s">
        <v>7530</v>
      </c>
      <c r="K1018" s="2" t="s">
        <v>5504</v>
      </c>
      <c r="L1018" s="6" t="s">
        <v>1367</v>
      </c>
      <c r="M1018" s="21" t="s">
        <v>1368</v>
      </c>
      <c r="P1018" s="21" t="s">
        <v>22</v>
      </c>
    </row>
    <row r="1019" spans="1:33" ht="57.6">
      <c r="A1019" s="15" t="s">
        <v>7950</v>
      </c>
      <c r="B1019" s="398"/>
      <c r="C1019" s="2" t="str">
        <f t="shared" si="7"/>
        <v>AC 0992</v>
      </c>
      <c r="D1019" s="2" t="s">
        <v>7951</v>
      </c>
      <c r="E1019" s="2" t="s">
        <v>7832</v>
      </c>
      <c r="F1019" s="2" t="s">
        <v>7952</v>
      </c>
      <c r="G1019" s="2" t="s">
        <v>7833</v>
      </c>
      <c r="H1019" s="2" t="s">
        <v>1442</v>
      </c>
      <c r="I1019" s="2" t="s">
        <v>7953</v>
      </c>
      <c r="J1019" s="2" t="s">
        <v>2564</v>
      </c>
      <c r="K1019" s="2" t="s">
        <v>7538</v>
      </c>
      <c r="L1019" s="6" t="s">
        <v>1367</v>
      </c>
      <c r="M1019" s="21" t="s">
        <v>1368</v>
      </c>
      <c r="P1019" s="21" t="s">
        <v>22</v>
      </c>
    </row>
    <row r="1020" spans="1:33" ht="28.9">
      <c r="A1020" s="15" t="s">
        <v>7954</v>
      </c>
      <c r="B1020" s="398"/>
      <c r="C1020" s="2" t="str">
        <f t="shared" si="7"/>
        <v>AC 0993</v>
      </c>
      <c r="D1020" s="2" t="s">
        <v>7836</v>
      </c>
      <c r="E1020" s="2" t="s">
        <v>7955</v>
      </c>
      <c r="F1020" s="2" t="s">
        <v>7956</v>
      </c>
      <c r="G1020" s="2" t="s">
        <v>7839</v>
      </c>
      <c r="H1020" s="2" t="s">
        <v>2713</v>
      </c>
      <c r="I1020" s="2" t="s">
        <v>7840</v>
      </c>
      <c r="J1020" s="2" t="s">
        <v>7841</v>
      </c>
      <c r="K1020" s="2" t="s">
        <v>7546</v>
      </c>
      <c r="L1020" s="6" t="s">
        <v>1367</v>
      </c>
      <c r="M1020" s="21" t="s">
        <v>1368</v>
      </c>
      <c r="P1020" s="21" t="s">
        <v>1371</v>
      </c>
    </row>
    <row r="1021" spans="1:33" ht="28.9">
      <c r="A1021" s="15" t="s">
        <v>7957</v>
      </c>
      <c r="B1021" s="398"/>
      <c r="C1021" s="2" t="str">
        <f t="shared" si="7"/>
        <v>AC 0994</v>
      </c>
      <c r="D1021" s="2" t="s">
        <v>7843</v>
      </c>
      <c r="E1021" s="2" t="s">
        <v>7958</v>
      </c>
      <c r="F1021" s="2" t="s">
        <v>7952</v>
      </c>
      <c r="G1021" s="2" t="s">
        <v>7845</v>
      </c>
      <c r="H1021" s="2" t="s">
        <v>1442</v>
      </c>
      <c r="I1021" s="2" t="s">
        <v>7846</v>
      </c>
      <c r="J1021" s="2" t="s">
        <v>7847</v>
      </c>
      <c r="K1021" s="2" t="s">
        <v>7552</v>
      </c>
      <c r="L1021" s="6" t="s">
        <v>1367</v>
      </c>
      <c r="M1021" s="21" t="s">
        <v>1368</v>
      </c>
      <c r="P1021" s="21" t="s">
        <v>1371</v>
      </c>
    </row>
    <row r="1022" spans="1:33" ht="28.9">
      <c r="A1022" s="15" t="s">
        <v>7959</v>
      </c>
      <c r="B1022" s="398"/>
      <c r="C1022" s="2" t="str">
        <f t="shared" si="7"/>
        <v>AC 0995</v>
      </c>
      <c r="D1022" s="2" t="s">
        <v>7960</v>
      </c>
      <c r="E1022" s="2" t="s">
        <v>7850</v>
      </c>
      <c r="F1022" s="2" t="s">
        <v>7956</v>
      </c>
      <c r="G1022" s="2" t="s">
        <v>7961</v>
      </c>
      <c r="H1022" s="2" t="s">
        <v>2713</v>
      </c>
      <c r="I1022" s="2" t="s">
        <v>7962</v>
      </c>
      <c r="J1022" s="2" t="s">
        <v>2580</v>
      </c>
      <c r="K1022" s="2" t="s">
        <v>7558</v>
      </c>
      <c r="L1022" s="6" t="s">
        <v>1367</v>
      </c>
      <c r="M1022" s="21" t="s">
        <v>1368</v>
      </c>
      <c r="P1022" s="21" t="s">
        <v>22</v>
      </c>
    </row>
    <row r="1023" spans="1:33" ht="28.9">
      <c r="A1023" s="15" t="s">
        <v>7963</v>
      </c>
      <c r="B1023" s="398"/>
      <c r="C1023" s="2" t="str">
        <f t="shared" si="7"/>
        <v>AC 0996</v>
      </c>
      <c r="D1023" s="2" t="s">
        <v>7964</v>
      </c>
      <c r="E1023" s="2" t="s">
        <v>7855</v>
      </c>
      <c r="F1023" s="2" t="s">
        <v>7965</v>
      </c>
      <c r="G1023" s="2" t="s">
        <v>7966</v>
      </c>
      <c r="H1023" s="2" t="s">
        <v>1442</v>
      </c>
      <c r="I1023" s="2" t="s">
        <v>2785</v>
      </c>
      <c r="J1023" s="2" t="s">
        <v>7565</v>
      </c>
      <c r="K1023" s="2" t="s">
        <v>7566</v>
      </c>
      <c r="L1023" s="6" t="s">
        <v>1367</v>
      </c>
      <c r="M1023" s="21" t="s">
        <v>1368</v>
      </c>
      <c r="P1023" s="21" t="s">
        <v>1481</v>
      </c>
    </row>
    <row r="1024" spans="1:33" ht="28.9">
      <c r="A1024" s="15" t="s">
        <v>7967</v>
      </c>
      <c r="B1024" s="398"/>
      <c r="C1024" s="2" t="str">
        <f t="shared" si="7"/>
        <v>AC 0997</v>
      </c>
      <c r="D1024" s="2" t="s">
        <v>7968</v>
      </c>
      <c r="E1024" s="2" t="s">
        <v>2584</v>
      </c>
      <c r="F1024" s="2" t="s">
        <v>7952</v>
      </c>
      <c r="G1024" s="2" t="s">
        <v>2586</v>
      </c>
      <c r="H1024" s="2" t="s">
        <v>1442</v>
      </c>
      <c r="I1024" s="2" t="s">
        <v>7969</v>
      </c>
      <c r="J1024" s="2" t="s">
        <v>2588</v>
      </c>
      <c r="K1024" s="2" t="s">
        <v>2589</v>
      </c>
      <c r="L1024" s="6" t="s">
        <v>1367</v>
      </c>
      <c r="M1024" s="21" t="s">
        <v>1368</v>
      </c>
      <c r="P1024" s="21" t="s">
        <v>22</v>
      </c>
    </row>
    <row r="1025" spans="1:33" ht="28.9">
      <c r="A1025" s="15" t="s">
        <v>7970</v>
      </c>
      <c r="B1025" s="398"/>
      <c r="C1025" s="2" t="str">
        <f t="shared" si="7"/>
        <v>AC 0998</v>
      </c>
      <c r="D1025" s="2" t="s">
        <v>2591</v>
      </c>
      <c r="E1025" s="2" t="s">
        <v>2592</v>
      </c>
      <c r="F1025" s="2" t="s">
        <v>2593</v>
      </c>
      <c r="G1025" s="2" t="s">
        <v>7971</v>
      </c>
      <c r="H1025" s="2" t="s">
        <v>2595</v>
      </c>
      <c r="I1025" s="2" t="s">
        <v>2596</v>
      </c>
      <c r="J1025" s="2" t="s">
        <v>2597</v>
      </c>
      <c r="K1025" s="2" t="s">
        <v>2598</v>
      </c>
      <c r="L1025" s="6" t="s">
        <v>1367</v>
      </c>
      <c r="M1025" s="21" t="s">
        <v>1368</v>
      </c>
      <c r="P1025" s="21" t="s">
        <v>22</v>
      </c>
    </row>
    <row r="1026" spans="1:33" ht="28.9">
      <c r="A1026" s="15" t="s">
        <v>7972</v>
      </c>
      <c r="B1026" s="398"/>
      <c r="C1026" s="2" t="str">
        <f t="shared" si="7"/>
        <v>AC 0999</v>
      </c>
      <c r="D1026" s="2" t="s">
        <v>7973</v>
      </c>
      <c r="E1026" s="2" t="s">
        <v>7974</v>
      </c>
      <c r="F1026" s="2" t="s">
        <v>2593</v>
      </c>
      <c r="G1026" s="2" t="s">
        <v>7975</v>
      </c>
      <c r="H1026" s="2" t="s">
        <v>7976</v>
      </c>
      <c r="I1026" s="2" t="s">
        <v>7977</v>
      </c>
      <c r="J1026" s="2" t="s">
        <v>2614</v>
      </c>
      <c r="K1026" s="2" t="s">
        <v>2615</v>
      </c>
      <c r="L1026" s="6" t="s">
        <v>1367</v>
      </c>
      <c r="M1026" s="21" t="s">
        <v>1368</v>
      </c>
      <c r="P1026" s="21" t="s">
        <v>1393</v>
      </c>
    </row>
    <row r="1027" spans="1:33" ht="28.9">
      <c r="A1027" s="15" t="s">
        <v>7978</v>
      </c>
      <c r="B1027" s="398"/>
      <c r="C1027" s="2" t="str">
        <f t="shared" si="7"/>
        <v>AC 01000</v>
      </c>
      <c r="D1027" s="2" t="s">
        <v>7979</v>
      </c>
      <c r="E1027" s="2" t="s">
        <v>2618</v>
      </c>
      <c r="F1027" s="2" t="s">
        <v>7977</v>
      </c>
      <c r="G1027" s="2" t="s">
        <v>7980</v>
      </c>
      <c r="H1027" s="2" t="s">
        <v>2620</v>
      </c>
      <c r="I1027" s="2" t="s">
        <v>7981</v>
      </c>
      <c r="J1027" s="2" t="s">
        <v>2622</v>
      </c>
      <c r="K1027" s="2" t="s">
        <v>2623</v>
      </c>
      <c r="L1027" s="6" t="s">
        <v>1367</v>
      </c>
      <c r="M1027" s="21" t="s">
        <v>1368</v>
      </c>
      <c r="P1027" s="21" t="s">
        <v>22</v>
      </c>
    </row>
    <row r="1028" spans="1:33" ht="28.9">
      <c r="A1028" s="15" t="s">
        <v>7982</v>
      </c>
      <c r="B1028" s="398"/>
      <c r="C1028" s="2" t="str">
        <f t="shared" si="7"/>
        <v>AC 01001</v>
      </c>
      <c r="D1028" s="2" t="s">
        <v>7983</v>
      </c>
      <c r="E1028" s="2" t="s">
        <v>2626</v>
      </c>
      <c r="F1028" s="2" t="s">
        <v>2627</v>
      </c>
      <c r="G1028" s="2" t="s">
        <v>7984</v>
      </c>
      <c r="H1028" s="2" t="s">
        <v>7985</v>
      </c>
      <c r="I1028" s="2" t="s">
        <v>2630</v>
      </c>
      <c r="J1028" s="2" t="s">
        <v>2631</v>
      </c>
      <c r="K1028" s="2" t="s">
        <v>2630</v>
      </c>
      <c r="L1028" s="6" t="s">
        <v>1367</v>
      </c>
      <c r="M1028" s="21" t="s">
        <v>1368</v>
      </c>
      <c r="P1028" s="21" t="s">
        <v>1371</v>
      </c>
    </row>
    <row r="1029" spans="1:33" ht="57.6">
      <c r="A1029" s="15" t="s">
        <v>7986</v>
      </c>
      <c r="B1029" s="398"/>
      <c r="C1029" s="2" t="str">
        <f t="shared" si="7"/>
        <v>AC 01002</v>
      </c>
      <c r="D1029" s="2" t="s">
        <v>7987</v>
      </c>
      <c r="E1029" s="2" t="s">
        <v>2634</v>
      </c>
      <c r="F1029" s="2" t="s">
        <v>7988</v>
      </c>
      <c r="G1029" s="2" t="s">
        <v>7989</v>
      </c>
      <c r="H1029" s="2" t="s">
        <v>7990</v>
      </c>
      <c r="I1029" s="2" t="s">
        <v>2638</v>
      </c>
      <c r="J1029" s="2" t="s">
        <v>2639</v>
      </c>
      <c r="K1029" s="2" t="s">
        <v>7991</v>
      </c>
      <c r="L1029" s="6" t="s">
        <v>1381</v>
      </c>
      <c r="M1029" s="21" t="s">
        <v>1368</v>
      </c>
      <c r="P1029" s="21" t="s">
        <v>1371</v>
      </c>
    </row>
    <row r="1030" spans="1:33" ht="43.15">
      <c r="A1030" s="15" t="s">
        <v>7992</v>
      </c>
      <c r="B1030" s="398"/>
      <c r="C1030" s="2" t="str">
        <f t="shared" si="7"/>
        <v>AC 01003</v>
      </c>
      <c r="D1030" s="2" t="s">
        <v>7993</v>
      </c>
      <c r="E1030" s="2" t="s">
        <v>7994</v>
      </c>
      <c r="F1030" s="2" t="s">
        <v>7995</v>
      </c>
      <c r="G1030" s="2" t="s">
        <v>7996</v>
      </c>
      <c r="H1030" s="2" t="s">
        <v>7997</v>
      </c>
      <c r="I1030" s="2" t="s">
        <v>7998</v>
      </c>
      <c r="J1030" s="2" t="s">
        <v>2648</v>
      </c>
      <c r="K1030" s="2" t="s">
        <v>7999</v>
      </c>
      <c r="L1030" s="6" t="s">
        <v>1367</v>
      </c>
      <c r="M1030" s="21" t="s">
        <v>1368</v>
      </c>
      <c r="P1030" s="21" t="s">
        <v>22</v>
      </c>
    </row>
    <row r="1031" spans="1:33" ht="43.15">
      <c r="A1031" s="15" t="s">
        <v>8000</v>
      </c>
      <c r="B1031" s="398"/>
      <c r="C1031" s="2" t="str">
        <f t="shared" si="7"/>
        <v>AC 01004</v>
      </c>
      <c r="D1031" s="2" t="s">
        <v>8001</v>
      </c>
      <c r="E1031" s="2" t="s">
        <v>2652</v>
      </c>
      <c r="F1031" s="2" t="s">
        <v>8002</v>
      </c>
      <c r="G1031" s="2" t="s">
        <v>8003</v>
      </c>
      <c r="H1031" s="2" t="s">
        <v>8004</v>
      </c>
      <c r="I1031" s="2" t="s">
        <v>8005</v>
      </c>
      <c r="J1031" s="2" t="s">
        <v>2657</v>
      </c>
      <c r="K1031" s="2" t="s">
        <v>8006</v>
      </c>
      <c r="L1031" s="6" t="s">
        <v>1367</v>
      </c>
      <c r="M1031" s="21" t="s">
        <v>1368</v>
      </c>
      <c r="P1031" s="21" t="s">
        <v>22</v>
      </c>
      <c r="AG1031" s="78"/>
    </row>
    <row r="1032" spans="1:33" s="45" customFormat="1">
      <c r="A1032" s="84"/>
      <c r="B1032" s="398"/>
      <c r="C1032" s="44"/>
      <c r="D1032" s="44"/>
      <c r="E1032" s="44"/>
      <c r="F1032" s="44"/>
      <c r="G1032" s="44"/>
      <c r="H1032" s="44"/>
      <c r="I1032" s="44"/>
      <c r="J1032" s="44"/>
      <c r="K1032" s="44"/>
      <c r="L1032" s="81"/>
      <c r="M1032" s="78"/>
      <c r="P1032" s="78"/>
      <c r="Q1032" s="78"/>
      <c r="R1032" s="303"/>
      <c r="W1032" s="81"/>
      <c r="X1032" s="81"/>
      <c r="AG1032" s="21"/>
    </row>
    <row r="1033" spans="1:33" ht="28.9">
      <c r="A1033" s="15" t="s">
        <v>8007</v>
      </c>
      <c r="B1033" s="398"/>
      <c r="C1033" s="2" t="str">
        <f t="shared" si="7"/>
        <v>AC 01006</v>
      </c>
      <c r="D1033" s="2" t="s">
        <v>2669</v>
      </c>
      <c r="E1033" s="2" t="s">
        <v>2670</v>
      </c>
      <c r="F1033" s="2" t="s">
        <v>7995</v>
      </c>
      <c r="G1033" s="2" t="s">
        <v>2671</v>
      </c>
      <c r="H1033" s="2" t="s">
        <v>2672</v>
      </c>
      <c r="I1033" s="2" t="s">
        <v>2673</v>
      </c>
      <c r="J1033" s="2" t="s">
        <v>2674</v>
      </c>
      <c r="K1033" s="2" t="s">
        <v>2675</v>
      </c>
      <c r="L1033" s="6" t="s">
        <v>1367</v>
      </c>
      <c r="M1033" s="21" t="s">
        <v>1368</v>
      </c>
      <c r="P1033" s="21" t="s">
        <v>22</v>
      </c>
    </row>
    <row r="1034" spans="1:33" ht="57.6">
      <c r="A1034" s="15" t="s">
        <v>8008</v>
      </c>
      <c r="B1034" s="398"/>
      <c r="C1034" s="2" t="str">
        <f t="shared" si="7"/>
        <v>AC 01007</v>
      </c>
      <c r="D1034" s="2" t="s">
        <v>8009</v>
      </c>
      <c r="E1034" s="2" t="s">
        <v>2634</v>
      </c>
      <c r="F1034" s="2" t="s">
        <v>8010</v>
      </c>
      <c r="G1034" s="2" t="s">
        <v>8011</v>
      </c>
      <c r="H1034" s="2" t="s">
        <v>7990</v>
      </c>
      <c r="I1034" s="2" t="s">
        <v>2638</v>
      </c>
      <c r="J1034" s="2" t="s">
        <v>2639</v>
      </c>
      <c r="K1034" s="2" t="s">
        <v>7991</v>
      </c>
      <c r="L1034" s="6" t="s">
        <v>1381</v>
      </c>
      <c r="M1034" s="21" t="s">
        <v>1368</v>
      </c>
      <c r="P1034" s="21" t="s">
        <v>1371</v>
      </c>
    </row>
    <row r="1035" spans="1:33" ht="28.9">
      <c r="A1035" s="15" t="s">
        <v>8012</v>
      </c>
      <c r="B1035" s="398"/>
      <c r="C1035" s="2" t="str">
        <f t="shared" si="7"/>
        <v>AC 01008</v>
      </c>
      <c r="D1035" s="2" t="s">
        <v>8013</v>
      </c>
      <c r="E1035" s="2" t="s">
        <v>2678</v>
      </c>
      <c r="F1035" s="2" t="s">
        <v>2679</v>
      </c>
      <c r="G1035" s="2" t="s">
        <v>8014</v>
      </c>
      <c r="H1035" s="2" t="s">
        <v>2681</v>
      </c>
      <c r="I1035" s="2" t="s">
        <v>2682</v>
      </c>
      <c r="J1035" s="2" t="s">
        <v>2683</v>
      </c>
      <c r="K1035" s="2" t="s">
        <v>2684</v>
      </c>
      <c r="L1035" s="6" t="s">
        <v>1367</v>
      </c>
      <c r="M1035" s="21" t="s">
        <v>1368</v>
      </c>
      <c r="P1035" s="21" t="s">
        <v>1393</v>
      </c>
    </row>
    <row r="1036" spans="1:33" ht="28.9">
      <c r="A1036" s="15" t="s">
        <v>8015</v>
      </c>
      <c r="B1036" s="398"/>
      <c r="C1036" s="2" t="str">
        <f t="shared" si="7"/>
        <v>AC 01009</v>
      </c>
      <c r="D1036" s="2" t="s">
        <v>8016</v>
      </c>
      <c r="E1036" s="2" t="s">
        <v>2687</v>
      </c>
      <c r="F1036" s="2" t="s">
        <v>2684</v>
      </c>
      <c r="G1036" s="2" t="s">
        <v>8017</v>
      </c>
      <c r="H1036" s="2" t="s">
        <v>8018</v>
      </c>
      <c r="I1036" s="2" t="s">
        <v>2690</v>
      </c>
      <c r="J1036" s="2" t="s">
        <v>2691</v>
      </c>
      <c r="K1036" s="2" t="s">
        <v>2692</v>
      </c>
      <c r="L1036" s="6" t="s">
        <v>1367</v>
      </c>
      <c r="M1036" s="21" t="s">
        <v>1368</v>
      </c>
      <c r="P1036" s="21" t="s">
        <v>22</v>
      </c>
    </row>
    <row r="1037" spans="1:33" ht="43.15">
      <c r="A1037" s="15" t="s">
        <v>8019</v>
      </c>
      <c r="B1037" s="398"/>
      <c r="C1037" s="2" t="str">
        <f t="shared" si="7"/>
        <v>AC 01010</v>
      </c>
      <c r="D1037" s="2" t="s">
        <v>8020</v>
      </c>
      <c r="E1037" s="2" t="s">
        <v>2695</v>
      </c>
      <c r="F1037" s="2" t="s">
        <v>2696</v>
      </c>
      <c r="G1037" s="2" t="s">
        <v>8021</v>
      </c>
      <c r="H1037" s="2" t="s">
        <v>2698</v>
      </c>
      <c r="I1037" s="2" t="s">
        <v>2630</v>
      </c>
      <c r="J1037" s="2" t="s">
        <v>2699</v>
      </c>
      <c r="K1037" s="2" t="s">
        <v>2630</v>
      </c>
      <c r="L1037" s="6" t="s">
        <v>1367</v>
      </c>
      <c r="M1037" s="21" t="s">
        <v>1368</v>
      </c>
      <c r="P1037" s="21" t="s">
        <v>1371</v>
      </c>
    </row>
    <row r="1038" spans="1:33" ht="86.45">
      <c r="A1038" s="15" t="s">
        <v>8022</v>
      </c>
      <c r="B1038" s="398"/>
      <c r="C1038" s="2" t="str">
        <f t="shared" si="7"/>
        <v>AC 01011</v>
      </c>
      <c r="D1038" s="2" t="s">
        <v>2701</v>
      </c>
      <c r="E1038" s="2" t="s">
        <v>8023</v>
      </c>
      <c r="F1038" s="2" t="s">
        <v>7995</v>
      </c>
      <c r="G1038" s="2" t="s">
        <v>8024</v>
      </c>
      <c r="H1038" s="2" t="s">
        <v>2704</v>
      </c>
      <c r="I1038" s="2" t="s">
        <v>2705</v>
      </c>
      <c r="J1038" s="2" t="s">
        <v>8025</v>
      </c>
      <c r="K1038" s="2" t="s">
        <v>8026</v>
      </c>
      <c r="L1038" s="6" t="s">
        <v>1381</v>
      </c>
      <c r="M1038" s="21" t="s">
        <v>1368</v>
      </c>
      <c r="P1038" s="21" t="s">
        <v>22</v>
      </c>
      <c r="AG1038" s="78"/>
    </row>
    <row r="1039" spans="1:33" s="45" customFormat="1">
      <c r="A1039" s="84"/>
      <c r="B1039" s="398"/>
      <c r="C1039" s="44"/>
      <c r="D1039" s="44"/>
      <c r="E1039" s="44"/>
      <c r="F1039" s="44"/>
      <c r="G1039" s="44"/>
      <c r="H1039" s="44"/>
      <c r="I1039" s="44"/>
      <c r="J1039" s="44"/>
      <c r="K1039" s="44"/>
      <c r="L1039" s="81"/>
      <c r="M1039" s="78"/>
      <c r="P1039" s="78"/>
      <c r="Q1039" s="78"/>
      <c r="R1039" s="303"/>
      <c r="W1039" s="81"/>
      <c r="X1039" s="81"/>
      <c r="AG1039" s="21"/>
    </row>
    <row r="1040" spans="1:33" ht="28.9">
      <c r="A1040" s="15" t="s">
        <v>8027</v>
      </c>
      <c r="B1040" s="398"/>
      <c r="C1040" s="2" t="str">
        <f t="shared" si="7"/>
        <v>AC 01013</v>
      </c>
      <c r="D1040" s="2" t="s">
        <v>8028</v>
      </c>
      <c r="E1040" s="2" t="s">
        <v>2710</v>
      </c>
      <c r="F1040" s="2" t="s">
        <v>7956</v>
      </c>
      <c r="G1040" s="2" t="s">
        <v>2712</v>
      </c>
      <c r="H1040" s="2" t="s">
        <v>2713</v>
      </c>
      <c r="I1040" s="2" t="s">
        <v>2714</v>
      </c>
      <c r="J1040" s="2" t="s">
        <v>2715</v>
      </c>
      <c r="K1040" s="2" t="s">
        <v>2716</v>
      </c>
      <c r="L1040" s="6" t="s">
        <v>1367</v>
      </c>
      <c r="M1040" s="21" t="s">
        <v>1368</v>
      </c>
      <c r="P1040" s="21" t="s">
        <v>1371</v>
      </c>
    </row>
    <row r="1041" spans="1:33" ht="28.9">
      <c r="A1041" s="15" t="s">
        <v>8029</v>
      </c>
      <c r="B1041" s="398"/>
      <c r="C1041" s="2" t="str">
        <f t="shared" si="7"/>
        <v>AC 01014</v>
      </c>
      <c r="D1041" s="2" t="s">
        <v>2718</v>
      </c>
      <c r="E1041" s="2" t="s">
        <v>2719</v>
      </c>
      <c r="F1041" s="2" t="s">
        <v>2720</v>
      </c>
      <c r="G1041" s="2" t="s">
        <v>8030</v>
      </c>
      <c r="H1041" s="2" t="s">
        <v>8031</v>
      </c>
      <c r="I1041" s="2" t="s">
        <v>2723</v>
      </c>
      <c r="J1041" s="2" t="s">
        <v>2724</v>
      </c>
      <c r="K1041" s="2" t="s">
        <v>2723</v>
      </c>
      <c r="L1041" s="6" t="s">
        <v>1367</v>
      </c>
      <c r="M1041" s="21" t="s">
        <v>1368</v>
      </c>
      <c r="P1041" s="21" t="s">
        <v>22</v>
      </c>
    </row>
    <row r="1042" spans="1:33" ht="28.9">
      <c r="A1042" s="15" t="s">
        <v>8032</v>
      </c>
      <c r="B1042" s="398"/>
      <c r="C1042" s="2" t="str">
        <f t="shared" si="7"/>
        <v>AC 01015</v>
      </c>
      <c r="D1042" s="2" t="s">
        <v>8033</v>
      </c>
      <c r="E1042" s="2" t="s">
        <v>2727</v>
      </c>
      <c r="F1042" s="2" t="s">
        <v>2728</v>
      </c>
      <c r="G1042" s="2" t="s">
        <v>2729</v>
      </c>
      <c r="H1042" s="2" t="s">
        <v>8031</v>
      </c>
      <c r="I1042" s="2" t="s">
        <v>8034</v>
      </c>
      <c r="J1042" s="2" t="s">
        <v>2731</v>
      </c>
      <c r="K1042" s="2" t="s">
        <v>2732</v>
      </c>
      <c r="L1042" s="6" t="s">
        <v>1367</v>
      </c>
      <c r="M1042" s="21" t="s">
        <v>1368</v>
      </c>
      <c r="P1042" s="21" t="s">
        <v>1393</v>
      </c>
    </row>
    <row r="1043" spans="1:33" ht="28.9">
      <c r="A1043" s="15" t="s">
        <v>8035</v>
      </c>
      <c r="B1043" s="398"/>
      <c r="C1043" s="2" t="str">
        <f t="shared" si="7"/>
        <v>AC 01016</v>
      </c>
      <c r="D1043" s="2" t="s">
        <v>8036</v>
      </c>
      <c r="E1043" s="2" t="s">
        <v>2735</v>
      </c>
      <c r="F1043" s="2" t="s">
        <v>2732</v>
      </c>
      <c r="G1043" s="2" t="s">
        <v>8037</v>
      </c>
      <c r="H1043" s="2" t="s">
        <v>8038</v>
      </c>
      <c r="I1043" s="2" t="s">
        <v>2738</v>
      </c>
      <c r="J1043" s="2" t="s">
        <v>2739</v>
      </c>
      <c r="K1043" s="2" t="s">
        <v>2740</v>
      </c>
      <c r="L1043" s="6" t="s">
        <v>1367</v>
      </c>
      <c r="M1043" s="21" t="s">
        <v>1368</v>
      </c>
      <c r="P1043" s="21" t="s">
        <v>22</v>
      </c>
    </row>
    <row r="1044" spans="1:33" ht="28.9">
      <c r="A1044" s="15" t="s">
        <v>8039</v>
      </c>
      <c r="B1044" s="398"/>
      <c r="C1044" s="2" t="str">
        <f t="shared" si="7"/>
        <v>AC 01017</v>
      </c>
      <c r="D1044" s="2" t="s">
        <v>8040</v>
      </c>
      <c r="E1044" s="2" t="s">
        <v>2743</v>
      </c>
      <c r="F1044" s="2" t="s">
        <v>2732</v>
      </c>
      <c r="G1044" s="2" t="s">
        <v>8041</v>
      </c>
      <c r="H1044" s="2" t="s">
        <v>8031</v>
      </c>
      <c r="I1044" s="2" t="s">
        <v>2630</v>
      </c>
      <c r="J1044" s="2" t="s">
        <v>2745</v>
      </c>
      <c r="K1044" s="2" t="s">
        <v>2630</v>
      </c>
      <c r="L1044" s="6" t="s">
        <v>1367</v>
      </c>
      <c r="M1044" s="21" t="s">
        <v>1368</v>
      </c>
      <c r="P1044" s="21" t="s">
        <v>1371</v>
      </c>
    </row>
    <row r="1045" spans="1:33" ht="43.15">
      <c r="A1045" s="15" t="s">
        <v>8042</v>
      </c>
      <c r="B1045" s="398"/>
      <c r="C1045" s="2" t="str">
        <f t="shared" si="7"/>
        <v>AC 01018</v>
      </c>
      <c r="D1045" s="2" t="s">
        <v>8043</v>
      </c>
      <c r="E1045" s="2" t="s">
        <v>2748</v>
      </c>
      <c r="F1045" s="2" t="s">
        <v>7995</v>
      </c>
      <c r="G1045" s="2" t="s">
        <v>8044</v>
      </c>
      <c r="H1045" s="2" t="s">
        <v>7997</v>
      </c>
      <c r="I1045" s="2" t="s">
        <v>8045</v>
      </c>
      <c r="J1045" s="2" t="s">
        <v>2752</v>
      </c>
      <c r="K1045" s="2" t="s">
        <v>8046</v>
      </c>
      <c r="L1045" s="6" t="s">
        <v>1367</v>
      </c>
      <c r="M1045" s="21" t="s">
        <v>1368</v>
      </c>
      <c r="P1045" s="21" t="s">
        <v>22</v>
      </c>
    </row>
    <row r="1046" spans="1:33" ht="43.15">
      <c r="A1046" s="15" t="s">
        <v>8047</v>
      </c>
      <c r="B1046" s="398"/>
      <c r="C1046" s="2" t="str">
        <f t="shared" si="7"/>
        <v>AC 01019</v>
      </c>
      <c r="D1046" s="2" t="s">
        <v>8048</v>
      </c>
      <c r="E1046" s="2" t="s">
        <v>2756</v>
      </c>
      <c r="F1046" s="2" t="s">
        <v>8049</v>
      </c>
      <c r="G1046" s="2" t="s">
        <v>2758</v>
      </c>
      <c r="H1046" s="2" t="s">
        <v>8031</v>
      </c>
      <c r="I1046" s="2" t="s">
        <v>2759</v>
      </c>
      <c r="J1046" s="2" t="s">
        <v>2760</v>
      </c>
      <c r="K1046" s="2" t="s">
        <v>2761</v>
      </c>
      <c r="L1046" s="6" t="s">
        <v>1367</v>
      </c>
      <c r="M1046" s="21" t="s">
        <v>1368</v>
      </c>
      <c r="P1046" s="21" t="s">
        <v>22</v>
      </c>
      <c r="AG1046" s="78"/>
    </row>
    <row r="1047" spans="1:33" s="45" customFormat="1">
      <c r="A1047" s="84"/>
      <c r="B1047" s="398"/>
      <c r="C1047" s="44"/>
      <c r="D1047" s="44"/>
      <c r="E1047" s="44"/>
      <c r="F1047" s="44"/>
      <c r="G1047" s="44"/>
      <c r="H1047" s="44"/>
      <c r="I1047" s="44"/>
      <c r="J1047" s="44"/>
      <c r="K1047" s="44"/>
      <c r="L1047" s="81"/>
      <c r="M1047" s="78"/>
      <c r="P1047" s="78"/>
      <c r="Q1047" s="78"/>
      <c r="R1047" s="303"/>
      <c r="W1047" s="81"/>
      <c r="X1047" s="81"/>
      <c r="AG1047" s="2"/>
    </row>
    <row r="1048" spans="1:33" s="5" customFormat="1" ht="79.150000000000006">
      <c r="A1048" s="15" t="s">
        <v>8050</v>
      </c>
      <c r="B1048" s="398"/>
      <c r="C1048" s="2"/>
      <c r="D1048" s="87" t="s">
        <v>8051</v>
      </c>
      <c r="E1048" s="87" t="s">
        <v>8052</v>
      </c>
      <c r="F1048" s="87" t="s">
        <v>8053</v>
      </c>
      <c r="G1048" s="87" t="s">
        <v>8054</v>
      </c>
      <c r="H1048" s="87" t="s">
        <v>8055</v>
      </c>
      <c r="I1048" s="87" t="s">
        <v>8056</v>
      </c>
      <c r="J1048" s="87" t="s">
        <v>8057</v>
      </c>
      <c r="K1048" s="2" t="s">
        <v>8058</v>
      </c>
      <c r="L1048" s="1" t="s">
        <v>1367</v>
      </c>
      <c r="M1048" s="21" t="s">
        <v>1404</v>
      </c>
      <c r="P1048" s="2" t="s">
        <v>22</v>
      </c>
      <c r="Q1048" s="2"/>
      <c r="W1048" s="6"/>
      <c r="X1048" s="6"/>
      <c r="AG1048" s="21"/>
    </row>
    <row r="1049" spans="1:33" ht="66">
      <c r="A1049" s="15" t="s">
        <v>8059</v>
      </c>
      <c r="B1049" s="398"/>
      <c r="C1049" s="2"/>
      <c r="D1049" s="87" t="s">
        <v>8060</v>
      </c>
      <c r="E1049" s="87" t="s">
        <v>8061</v>
      </c>
      <c r="F1049" s="87" t="s">
        <v>8062</v>
      </c>
      <c r="G1049" s="87" t="s">
        <v>8063</v>
      </c>
      <c r="H1049" s="87" t="s">
        <v>8064</v>
      </c>
      <c r="I1049" s="87" t="s">
        <v>8065</v>
      </c>
      <c r="J1049" s="2" t="s">
        <v>1442</v>
      </c>
      <c r="K1049" s="2" t="s">
        <v>8066</v>
      </c>
      <c r="L1049" s="6" t="s">
        <v>1367</v>
      </c>
      <c r="M1049" s="21" t="s">
        <v>1404</v>
      </c>
      <c r="P1049" s="21" t="s">
        <v>22</v>
      </c>
      <c r="W1049" s="1"/>
      <c r="X1049" s="1"/>
    </row>
    <row r="1050" spans="1:33" ht="66">
      <c r="A1050" s="15" t="s">
        <v>8067</v>
      </c>
      <c r="B1050" s="398"/>
      <c r="C1050" s="2"/>
      <c r="D1050" s="87" t="s">
        <v>8068</v>
      </c>
      <c r="E1050" s="87" t="s">
        <v>8069</v>
      </c>
      <c r="F1050" s="87" t="s">
        <v>8070</v>
      </c>
      <c r="G1050" s="87" t="s">
        <v>8071</v>
      </c>
      <c r="H1050" s="87" t="s">
        <v>8072</v>
      </c>
      <c r="I1050" s="87" t="s">
        <v>8073</v>
      </c>
      <c r="J1050" s="87" t="s">
        <v>8074</v>
      </c>
      <c r="K1050" s="2" t="s">
        <v>8075</v>
      </c>
      <c r="L1050" s="6" t="s">
        <v>1381</v>
      </c>
      <c r="M1050" s="21" t="s">
        <v>1404</v>
      </c>
      <c r="P1050" s="21" t="s">
        <v>22</v>
      </c>
    </row>
    <row r="1051" spans="1:33" ht="92.45">
      <c r="A1051" s="15" t="s">
        <v>8076</v>
      </c>
      <c r="B1051" s="398"/>
      <c r="D1051" s="87" t="s">
        <v>8077</v>
      </c>
      <c r="E1051" s="87" t="s">
        <v>8078</v>
      </c>
      <c r="F1051" s="87" t="s">
        <v>8079</v>
      </c>
      <c r="G1051" s="87" t="s">
        <v>8080</v>
      </c>
      <c r="H1051" s="87" t="s">
        <v>8081</v>
      </c>
      <c r="I1051" s="87" t="s">
        <v>8082</v>
      </c>
      <c r="J1051" s="87" t="s">
        <v>8083</v>
      </c>
      <c r="K1051" s="2" t="s">
        <v>8084</v>
      </c>
      <c r="L1051" s="6" t="s">
        <v>1367</v>
      </c>
      <c r="M1051" s="21" t="s">
        <v>1404</v>
      </c>
      <c r="P1051" s="21" t="s">
        <v>22</v>
      </c>
    </row>
    <row r="1052" spans="1:33" ht="105.6">
      <c r="A1052" s="15" t="s">
        <v>8085</v>
      </c>
      <c r="B1052" s="398"/>
      <c r="C1052" s="2"/>
      <c r="D1052" s="87" t="s">
        <v>8086</v>
      </c>
      <c r="E1052" s="87" t="s">
        <v>8087</v>
      </c>
      <c r="F1052" s="87" t="s">
        <v>8088</v>
      </c>
      <c r="G1052" s="87" t="s">
        <v>8089</v>
      </c>
      <c r="H1052" s="87" t="s">
        <v>8081</v>
      </c>
      <c r="I1052" s="87" t="s">
        <v>8090</v>
      </c>
      <c r="J1052" s="87" t="s">
        <v>8091</v>
      </c>
      <c r="K1052" s="2" t="s">
        <v>8092</v>
      </c>
      <c r="L1052" s="6" t="s">
        <v>1367</v>
      </c>
      <c r="M1052" s="21" t="s">
        <v>1404</v>
      </c>
      <c r="P1052" s="21" t="s">
        <v>22</v>
      </c>
      <c r="AG1052" s="2"/>
    </row>
    <row r="1053" spans="1:33" s="5" customFormat="1" ht="105.6">
      <c r="A1053" s="15" t="s">
        <v>8093</v>
      </c>
      <c r="B1053" s="398"/>
      <c r="C1053" s="2"/>
      <c r="D1053" s="87" t="s">
        <v>8094</v>
      </c>
      <c r="E1053" s="87" t="s">
        <v>8095</v>
      </c>
      <c r="F1053" s="87" t="s">
        <v>8096</v>
      </c>
      <c r="G1053" s="87" t="s">
        <v>8097</v>
      </c>
      <c r="H1053" s="87" t="s">
        <v>8098</v>
      </c>
      <c r="I1053" s="87" t="s">
        <v>8099</v>
      </c>
      <c r="J1053" s="87" t="s">
        <v>8100</v>
      </c>
      <c r="K1053" s="2" t="s">
        <v>8101</v>
      </c>
      <c r="L1053" s="6" t="s">
        <v>1367</v>
      </c>
      <c r="M1053" s="21" t="s">
        <v>1404</v>
      </c>
      <c r="P1053" s="21" t="s">
        <v>22</v>
      </c>
      <c r="Q1053" s="2"/>
      <c r="W1053" s="6"/>
      <c r="X1053" s="6"/>
      <c r="AG1053" s="21"/>
    </row>
    <row r="1054" spans="1:33" ht="105.6">
      <c r="A1054" s="15" t="s">
        <v>8102</v>
      </c>
      <c r="B1054" s="398"/>
      <c r="C1054" s="2"/>
      <c r="D1054" s="87" t="s">
        <v>8103</v>
      </c>
      <c r="E1054" s="87" t="s">
        <v>8104</v>
      </c>
      <c r="F1054" s="87" t="s">
        <v>8105</v>
      </c>
      <c r="G1054" s="87" t="s">
        <v>8106</v>
      </c>
      <c r="H1054" s="87" t="s">
        <v>8107</v>
      </c>
      <c r="I1054" s="87" t="s">
        <v>8108</v>
      </c>
      <c r="J1054" s="87" t="s">
        <v>8109</v>
      </c>
      <c r="K1054" s="2" t="s">
        <v>8110</v>
      </c>
      <c r="L1054" s="6" t="s">
        <v>1367</v>
      </c>
      <c r="M1054" s="21" t="s">
        <v>1404</v>
      </c>
      <c r="P1054" s="21" t="s">
        <v>22</v>
      </c>
      <c r="W1054" s="1"/>
      <c r="X1054" s="1"/>
    </row>
    <row r="1055" spans="1:33" s="21" customFormat="1" ht="92.45">
      <c r="A1055" s="15" t="s">
        <v>8111</v>
      </c>
      <c r="B1055" s="398"/>
      <c r="C1055" s="2"/>
      <c r="D1055" s="87" t="s">
        <v>8112</v>
      </c>
      <c r="E1055" s="87" t="s">
        <v>8113</v>
      </c>
      <c r="F1055" s="87" t="s">
        <v>8114</v>
      </c>
      <c r="G1055" s="87" t="s">
        <v>8115</v>
      </c>
      <c r="H1055" s="87" t="s">
        <v>8116</v>
      </c>
      <c r="I1055" s="87" t="s">
        <v>8117</v>
      </c>
      <c r="J1055" s="87" t="s">
        <v>8118</v>
      </c>
      <c r="K1055" s="2" t="s">
        <v>8119</v>
      </c>
      <c r="L1055" s="6" t="s">
        <v>1367</v>
      </c>
      <c r="M1055" s="21" t="s">
        <v>1404</v>
      </c>
      <c r="P1055" s="21" t="s">
        <v>22</v>
      </c>
      <c r="R1055" s="2"/>
      <c r="W1055" s="6"/>
      <c r="X1055" s="6"/>
    </row>
    <row r="1056" spans="1:33" ht="105.6">
      <c r="A1056" s="15" t="s">
        <v>8120</v>
      </c>
      <c r="B1056" s="398"/>
      <c r="C1056" s="2"/>
      <c r="D1056" s="87" t="s">
        <v>8121</v>
      </c>
      <c r="E1056" s="87" t="s">
        <v>8122</v>
      </c>
      <c r="F1056" s="87" t="s">
        <v>8123</v>
      </c>
      <c r="G1056" s="87" t="s">
        <v>8124</v>
      </c>
      <c r="H1056" s="87" t="s">
        <v>8125</v>
      </c>
      <c r="I1056" s="87" t="s">
        <v>8126</v>
      </c>
      <c r="J1056" s="87" t="s">
        <v>8127</v>
      </c>
      <c r="K1056" s="2" t="s">
        <v>8128</v>
      </c>
      <c r="L1056" s="6" t="s">
        <v>1367</v>
      </c>
      <c r="M1056" s="21" t="s">
        <v>1404</v>
      </c>
      <c r="P1056" s="21" t="s">
        <v>22</v>
      </c>
    </row>
    <row r="1057" spans="1:33" ht="79.150000000000006">
      <c r="A1057" s="15" t="s">
        <v>8129</v>
      </c>
      <c r="B1057" s="398"/>
      <c r="C1057" s="2"/>
      <c r="D1057" s="87" t="s">
        <v>8130</v>
      </c>
      <c r="E1057" s="87" t="s">
        <v>8131</v>
      </c>
      <c r="F1057" s="87" t="s">
        <v>8132</v>
      </c>
      <c r="G1057" s="87" t="s">
        <v>8133</v>
      </c>
      <c r="H1057" s="87" t="s">
        <v>8134</v>
      </c>
      <c r="I1057" s="87" t="s">
        <v>8135</v>
      </c>
      <c r="J1057" s="87" t="s">
        <v>8136</v>
      </c>
      <c r="K1057" s="2" t="s">
        <v>8137</v>
      </c>
      <c r="L1057" s="6" t="s">
        <v>1367</v>
      </c>
      <c r="M1057" s="21" t="s">
        <v>1404</v>
      </c>
      <c r="P1057" s="21" t="s">
        <v>22</v>
      </c>
    </row>
    <row r="1058" spans="1:33" ht="118.9">
      <c r="A1058" s="15" t="s">
        <v>8138</v>
      </c>
      <c r="B1058" s="398"/>
      <c r="C1058" s="2"/>
      <c r="D1058" s="87" t="s">
        <v>8139</v>
      </c>
      <c r="E1058" s="87" t="s">
        <v>8140</v>
      </c>
      <c r="F1058" s="87" t="s">
        <v>8141</v>
      </c>
      <c r="G1058" s="87" t="s">
        <v>8142</v>
      </c>
      <c r="H1058" s="87" t="s">
        <v>8143</v>
      </c>
      <c r="I1058" s="87" t="s">
        <v>8144</v>
      </c>
      <c r="J1058" s="87" t="s">
        <v>8145</v>
      </c>
      <c r="K1058" s="2" t="s">
        <v>8146</v>
      </c>
      <c r="L1058" s="6" t="s">
        <v>1367</v>
      </c>
      <c r="M1058" s="21" t="s">
        <v>1404</v>
      </c>
      <c r="P1058" s="21" t="s">
        <v>22</v>
      </c>
    </row>
    <row r="1059" spans="1:33">
      <c r="AG1059" s="62"/>
    </row>
    <row r="1060" spans="1:33" s="55" customFormat="1">
      <c r="A1060" s="249"/>
      <c r="C1060" s="62"/>
      <c r="D1060" s="54"/>
      <c r="E1060" s="54"/>
      <c r="F1060" s="54"/>
      <c r="G1060" s="54"/>
      <c r="H1060" s="54"/>
      <c r="I1060" s="54"/>
      <c r="J1060" s="54"/>
      <c r="K1060" s="54"/>
      <c r="L1060" s="71"/>
      <c r="M1060" s="62"/>
      <c r="P1060" s="62"/>
      <c r="Q1060" s="62"/>
      <c r="R1060" s="302"/>
      <c r="W1060" s="71"/>
      <c r="X1060" s="71"/>
      <c r="AG1060" s="21"/>
    </row>
    <row r="1062" spans="1:33" ht="57.6">
      <c r="A1062" s="253" t="s">
        <v>8147</v>
      </c>
      <c r="B1062" s="402" t="s">
        <v>8148</v>
      </c>
      <c r="C1062" s="76" t="s">
        <v>8149</v>
      </c>
      <c r="D1062" s="2" t="s">
        <v>8150</v>
      </c>
      <c r="E1062" s="2" t="s">
        <v>8151</v>
      </c>
      <c r="F1062" s="2" t="s">
        <v>8152</v>
      </c>
      <c r="G1062" s="2" t="s">
        <v>8153</v>
      </c>
      <c r="H1062" s="2" t="s">
        <v>1442</v>
      </c>
      <c r="I1062" s="2" t="s">
        <v>8154</v>
      </c>
      <c r="J1062" s="2" t="s">
        <v>8155</v>
      </c>
      <c r="K1062" s="2" t="s">
        <v>8156</v>
      </c>
      <c r="L1062" s="6" t="s">
        <v>1367</v>
      </c>
      <c r="M1062" s="21" t="s">
        <v>1368</v>
      </c>
      <c r="N1062" s="21" t="s">
        <v>1369</v>
      </c>
      <c r="P1062" s="21" t="s">
        <v>1371</v>
      </c>
      <c r="Q1062"/>
    </row>
    <row r="1063" spans="1:33" ht="43.15">
      <c r="A1063" s="253" t="s">
        <v>8157</v>
      </c>
      <c r="B1063" s="402"/>
      <c r="C1063" s="76" t="s">
        <v>8149</v>
      </c>
      <c r="D1063" s="2" t="s">
        <v>8158</v>
      </c>
      <c r="E1063" s="2" t="s">
        <v>8159</v>
      </c>
      <c r="F1063" s="2" t="s">
        <v>8160</v>
      </c>
      <c r="G1063" s="2" t="s">
        <v>8161</v>
      </c>
      <c r="H1063" s="2" t="s">
        <v>8162</v>
      </c>
      <c r="I1063" s="2" t="s">
        <v>8163</v>
      </c>
      <c r="J1063" s="2" t="s">
        <v>8164</v>
      </c>
      <c r="K1063" s="2" t="s">
        <v>8165</v>
      </c>
      <c r="L1063" s="6" t="s">
        <v>1367</v>
      </c>
      <c r="M1063" s="21" t="s">
        <v>1368</v>
      </c>
      <c r="N1063" s="21" t="s">
        <v>1369</v>
      </c>
      <c r="P1063" s="21" t="s">
        <v>22</v>
      </c>
      <c r="Q1063"/>
      <c r="W1063" s="1"/>
    </row>
    <row r="1064" spans="1:33" ht="43.15">
      <c r="A1064" s="253" t="s">
        <v>8166</v>
      </c>
      <c r="B1064" s="402"/>
      <c r="C1064" s="76" t="s">
        <v>8149</v>
      </c>
      <c r="D1064" s="2" t="s">
        <v>8167</v>
      </c>
      <c r="E1064" s="2" t="s">
        <v>8168</v>
      </c>
      <c r="F1064" s="2" t="s">
        <v>8169</v>
      </c>
      <c r="G1064" s="2" t="s">
        <v>8170</v>
      </c>
      <c r="H1064" s="2" t="s">
        <v>8171</v>
      </c>
      <c r="I1064" s="2" t="s">
        <v>8172</v>
      </c>
      <c r="J1064" s="2" t="s">
        <v>8173</v>
      </c>
      <c r="K1064" s="2" t="s">
        <v>8174</v>
      </c>
      <c r="L1064" s="6" t="s">
        <v>1367</v>
      </c>
      <c r="M1064" s="21" t="s">
        <v>1368</v>
      </c>
      <c r="N1064" s="21" t="s">
        <v>1369</v>
      </c>
      <c r="P1064" s="21" t="s">
        <v>22</v>
      </c>
      <c r="Q1064"/>
      <c r="W1064" s="1"/>
    </row>
    <row r="1065" spans="1:33" ht="28.9">
      <c r="A1065" s="253" t="s">
        <v>8175</v>
      </c>
      <c r="B1065" s="402"/>
      <c r="C1065" s="76" t="s">
        <v>8149</v>
      </c>
      <c r="D1065" s="2" t="s">
        <v>8176</v>
      </c>
      <c r="E1065" s="2" t="s">
        <v>8177</v>
      </c>
      <c r="F1065" s="2" t="s">
        <v>8178</v>
      </c>
      <c r="G1065" s="2" t="s">
        <v>8179</v>
      </c>
      <c r="H1065" s="90">
        <v>46249</v>
      </c>
      <c r="I1065" s="2" t="s">
        <v>8180</v>
      </c>
      <c r="J1065" s="2" t="s">
        <v>8181</v>
      </c>
      <c r="K1065" s="2" t="s">
        <v>8182</v>
      </c>
      <c r="L1065" s="6" t="s">
        <v>1367</v>
      </c>
      <c r="M1065" s="21" t="s">
        <v>1368</v>
      </c>
      <c r="N1065" s="21" t="s">
        <v>1369</v>
      </c>
      <c r="P1065" s="21" t="s">
        <v>1371</v>
      </c>
      <c r="Q1065"/>
      <c r="W1065" s="1"/>
    </row>
    <row r="1066" spans="1:33" ht="43.15">
      <c r="A1066" s="253" t="s">
        <v>8183</v>
      </c>
      <c r="B1066" s="402"/>
      <c r="C1066" s="76" t="s">
        <v>8149</v>
      </c>
      <c r="D1066" s="2" t="s">
        <v>8184</v>
      </c>
      <c r="E1066" s="2" t="s">
        <v>8185</v>
      </c>
      <c r="F1066" s="2" t="s">
        <v>8186</v>
      </c>
      <c r="G1066" s="2" t="s">
        <v>8187</v>
      </c>
      <c r="H1066" s="2" t="s">
        <v>8188</v>
      </c>
      <c r="I1066" s="2" t="s">
        <v>8189</v>
      </c>
      <c r="J1066" s="2" t="s">
        <v>8190</v>
      </c>
      <c r="K1066" s="2" t="s">
        <v>8191</v>
      </c>
      <c r="L1066" s="6" t="s">
        <v>1367</v>
      </c>
      <c r="M1066" s="21" t="s">
        <v>1368</v>
      </c>
      <c r="N1066" s="21" t="s">
        <v>1369</v>
      </c>
      <c r="P1066" s="21" t="s">
        <v>22</v>
      </c>
      <c r="Q1066"/>
      <c r="W1066" s="1"/>
    </row>
    <row r="1067" spans="1:33" ht="43.15">
      <c r="A1067" s="253" t="s">
        <v>8192</v>
      </c>
      <c r="B1067" s="402"/>
      <c r="C1067" s="76" t="s">
        <v>8149</v>
      </c>
      <c r="D1067" s="2" t="s">
        <v>8193</v>
      </c>
      <c r="E1067" s="2" t="s">
        <v>8194</v>
      </c>
      <c r="F1067" s="2" t="s">
        <v>8195</v>
      </c>
      <c r="G1067" s="2" t="s">
        <v>8196</v>
      </c>
      <c r="H1067" s="2" t="s">
        <v>8197</v>
      </c>
      <c r="I1067" s="2" t="s">
        <v>8198</v>
      </c>
      <c r="J1067" s="2" t="s">
        <v>8199</v>
      </c>
      <c r="K1067" s="2" t="s">
        <v>8200</v>
      </c>
      <c r="L1067" s="6" t="s">
        <v>1367</v>
      </c>
      <c r="M1067" s="21" t="s">
        <v>1368</v>
      </c>
      <c r="N1067" s="21" t="s">
        <v>1369</v>
      </c>
      <c r="P1067" s="21" t="s">
        <v>1371</v>
      </c>
      <c r="Q1067"/>
      <c r="W1067" s="1"/>
    </row>
    <row r="1068" spans="1:33" ht="43.15">
      <c r="A1068" s="253" t="s">
        <v>8201</v>
      </c>
      <c r="B1068" s="402"/>
      <c r="C1068" s="76" t="s">
        <v>8149</v>
      </c>
      <c r="D1068" s="2" t="s">
        <v>8202</v>
      </c>
      <c r="E1068" s="2" t="s">
        <v>8203</v>
      </c>
      <c r="F1068" s="2" t="s">
        <v>8204</v>
      </c>
      <c r="G1068" s="2" t="s">
        <v>8205</v>
      </c>
      <c r="H1068" s="2" t="s">
        <v>8206</v>
      </c>
      <c r="I1068" s="2" t="s">
        <v>8207</v>
      </c>
      <c r="J1068" s="2" t="s">
        <v>8208</v>
      </c>
      <c r="K1068" s="2" t="s">
        <v>8209</v>
      </c>
      <c r="L1068" s="6" t="s">
        <v>1367</v>
      </c>
      <c r="M1068" s="21" t="s">
        <v>1368</v>
      </c>
      <c r="N1068" s="21" t="s">
        <v>1369</v>
      </c>
      <c r="P1068" s="21" t="s">
        <v>1371</v>
      </c>
      <c r="Q1068"/>
      <c r="W1068" s="1"/>
    </row>
    <row r="1069" spans="1:33" ht="43.15">
      <c r="A1069" s="253" t="s">
        <v>8210</v>
      </c>
      <c r="B1069" s="402"/>
      <c r="C1069" s="76" t="s">
        <v>8149</v>
      </c>
      <c r="D1069" s="2" t="s">
        <v>8211</v>
      </c>
      <c r="E1069" s="2" t="s">
        <v>8212</v>
      </c>
      <c r="F1069" s="2" t="s">
        <v>8169</v>
      </c>
      <c r="G1069" s="2" t="s">
        <v>8213</v>
      </c>
      <c r="H1069" s="2" t="s">
        <v>8214</v>
      </c>
      <c r="I1069" s="2" t="s">
        <v>8215</v>
      </c>
      <c r="J1069" s="2" t="s">
        <v>8216</v>
      </c>
      <c r="K1069" s="2" t="s">
        <v>8217</v>
      </c>
      <c r="L1069" s="6" t="s">
        <v>1367</v>
      </c>
      <c r="M1069" s="21" t="s">
        <v>1368</v>
      </c>
      <c r="N1069" s="21" t="s">
        <v>1369</v>
      </c>
      <c r="P1069" s="21" t="s">
        <v>22</v>
      </c>
      <c r="Q1069"/>
      <c r="W1069" s="1"/>
    </row>
    <row r="1070" spans="1:33" ht="43.15">
      <c r="A1070" s="253" t="s">
        <v>8218</v>
      </c>
      <c r="B1070" s="402"/>
      <c r="C1070" s="76" t="s">
        <v>8149</v>
      </c>
      <c r="D1070" s="2" t="s">
        <v>8219</v>
      </c>
      <c r="E1070" s="2" t="s">
        <v>8220</v>
      </c>
      <c r="F1070" s="2" t="s">
        <v>8221</v>
      </c>
      <c r="G1070" s="2" t="s">
        <v>8222</v>
      </c>
      <c r="H1070" s="2" t="s">
        <v>8223</v>
      </c>
      <c r="I1070" s="2" t="s">
        <v>8224</v>
      </c>
      <c r="J1070" s="2" t="s">
        <v>8225</v>
      </c>
      <c r="K1070" s="2" t="s">
        <v>8226</v>
      </c>
      <c r="L1070" s="6" t="s">
        <v>1367</v>
      </c>
      <c r="M1070" s="21" t="s">
        <v>1368</v>
      </c>
      <c r="N1070" s="21" t="s">
        <v>1369</v>
      </c>
      <c r="P1070" s="21" t="s">
        <v>1371</v>
      </c>
      <c r="Q1070"/>
      <c r="W1070" s="1"/>
    </row>
    <row r="1071" spans="1:33" ht="43.15">
      <c r="A1071" s="253" t="s">
        <v>8227</v>
      </c>
      <c r="B1071" s="402"/>
      <c r="C1071" s="76" t="s">
        <v>8149</v>
      </c>
      <c r="D1071" s="2" t="s">
        <v>8228</v>
      </c>
      <c r="E1071" s="2" t="s">
        <v>8229</v>
      </c>
      <c r="F1071" s="2" t="s">
        <v>8169</v>
      </c>
      <c r="G1071" s="2" t="s">
        <v>8230</v>
      </c>
      <c r="H1071" s="2" t="s">
        <v>8231</v>
      </c>
      <c r="I1071" s="2" t="s">
        <v>8232</v>
      </c>
      <c r="J1071" s="2" t="s">
        <v>8233</v>
      </c>
      <c r="K1071" s="2" t="s">
        <v>8234</v>
      </c>
      <c r="L1071" s="6" t="s">
        <v>1367</v>
      </c>
      <c r="M1071" s="21" t="s">
        <v>1368</v>
      </c>
      <c r="N1071" s="21" t="s">
        <v>1369</v>
      </c>
      <c r="P1071" s="21" t="s">
        <v>1481</v>
      </c>
      <c r="Q1071"/>
      <c r="W1071" s="1"/>
    </row>
    <row r="1072" spans="1:33" ht="28.9">
      <c r="A1072" s="253" t="s">
        <v>8235</v>
      </c>
      <c r="B1072" s="402"/>
      <c r="C1072" s="76" t="s">
        <v>8236</v>
      </c>
      <c r="D1072" s="2" t="s">
        <v>8237</v>
      </c>
      <c r="E1072" s="2" t="s">
        <v>8238</v>
      </c>
      <c r="F1072" s="2" t="s">
        <v>8239</v>
      </c>
      <c r="G1072" s="2" t="s">
        <v>8240</v>
      </c>
      <c r="H1072" s="2" t="s">
        <v>8241</v>
      </c>
      <c r="I1072" s="2" t="s">
        <v>8242</v>
      </c>
      <c r="J1072" s="2" t="s">
        <v>8243</v>
      </c>
      <c r="K1072" s="2" t="s">
        <v>1780</v>
      </c>
      <c r="L1072" s="6" t="s">
        <v>1367</v>
      </c>
      <c r="M1072" s="21" t="s">
        <v>1368</v>
      </c>
      <c r="N1072" s="21" t="s">
        <v>1369</v>
      </c>
      <c r="P1072" s="21" t="s">
        <v>22</v>
      </c>
    </row>
    <row r="1073" spans="1:16" ht="28.9">
      <c r="A1073" s="253" t="s">
        <v>8244</v>
      </c>
      <c r="B1073" s="402"/>
      <c r="C1073" s="76" t="s">
        <v>8236</v>
      </c>
      <c r="D1073" s="2" t="s">
        <v>8245</v>
      </c>
      <c r="E1073" s="2" t="s">
        <v>8246</v>
      </c>
      <c r="F1073" s="2" t="s">
        <v>8247</v>
      </c>
      <c r="G1073" s="2" t="s">
        <v>8248</v>
      </c>
      <c r="H1073" s="2" t="s">
        <v>8249</v>
      </c>
      <c r="I1073" s="2" t="s">
        <v>8250</v>
      </c>
      <c r="J1073" s="2" t="s">
        <v>8251</v>
      </c>
      <c r="K1073" s="2" t="s">
        <v>8252</v>
      </c>
      <c r="L1073" s="6" t="s">
        <v>1367</v>
      </c>
      <c r="M1073" s="21" t="s">
        <v>1368</v>
      </c>
      <c r="N1073" s="21" t="s">
        <v>1369</v>
      </c>
      <c r="P1073" s="21" t="s">
        <v>22</v>
      </c>
    </row>
    <row r="1074" spans="1:16" ht="43.15">
      <c r="A1074" s="253" t="s">
        <v>8253</v>
      </c>
      <c r="B1074" s="402"/>
      <c r="C1074" s="76" t="s">
        <v>8236</v>
      </c>
      <c r="D1074" s="2" t="s">
        <v>8254</v>
      </c>
      <c r="E1074" s="2" t="s">
        <v>8255</v>
      </c>
      <c r="F1074" s="2" t="s">
        <v>8256</v>
      </c>
      <c r="G1074" s="2" t="s">
        <v>8257</v>
      </c>
      <c r="H1074" s="2" t="s">
        <v>8258</v>
      </c>
      <c r="I1074" s="2" t="s">
        <v>8259</v>
      </c>
      <c r="J1074" s="2" t="s">
        <v>8260</v>
      </c>
      <c r="K1074" s="2" t="s">
        <v>8261</v>
      </c>
      <c r="L1074" s="6" t="s">
        <v>1367</v>
      </c>
      <c r="M1074" s="21" t="s">
        <v>1368</v>
      </c>
      <c r="N1074" s="21" t="s">
        <v>1369</v>
      </c>
      <c r="P1074" s="21" t="s">
        <v>1393</v>
      </c>
    </row>
    <row r="1075" spans="1:16" ht="28.9">
      <c r="A1075" s="253" t="s">
        <v>8262</v>
      </c>
      <c r="B1075" s="402"/>
      <c r="C1075" s="76" t="s">
        <v>8236</v>
      </c>
      <c r="D1075" s="2" t="s">
        <v>8263</v>
      </c>
      <c r="E1075" s="2" t="s">
        <v>8264</v>
      </c>
      <c r="F1075" s="2" t="s">
        <v>8265</v>
      </c>
      <c r="G1075" s="2" t="s">
        <v>8266</v>
      </c>
      <c r="H1075" s="2" t="s">
        <v>8267</v>
      </c>
      <c r="I1075" s="2" t="s">
        <v>8268</v>
      </c>
      <c r="J1075" s="2" t="s">
        <v>8269</v>
      </c>
      <c r="K1075" s="2" t="s">
        <v>8270</v>
      </c>
      <c r="L1075" s="6" t="s">
        <v>1367</v>
      </c>
      <c r="M1075" s="21" t="s">
        <v>1368</v>
      </c>
      <c r="N1075" s="21" t="s">
        <v>1369</v>
      </c>
      <c r="P1075" s="21" t="s">
        <v>1371</v>
      </c>
    </row>
    <row r="1076" spans="1:16" ht="72">
      <c r="A1076" s="253" t="s">
        <v>8271</v>
      </c>
      <c r="B1076" s="402"/>
      <c r="C1076" s="76" t="s">
        <v>8236</v>
      </c>
      <c r="D1076" s="2" t="s">
        <v>5084</v>
      </c>
      <c r="E1076" s="2" t="s">
        <v>5085</v>
      </c>
      <c r="F1076" s="2" t="s">
        <v>8272</v>
      </c>
      <c r="G1076" s="2" t="s">
        <v>5086</v>
      </c>
      <c r="H1076" s="2" t="s">
        <v>5087</v>
      </c>
      <c r="I1076" s="2" t="s">
        <v>5088</v>
      </c>
      <c r="J1076" s="2" t="s">
        <v>5089</v>
      </c>
      <c r="K1076" s="2" t="s">
        <v>8273</v>
      </c>
      <c r="L1076" s="6" t="s">
        <v>1367</v>
      </c>
      <c r="M1076" s="21" t="s">
        <v>1368</v>
      </c>
      <c r="N1076" s="21" t="s">
        <v>1369</v>
      </c>
      <c r="P1076" s="21" t="s">
        <v>1371</v>
      </c>
    </row>
    <row r="1077" spans="1:16" ht="43.15">
      <c r="A1077" s="253" t="s">
        <v>8274</v>
      </c>
      <c r="B1077" s="402"/>
      <c r="C1077" s="76" t="s">
        <v>8236</v>
      </c>
      <c r="D1077" s="2" t="s">
        <v>8275</v>
      </c>
      <c r="E1077" s="2" t="s">
        <v>8276</v>
      </c>
      <c r="F1077" s="2" t="s">
        <v>8277</v>
      </c>
      <c r="G1077" s="2" t="s">
        <v>8278</v>
      </c>
      <c r="H1077" s="2" t="s">
        <v>8279</v>
      </c>
      <c r="I1077" s="2" t="s">
        <v>8280</v>
      </c>
      <c r="J1077" s="2" t="s">
        <v>8281</v>
      </c>
      <c r="K1077" s="2" t="s">
        <v>8282</v>
      </c>
      <c r="L1077" s="6" t="s">
        <v>1367</v>
      </c>
      <c r="M1077" s="21" t="s">
        <v>1368</v>
      </c>
      <c r="N1077" s="21" t="s">
        <v>1369</v>
      </c>
      <c r="P1077" s="21" t="s">
        <v>22</v>
      </c>
    </row>
    <row r="1078" spans="1:16" ht="43.15">
      <c r="A1078" s="253" t="s">
        <v>8283</v>
      </c>
      <c r="B1078" s="402"/>
      <c r="C1078" s="76" t="s">
        <v>8236</v>
      </c>
      <c r="D1078" s="2" t="s">
        <v>8284</v>
      </c>
      <c r="E1078" s="2" t="s">
        <v>8285</v>
      </c>
      <c r="F1078" s="2" t="s">
        <v>8247</v>
      </c>
      <c r="G1078" s="2" t="s">
        <v>8286</v>
      </c>
      <c r="H1078" s="2" t="s">
        <v>8287</v>
      </c>
      <c r="I1078" s="2" t="s">
        <v>8280</v>
      </c>
      <c r="J1078" s="2" t="s">
        <v>8281</v>
      </c>
      <c r="K1078" s="2" t="s">
        <v>8282</v>
      </c>
      <c r="L1078" s="6" t="s">
        <v>1367</v>
      </c>
      <c r="M1078" s="21" t="s">
        <v>1368</v>
      </c>
      <c r="N1078" s="21" t="s">
        <v>1369</v>
      </c>
      <c r="P1078" s="21" t="s">
        <v>22</v>
      </c>
    </row>
    <row r="1079" spans="1:16" ht="43.15">
      <c r="A1079" s="253" t="s">
        <v>8288</v>
      </c>
      <c r="B1079" s="402"/>
      <c r="C1079" s="76" t="s">
        <v>8236</v>
      </c>
      <c r="D1079" s="2" t="s">
        <v>8289</v>
      </c>
      <c r="E1079" s="2" t="s">
        <v>8290</v>
      </c>
      <c r="F1079" s="2" t="s">
        <v>8291</v>
      </c>
      <c r="G1079" s="2" t="s">
        <v>8292</v>
      </c>
      <c r="H1079" s="2" t="s">
        <v>8293</v>
      </c>
      <c r="I1079" s="2" t="s">
        <v>8294</v>
      </c>
      <c r="J1079" s="2" t="s">
        <v>8295</v>
      </c>
      <c r="K1079" s="2" t="s">
        <v>8296</v>
      </c>
      <c r="L1079" s="6" t="s">
        <v>1367</v>
      </c>
      <c r="M1079" s="21" t="s">
        <v>1368</v>
      </c>
      <c r="N1079" s="21" t="s">
        <v>1369</v>
      </c>
      <c r="P1079" s="21" t="s">
        <v>22</v>
      </c>
    </row>
    <row r="1080" spans="1:16" ht="28.9">
      <c r="A1080" s="253" t="s">
        <v>8297</v>
      </c>
      <c r="B1080" s="402"/>
      <c r="C1080" s="76" t="s">
        <v>8236</v>
      </c>
      <c r="D1080" s="2" t="s">
        <v>8298</v>
      </c>
      <c r="E1080" s="2" t="s">
        <v>8299</v>
      </c>
      <c r="F1080" s="2" t="s">
        <v>8291</v>
      </c>
      <c r="G1080" s="2" t="s">
        <v>8300</v>
      </c>
      <c r="H1080" s="2" t="s">
        <v>8301</v>
      </c>
      <c r="I1080" s="2" t="s">
        <v>8302</v>
      </c>
      <c r="J1080" s="2" t="s">
        <v>8303</v>
      </c>
      <c r="K1080" s="2" t="s">
        <v>8304</v>
      </c>
      <c r="L1080" s="6" t="s">
        <v>1367</v>
      </c>
      <c r="M1080" s="21" t="s">
        <v>1368</v>
      </c>
      <c r="N1080" s="21" t="s">
        <v>1369</v>
      </c>
      <c r="P1080" s="21" t="s">
        <v>22</v>
      </c>
    </row>
    <row r="1081" spans="1:16" ht="28.9">
      <c r="A1081" s="253" t="s">
        <v>8305</v>
      </c>
      <c r="B1081" s="402"/>
      <c r="C1081" s="76" t="s">
        <v>8236</v>
      </c>
      <c r="D1081" s="2" t="s">
        <v>8306</v>
      </c>
      <c r="E1081" s="2" t="s">
        <v>8307</v>
      </c>
      <c r="F1081" s="2" t="s">
        <v>8308</v>
      </c>
      <c r="G1081" s="2" t="s">
        <v>8309</v>
      </c>
      <c r="H1081" s="2" t="s">
        <v>8310</v>
      </c>
      <c r="I1081" s="2" t="s">
        <v>8311</v>
      </c>
      <c r="J1081" s="2" t="s">
        <v>8312</v>
      </c>
      <c r="K1081" s="2" t="s">
        <v>5533</v>
      </c>
      <c r="L1081" s="6" t="s">
        <v>1367</v>
      </c>
      <c r="M1081" s="21" t="s">
        <v>1368</v>
      </c>
      <c r="N1081" s="21" t="s">
        <v>1369</v>
      </c>
      <c r="P1081" s="21" t="s">
        <v>22</v>
      </c>
    </row>
    <row r="1082" spans="1:16" ht="43.15">
      <c r="A1082" s="253" t="s">
        <v>8313</v>
      </c>
      <c r="B1082" s="402"/>
      <c r="C1082" s="76" t="s">
        <v>8236</v>
      </c>
      <c r="D1082" s="2" t="s">
        <v>8314</v>
      </c>
      <c r="E1082" s="2" t="s">
        <v>8315</v>
      </c>
      <c r="F1082" s="2" t="s">
        <v>8316</v>
      </c>
      <c r="G1082" s="2" t="s">
        <v>8317</v>
      </c>
      <c r="H1082" s="2" t="s">
        <v>8318</v>
      </c>
      <c r="I1082" s="2" t="s">
        <v>8319</v>
      </c>
      <c r="J1082" s="2" t="s">
        <v>8320</v>
      </c>
      <c r="K1082" s="2" t="s">
        <v>8321</v>
      </c>
      <c r="L1082" s="6" t="s">
        <v>1367</v>
      </c>
      <c r="M1082" s="21" t="s">
        <v>1368</v>
      </c>
      <c r="N1082" s="21" t="s">
        <v>1369</v>
      </c>
      <c r="P1082" s="21" t="s">
        <v>1371</v>
      </c>
    </row>
    <row r="1083" spans="1:16" ht="57.6">
      <c r="A1083" s="253" t="s">
        <v>8322</v>
      </c>
      <c r="B1083" s="402"/>
      <c r="C1083" s="76" t="s">
        <v>8236</v>
      </c>
      <c r="D1083" s="2" t="s">
        <v>8323</v>
      </c>
      <c r="E1083" s="2" t="s">
        <v>8324</v>
      </c>
      <c r="F1083" s="2" t="s">
        <v>8325</v>
      </c>
      <c r="G1083" s="2" t="s">
        <v>8326</v>
      </c>
      <c r="H1083" s="2" t="s">
        <v>8327</v>
      </c>
      <c r="I1083" s="2" t="s">
        <v>8328</v>
      </c>
      <c r="J1083" s="2" t="s">
        <v>8329</v>
      </c>
      <c r="K1083" s="2" t="s">
        <v>8330</v>
      </c>
      <c r="L1083" s="6" t="s">
        <v>1367</v>
      </c>
      <c r="M1083" s="21" t="s">
        <v>1368</v>
      </c>
      <c r="N1083" s="21" t="s">
        <v>1369</v>
      </c>
      <c r="P1083" s="21" t="s">
        <v>22</v>
      </c>
    </row>
    <row r="1084" spans="1:16" ht="43.15">
      <c r="A1084" s="253" t="s">
        <v>8331</v>
      </c>
      <c r="B1084" s="402"/>
      <c r="C1084" s="76" t="s">
        <v>8236</v>
      </c>
      <c r="D1084" s="2" t="s">
        <v>8332</v>
      </c>
      <c r="E1084" s="2" t="s">
        <v>8333</v>
      </c>
      <c r="F1084" s="2" t="s">
        <v>8334</v>
      </c>
      <c r="G1084" s="2" t="s">
        <v>8335</v>
      </c>
      <c r="H1084" s="2" t="s">
        <v>8336</v>
      </c>
      <c r="I1084" s="2" t="s">
        <v>8337</v>
      </c>
      <c r="J1084" s="2" t="s">
        <v>8338</v>
      </c>
      <c r="K1084" s="2" t="s">
        <v>8339</v>
      </c>
      <c r="L1084" s="6" t="s">
        <v>1367</v>
      </c>
      <c r="M1084" s="21" t="s">
        <v>1368</v>
      </c>
      <c r="N1084" s="21" t="s">
        <v>1369</v>
      </c>
      <c r="P1084" s="21" t="s">
        <v>22</v>
      </c>
    </row>
    <row r="1085" spans="1:16" ht="57.6">
      <c r="A1085" s="253" t="s">
        <v>8340</v>
      </c>
      <c r="B1085" s="402"/>
      <c r="C1085" s="76" t="s">
        <v>8236</v>
      </c>
      <c r="D1085" s="2" t="s">
        <v>8341</v>
      </c>
      <c r="E1085" s="2" t="s">
        <v>8342</v>
      </c>
      <c r="F1085" s="2" t="s">
        <v>8325</v>
      </c>
      <c r="G1085" s="2" t="s">
        <v>8343</v>
      </c>
      <c r="H1085" s="2" t="s">
        <v>8344</v>
      </c>
      <c r="I1085" s="2" t="s">
        <v>8345</v>
      </c>
      <c r="J1085" s="2" t="s">
        <v>8330</v>
      </c>
      <c r="K1085" s="2" t="s">
        <v>8346</v>
      </c>
      <c r="L1085" s="6" t="s">
        <v>1367</v>
      </c>
      <c r="M1085" s="21" t="s">
        <v>1368</v>
      </c>
      <c r="N1085" s="21" t="s">
        <v>1369</v>
      </c>
      <c r="P1085" s="21" t="s">
        <v>1371</v>
      </c>
    </row>
    <row r="1086" spans="1:16" ht="28.9">
      <c r="A1086" s="253" t="s">
        <v>8347</v>
      </c>
      <c r="B1086" s="402"/>
      <c r="C1086" s="76" t="s">
        <v>8236</v>
      </c>
      <c r="D1086" s="2" t="s">
        <v>8348</v>
      </c>
      <c r="E1086" s="2" t="s">
        <v>8349</v>
      </c>
      <c r="F1086" s="2" t="s">
        <v>8350</v>
      </c>
      <c r="G1086" s="2" t="s">
        <v>8351</v>
      </c>
      <c r="H1086" s="2" t="s">
        <v>8352</v>
      </c>
      <c r="I1086" s="2" t="s">
        <v>8353</v>
      </c>
      <c r="J1086" s="2" t="s">
        <v>8354</v>
      </c>
      <c r="K1086" s="2" t="s">
        <v>3719</v>
      </c>
      <c r="L1086" s="6" t="s">
        <v>1367</v>
      </c>
      <c r="M1086" s="21" t="s">
        <v>1368</v>
      </c>
      <c r="N1086" s="21" t="s">
        <v>1369</v>
      </c>
      <c r="P1086" s="21" t="s">
        <v>1371</v>
      </c>
    </row>
    <row r="1087" spans="1:16" ht="43.15">
      <c r="A1087" s="253" t="s">
        <v>8355</v>
      </c>
      <c r="B1087" s="402"/>
      <c r="C1087" s="76" t="s">
        <v>8236</v>
      </c>
      <c r="D1087" s="2" t="s">
        <v>8356</v>
      </c>
      <c r="E1087" s="2" t="s">
        <v>8357</v>
      </c>
      <c r="F1087" s="2" t="s">
        <v>8358</v>
      </c>
      <c r="G1087" s="2" t="s">
        <v>8359</v>
      </c>
      <c r="H1087" s="2" t="s">
        <v>8360</v>
      </c>
      <c r="I1087" s="2" t="s">
        <v>8361</v>
      </c>
      <c r="J1087" s="2" t="s">
        <v>8329</v>
      </c>
      <c r="K1087" s="2" t="s">
        <v>3586</v>
      </c>
      <c r="L1087" s="6" t="s">
        <v>1367</v>
      </c>
      <c r="M1087" s="21" t="s">
        <v>1368</v>
      </c>
      <c r="N1087" s="21" t="s">
        <v>1369</v>
      </c>
      <c r="P1087" s="21" t="s">
        <v>22</v>
      </c>
    </row>
    <row r="1088" spans="1:16" ht="43.15">
      <c r="A1088" s="253" t="s">
        <v>8362</v>
      </c>
      <c r="B1088" s="402"/>
      <c r="C1088" s="76" t="s">
        <v>8236</v>
      </c>
      <c r="D1088" s="2" t="s">
        <v>8363</v>
      </c>
      <c r="E1088" s="2" t="s">
        <v>8364</v>
      </c>
      <c r="F1088" s="2" t="s">
        <v>8365</v>
      </c>
      <c r="G1088" s="2" t="s">
        <v>8366</v>
      </c>
      <c r="H1088" s="2" t="s">
        <v>8367</v>
      </c>
      <c r="I1088" s="2" t="s">
        <v>8368</v>
      </c>
      <c r="J1088" s="2" t="s">
        <v>8330</v>
      </c>
      <c r="K1088" s="2" t="s">
        <v>8369</v>
      </c>
      <c r="L1088" s="6" t="s">
        <v>1367</v>
      </c>
      <c r="M1088" s="21" t="s">
        <v>1368</v>
      </c>
      <c r="N1088" s="21" t="s">
        <v>1369</v>
      </c>
      <c r="P1088" s="21" t="s">
        <v>22</v>
      </c>
    </row>
    <row r="1089" spans="1:16" ht="28.9">
      <c r="A1089" s="253" t="s">
        <v>8370</v>
      </c>
      <c r="B1089" s="402"/>
      <c r="C1089" s="76" t="s">
        <v>8236</v>
      </c>
      <c r="D1089" s="2" t="s">
        <v>8371</v>
      </c>
      <c r="E1089" s="2" t="s">
        <v>8372</v>
      </c>
      <c r="F1089" s="2" t="s">
        <v>8373</v>
      </c>
      <c r="G1089" s="2" t="s">
        <v>8374</v>
      </c>
      <c r="H1089" s="2" t="s">
        <v>8375</v>
      </c>
      <c r="I1089" s="2" t="s">
        <v>8376</v>
      </c>
      <c r="J1089" s="2" t="s">
        <v>8377</v>
      </c>
      <c r="K1089" s="2" t="s">
        <v>8378</v>
      </c>
      <c r="L1089" s="6" t="s">
        <v>1367</v>
      </c>
      <c r="M1089" s="21" t="s">
        <v>1368</v>
      </c>
      <c r="N1089" s="21" t="s">
        <v>1369</v>
      </c>
      <c r="P1089" s="21" t="s">
        <v>1371</v>
      </c>
    </row>
    <row r="1090" spans="1:16" ht="28.9">
      <c r="A1090" s="253" t="s">
        <v>8379</v>
      </c>
      <c r="B1090" s="402"/>
      <c r="C1090" s="76" t="s">
        <v>8236</v>
      </c>
      <c r="D1090" s="2" t="s">
        <v>8380</v>
      </c>
      <c r="E1090" s="2" t="s">
        <v>8381</v>
      </c>
      <c r="F1090" s="2" t="s">
        <v>8382</v>
      </c>
      <c r="G1090" s="2" t="s">
        <v>8383</v>
      </c>
      <c r="H1090" s="2" t="s">
        <v>8384</v>
      </c>
      <c r="I1090" s="2" t="s">
        <v>8385</v>
      </c>
      <c r="J1090" s="2" t="s">
        <v>8386</v>
      </c>
      <c r="K1090" s="2" t="s">
        <v>8387</v>
      </c>
      <c r="L1090" s="6" t="s">
        <v>1367</v>
      </c>
      <c r="M1090" s="21" t="s">
        <v>1368</v>
      </c>
      <c r="N1090" s="21" t="s">
        <v>1369</v>
      </c>
      <c r="P1090" s="21" t="s">
        <v>1371</v>
      </c>
    </row>
    <row r="1091" spans="1:16" ht="43.15">
      <c r="A1091" s="253" t="s">
        <v>8388</v>
      </c>
      <c r="B1091" s="402"/>
      <c r="C1091" s="76" t="s">
        <v>8236</v>
      </c>
      <c r="D1091" s="2" t="s">
        <v>8389</v>
      </c>
      <c r="E1091" s="2" t="s">
        <v>8390</v>
      </c>
      <c r="F1091" s="2" t="s">
        <v>8391</v>
      </c>
      <c r="G1091" s="2" t="s">
        <v>8392</v>
      </c>
      <c r="H1091" s="2" t="s">
        <v>8393</v>
      </c>
      <c r="I1091" s="2" t="s">
        <v>8394</v>
      </c>
      <c r="J1091" s="2" t="s">
        <v>8395</v>
      </c>
      <c r="K1091" s="2" t="s">
        <v>8396</v>
      </c>
      <c r="L1091" s="6" t="s">
        <v>1367</v>
      </c>
      <c r="M1091" s="21" t="s">
        <v>1368</v>
      </c>
      <c r="N1091" s="21" t="s">
        <v>1369</v>
      </c>
      <c r="P1091" s="21" t="s">
        <v>22</v>
      </c>
    </row>
    <row r="1092" spans="1:16" ht="43.15">
      <c r="A1092" s="253" t="s">
        <v>8397</v>
      </c>
      <c r="B1092" s="402"/>
      <c r="C1092" s="76" t="s">
        <v>8236</v>
      </c>
      <c r="D1092" s="2" t="s">
        <v>8398</v>
      </c>
      <c r="E1092" s="2" t="s">
        <v>8399</v>
      </c>
      <c r="F1092" s="2" t="s">
        <v>8239</v>
      </c>
      <c r="G1092" s="2" t="s">
        <v>8400</v>
      </c>
      <c r="H1092" s="2" t="s">
        <v>8401</v>
      </c>
      <c r="I1092" s="2" t="s">
        <v>8402</v>
      </c>
      <c r="J1092" s="2" t="s">
        <v>8329</v>
      </c>
      <c r="K1092" s="2" t="s">
        <v>3586</v>
      </c>
      <c r="L1092" s="6" t="s">
        <v>1367</v>
      </c>
      <c r="M1092" s="21" t="s">
        <v>1368</v>
      </c>
      <c r="N1092" s="21" t="s">
        <v>1369</v>
      </c>
      <c r="P1092" s="21" t="s">
        <v>22</v>
      </c>
    </row>
    <row r="1093" spans="1:16" ht="57.6">
      <c r="A1093" s="253" t="s">
        <v>8403</v>
      </c>
      <c r="B1093" s="402"/>
      <c r="C1093" s="76" t="s">
        <v>8236</v>
      </c>
      <c r="D1093" s="2" t="s">
        <v>8404</v>
      </c>
      <c r="E1093" s="2" t="s">
        <v>8405</v>
      </c>
      <c r="F1093" s="2" t="s">
        <v>3608</v>
      </c>
      <c r="G1093" s="2" t="s">
        <v>8406</v>
      </c>
      <c r="H1093" s="2" t="s">
        <v>8407</v>
      </c>
      <c r="I1093" s="2" t="s">
        <v>8408</v>
      </c>
      <c r="J1093" s="2" t="s">
        <v>8409</v>
      </c>
      <c r="K1093" s="2" t="s">
        <v>3613</v>
      </c>
      <c r="L1093" s="6" t="s">
        <v>1367</v>
      </c>
      <c r="M1093" s="21" t="s">
        <v>1368</v>
      </c>
      <c r="N1093" s="21" t="s">
        <v>1369</v>
      </c>
      <c r="P1093" s="21" t="s">
        <v>1371</v>
      </c>
    </row>
    <row r="1094" spans="1:16" ht="43.15">
      <c r="A1094" s="253" t="s">
        <v>8410</v>
      </c>
      <c r="B1094" s="402"/>
      <c r="C1094" s="76" t="s">
        <v>8236</v>
      </c>
      <c r="D1094" s="2" t="s">
        <v>8411</v>
      </c>
      <c r="E1094" s="2" t="s">
        <v>8412</v>
      </c>
      <c r="F1094" s="2" t="s">
        <v>8413</v>
      </c>
      <c r="G1094" s="2" t="s">
        <v>8414</v>
      </c>
      <c r="H1094" s="2" t="s">
        <v>8415</v>
      </c>
      <c r="I1094" s="2" t="s">
        <v>8416</v>
      </c>
      <c r="J1094" s="2" t="s">
        <v>8417</v>
      </c>
      <c r="K1094" s="2" t="s">
        <v>8418</v>
      </c>
      <c r="L1094" s="6" t="s">
        <v>1367</v>
      </c>
      <c r="M1094" s="21" t="s">
        <v>1368</v>
      </c>
      <c r="N1094" s="21" t="s">
        <v>1369</v>
      </c>
      <c r="P1094" s="21" t="s">
        <v>22</v>
      </c>
    </row>
    <row r="1095" spans="1:16" ht="43.15">
      <c r="A1095" s="253" t="s">
        <v>8419</v>
      </c>
      <c r="B1095" s="402"/>
      <c r="C1095" s="76" t="s">
        <v>8236</v>
      </c>
      <c r="D1095" s="2" t="s">
        <v>8420</v>
      </c>
      <c r="E1095" s="2" t="s">
        <v>8421</v>
      </c>
      <c r="F1095" s="2" t="s">
        <v>8422</v>
      </c>
      <c r="G1095" s="2" t="s">
        <v>8423</v>
      </c>
      <c r="H1095" s="2" t="s">
        <v>8424</v>
      </c>
      <c r="I1095" s="2" t="s">
        <v>8425</v>
      </c>
      <c r="J1095" s="2" t="s">
        <v>8426</v>
      </c>
      <c r="K1095" s="2" t="s">
        <v>3629</v>
      </c>
      <c r="L1095" s="6" t="s">
        <v>1367</v>
      </c>
      <c r="M1095" s="21" t="s">
        <v>1368</v>
      </c>
      <c r="N1095" s="21" t="s">
        <v>1369</v>
      </c>
      <c r="P1095" s="21" t="s">
        <v>22</v>
      </c>
    </row>
    <row r="1096" spans="1:16" ht="57.6">
      <c r="A1096" s="253" t="s">
        <v>8427</v>
      </c>
      <c r="B1096" s="402"/>
      <c r="C1096" s="76" t="s">
        <v>8236</v>
      </c>
      <c r="D1096" s="2" t="s">
        <v>8428</v>
      </c>
      <c r="E1096" s="2" t="s">
        <v>8429</v>
      </c>
      <c r="F1096" s="2" t="s">
        <v>3633</v>
      </c>
      <c r="G1096" s="2" t="s">
        <v>8430</v>
      </c>
      <c r="H1096" s="2" t="s">
        <v>8431</v>
      </c>
      <c r="I1096" s="2" t="s">
        <v>8432</v>
      </c>
      <c r="J1096" s="2" t="s">
        <v>8433</v>
      </c>
      <c r="K1096" s="2" t="s">
        <v>8434</v>
      </c>
      <c r="L1096" s="6" t="s">
        <v>1367</v>
      </c>
      <c r="M1096" s="21" t="s">
        <v>1368</v>
      </c>
      <c r="N1096" s="21" t="s">
        <v>1369</v>
      </c>
      <c r="P1096" s="21" t="s">
        <v>22</v>
      </c>
    </row>
    <row r="1097" spans="1:16" ht="43.15">
      <c r="A1097" s="253" t="s">
        <v>8435</v>
      </c>
      <c r="B1097" s="402"/>
      <c r="C1097" s="76" t="s">
        <v>8236</v>
      </c>
      <c r="D1097" s="2" t="s">
        <v>8436</v>
      </c>
      <c r="E1097" s="2" t="s">
        <v>8437</v>
      </c>
      <c r="F1097" s="2" t="s">
        <v>8438</v>
      </c>
      <c r="G1097" s="2" t="s">
        <v>8439</v>
      </c>
      <c r="H1097" s="2" t="s">
        <v>8375</v>
      </c>
      <c r="I1097" s="2" t="s">
        <v>8440</v>
      </c>
      <c r="J1097" s="2" t="s">
        <v>3653</v>
      </c>
      <c r="K1097" s="2" t="s">
        <v>3613</v>
      </c>
      <c r="L1097" s="6" t="s">
        <v>1367</v>
      </c>
      <c r="M1097" s="21" t="s">
        <v>1368</v>
      </c>
      <c r="N1097" s="21" t="s">
        <v>1369</v>
      </c>
      <c r="P1097" s="21" t="s">
        <v>1371</v>
      </c>
    </row>
    <row r="1098" spans="1:16" ht="72">
      <c r="A1098" s="253" t="s">
        <v>8441</v>
      </c>
      <c r="B1098" s="402"/>
      <c r="C1098" s="76" t="s">
        <v>8236</v>
      </c>
      <c r="D1098" s="2" t="s">
        <v>8442</v>
      </c>
      <c r="E1098" s="2" t="s">
        <v>8443</v>
      </c>
      <c r="F1098" s="2" t="s">
        <v>8444</v>
      </c>
      <c r="G1098" s="2" t="s">
        <v>8445</v>
      </c>
      <c r="H1098" s="2" t="s">
        <v>8327</v>
      </c>
      <c r="I1098" s="2" t="s">
        <v>8446</v>
      </c>
      <c r="J1098" s="2" t="s">
        <v>8447</v>
      </c>
      <c r="K1098" s="2" t="s">
        <v>8448</v>
      </c>
      <c r="L1098" s="6" t="s">
        <v>1381</v>
      </c>
      <c r="M1098" s="21" t="s">
        <v>1368</v>
      </c>
      <c r="N1098" s="21" t="s">
        <v>1369</v>
      </c>
      <c r="P1098" s="21" t="s">
        <v>1371</v>
      </c>
    </row>
    <row r="1099" spans="1:16" ht="43.15">
      <c r="A1099" s="253" t="s">
        <v>8449</v>
      </c>
      <c r="B1099" s="402"/>
      <c r="C1099" s="76" t="s">
        <v>8236</v>
      </c>
      <c r="D1099" s="2" t="s">
        <v>8450</v>
      </c>
      <c r="E1099" s="2" t="s">
        <v>8451</v>
      </c>
      <c r="F1099" s="2" t="s">
        <v>8325</v>
      </c>
      <c r="G1099" s="2" t="s">
        <v>8452</v>
      </c>
      <c r="H1099" s="2" t="s">
        <v>8360</v>
      </c>
      <c r="I1099" s="2" t="s">
        <v>8453</v>
      </c>
      <c r="J1099" s="2" t="s">
        <v>8454</v>
      </c>
      <c r="K1099" s="2" t="s">
        <v>8455</v>
      </c>
      <c r="L1099" s="6" t="s">
        <v>1367</v>
      </c>
      <c r="M1099" s="21" t="s">
        <v>1368</v>
      </c>
      <c r="N1099" s="21" t="s">
        <v>1369</v>
      </c>
      <c r="P1099" s="21" t="s">
        <v>22</v>
      </c>
    </row>
    <row r="1100" spans="1:16" ht="28.9">
      <c r="A1100" s="253" t="s">
        <v>8456</v>
      </c>
      <c r="B1100" s="402"/>
      <c r="C1100" s="76" t="s">
        <v>8236</v>
      </c>
      <c r="D1100" s="2" t="s">
        <v>8457</v>
      </c>
      <c r="E1100" s="2" t="s">
        <v>8458</v>
      </c>
      <c r="F1100" s="2" t="s">
        <v>8459</v>
      </c>
      <c r="G1100" s="2" t="s">
        <v>8460</v>
      </c>
      <c r="H1100" s="2" t="s">
        <v>8360</v>
      </c>
      <c r="I1100" s="2" t="s">
        <v>8461</v>
      </c>
      <c r="J1100" s="2" t="s">
        <v>8462</v>
      </c>
      <c r="K1100" s="2" t="s">
        <v>8463</v>
      </c>
      <c r="L1100" s="6" t="s">
        <v>1367</v>
      </c>
      <c r="M1100" s="21" t="s">
        <v>1368</v>
      </c>
      <c r="N1100" s="21" t="s">
        <v>1369</v>
      </c>
      <c r="P1100" s="21" t="s">
        <v>22</v>
      </c>
    </row>
    <row r="1101" spans="1:16" ht="43.15">
      <c r="A1101" s="253" t="s">
        <v>8464</v>
      </c>
      <c r="B1101" s="402"/>
      <c r="C1101" s="76" t="s">
        <v>8236</v>
      </c>
      <c r="D1101" s="2" t="s">
        <v>8465</v>
      </c>
      <c r="E1101" s="2" t="s">
        <v>8466</v>
      </c>
      <c r="F1101" s="2" t="s">
        <v>8467</v>
      </c>
      <c r="G1101" s="2" t="s">
        <v>8468</v>
      </c>
      <c r="H1101" s="2" t="s">
        <v>8469</v>
      </c>
      <c r="I1101" s="2" t="s">
        <v>7683</v>
      </c>
      <c r="J1101" s="2" t="s">
        <v>8470</v>
      </c>
      <c r="K1101" s="2" t="s">
        <v>2723</v>
      </c>
      <c r="L1101" s="6" t="s">
        <v>1367</v>
      </c>
      <c r="M1101" s="21" t="s">
        <v>1368</v>
      </c>
      <c r="N1101" s="21" t="s">
        <v>1369</v>
      </c>
      <c r="P1101" s="21" t="s">
        <v>1371</v>
      </c>
    </row>
    <row r="1102" spans="1:16" ht="28.9">
      <c r="A1102" s="253" t="s">
        <v>8471</v>
      </c>
      <c r="B1102" s="402"/>
      <c r="C1102" s="76" t="s">
        <v>8236</v>
      </c>
      <c r="D1102" s="2" t="s">
        <v>8472</v>
      </c>
      <c r="E1102" s="2" t="s">
        <v>8473</v>
      </c>
      <c r="F1102" s="2" t="s">
        <v>8474</v>
      </c>
      <c r="G1102" s="2" t="s">
        <v>8475</v>
      </c>
      <c r="H1102" s="2" t="s">
        <v>8476</v>
      </c>
      <c r="I1102" s="2" t="s">
        <v>8477</v>
      </c>
      <c r="J1102" s="2" t="s">
        <v>8478</v>
      </c>
      <c r="K1102" s="2" t="s">
        <v>8479</v>
      </c>
      <c r="L1102" s="6" t="s">
        <v>1367</v>
      </c>
      <c r="M1102" s="21" t="s">
        <v>1368</v>
      </c>
      <c r="N1102" s="21" t="s">
        <v>1369</v>
      </c>
      <c r="P1102" s="21" t="s">
        <v>22</v>
      </c>
    </row>
    <row r="1103" spans="1:16" ht="43.15">
      <c r="A1103" s="253" t="s">
        <v>8480</v>
      </c>
      <c r="B1103" s="402"/>
      <c r="C1103" s="76" t="s">
        <v>8236</v>
      </c>
      <c r="D1103" s="2" t="s">
        <v>8481</v>
      </c>
      <c r="E1103" s="2" t="s">
        <v>8482</v>
      </c>
      <c r="F1103" s="2" t="s">
        <v>8483</v>
      </c>
      <c r="G1103" s="2" t="s">
        <v>8484</v>
      </c>
      <c r="H1103" s="2" t="s">
        <v>8485</v>
      </c>
      <c r="I1103" s="2" t="s">
        <v>8486</v>
      </c>
      <c r="J1103" s="2" t="s">
        <v>8487</v>
      </c>
      <c r="K1103" s="2" t="s">
        <v>8488</v>
      </c>
      <c r="L1103" s="6" t="s">
        <v>1367</v>
      </c>
      <c r="M1103" s="21" t="s">
        <v>1368</v>
      </c>
      <c r="N1103" s="21" t="s">
        <v>1369</v>
      </c>
      <c r="P1103" s="21" t="s">
        <v>1371</v>
      </c>
    </row>
    <row r="1104" spans="1:16" ht="43.15">
      <c r="A1104" s="253" t="s">
        <v>8489</v>
      </c>
      <c r="B1104" s="402"/>
      <c r="C1104" s="76" t="s">
        <v>8236</v>
      </c>
      <c r="D1104" s="2" t="s">
        <v>8490</v>
      </c>
      <c r="E1104" s="2" t="s">
        <v>8491</v>
      </c>
      <c r="F1104" s="2" t="s">
        <v>8492</v>
      </c>
      <c r="G1104" s="2" t="s">
        <v>8493</v>
      </c>
      <c r="H1104" s="2" t="s">
        <v>8494</v>
      </c>
      <c r="I1104" s="2" t="s">
        <v>8495</v>
      </c>
      <c r="J1104" s="2" t="s">
        <v>8496</v>
      </c>
      <c r="K1104" s="2" t="s">
        <v>8497</v>
      </c>
      <c r="L1104" s="6" t="s">
        <v>1367</v>
      </c>
      <c r="M1104" s="21" t="s">
        <v>1368</v>
      </c>
      <c r="N1104" s="21" t="s">
        <v>1369</v>
      </c>
      <c r="P1104" s="21" t="s">
        <v>22</v>
      </c>
    </row>
    <row r="1105" spans="1:16" ht="28.9">
      <c r="A1105" s="253" t="s">
        <v>8498</v>
      </c>
      <c r="B1105" s="402"/>
      <c r="C1105" s="76" t="s">
        <v>8236</v>
      </c>
      <c r="D1105" s="2" t="s">
        <v>8499</v>
      </c>
      <c r="E1105" s="2" t="s">
        <v>8500</v>
      </c>
      <c r="F1105" s="2" t="s">
        <v>8501</v>
      </c>
      <c r="G1105" s="2" t="s">
        <v>8502</v>
      </c>
      <c r="H1105" s="2" t="s">
        <v>8503</v>
      </c>
      <c r="I1105" s="2" t="s">
        <v>8504</v>
      </c>
      <c r="J1105" s="2" t="s">
        <v>8496</v>
      </c>
      <c r="K1105" s="2" t="s">
        <v>8505</v>
      </c>
      <c r="L1105" s="6" t="s">
        <v>1367</v>
      </c>
      <c r="M1105" s="21" t="s">
        <v>1368</v>
      </c>
      <c r="N1105" s="21" t="s">
        <v>1369</v>
      </c>
      <c r="P1105" s="21" t="s">
        <v>22</v>
      </c>
    </row>
    <row r="1106" spans="1:16" ht="28.9">
      <c r="A1106" s="253" t="s">
        <v>8506</v>
      </c>
      <c r="B1106" s="402"/>
      <c r="C1106" s="76" t="s">
        <v>8236</v>
      </c>
      <c r="D1106" s="2" t="s">
        <v>8507</v>
      </c>
      <c r="E1106" s="2" t="s">
        <v>8508</v>
      </c>
      <c r="F1106" s="2" t="s">
        <v>8509</v>
      </c>
      <c r="G1106" s="2" t="s">
        <v>8510</v>
      </c>
      <c r="H1106" s="2" t="s">
        <v>8511</v>
      </c>
      <c r="I1106" s="2" t="s">
        <v>8512</v>
      </c>
      <c r="J1106" s="2" t="s">
        <v>1843</v>
      </c>
      <c r="K1106" s="2" t="s">
        <v>1844</v>
      </c>
      <c r="L1106" s="6" t="s">
        <v>1367</v>
      </c>
      <c r="M1106" s="21" t="s">
        <v>1368</v>
      </c>
      <c r="N1106" s="21" t="s">
        <v>1369</v>
      </c>
      <c r="P1106" s="21" t="s">
        <v>1371</v>
      </c>
    </row>
    <row r="1107" spans="1:16" ht="43.15">
      <c r="A1107" s="253" t="s">
        <v>8513</v>
      </c>
      <c r="B1107" s="402"/>
      <c r="C1107" s="76" t="s">
        <v>8236</v>
      </c>
      <c r="D1107" s="2" t="s">
        <v>8514</v>
      </c>
      <c r="E1107" s="2" t="s">
        <v>8515</v>
      </c>
      <c r="F1107" s="2" t="s">
        <v>8516</v>
      </c>
      <c r="G1107" s="2" t="s">
        <v>8517</v>
      </c>
      <c r="H1107" s="2" t="s">
        <v>8518</v>
      </c>
      <c r="I1107" s="2" t="s">
        <v>8519</v>
      </c>
      <c r="J1107" s="2" t="s">
        <v>8520</v>
      </c>
      <c r="K1107" s="2" t="s">
        <v>8521</v>
      </c>
      <c r="L1107" s="6" t="s">
        <v>1367</v>
      </c>
      <c r="M1107" s="21" t="s">
        <v>1368</v>
      </c>
      <c r="N1107" s="21" t="s">
        <v>1369</v>
      </c>
      <c r="P1107" s="21" t="s">
        <v>1371</v>
      </c>
    </row>
    <row r="1108" spans="1:16" ht="43.15">
      <c r="A1108" s="253" t="s">
        <v>8522</v>
      </c>
      <c r="B1108" s="402"/>
      <c r="C1108" s="76" t="s">
        <v>8236</v>
      </c>
      <c r="D1108" s="2" t="s">
        <v>8523</v>
      </c>
      <c r="E1108" s="2" t="s">
        <v>8524</v>
      </c>
      <c r="F1108" s="2" t="s">
        <v>8525</v>
      </c>
      <c r="G1108" s="2" t="s">
        <v>8526</v>
      </c>
      <c r="H1108" s="2" t="s">
        <v>8527</v>
      </c>
      <c r="I1108" s="2" t="s">
        <v>8528</v>
      </c>
      <c r="J1108" s="2" t="s">
        <v>8529</v>
      </c>
      <c r="K1108" s="2" t="s">
        <v>8321</v>
      </c>
      <c r="L1108" s="6" t="s">
        <v>1367</v>
      </c>
      <c r="M1108" s="21" t="s">
        <v>1368</v>
      </c>
      <c r="N1108" s="21" t="s">
        <v>1369</v>
      </c>
      <c r="P1108" s="21" t="s">
        <v>22</v>
      </c>
    </row>
    <row r="1109" spans="1:16" ht="28.9">
      <c r="A1109" s="253" t="s">
        <v>8530</v>
      </c>
      <c r="B1109" s="402"/>
      <c r="C1109" s="76" t="s">
        <v>8236</v>
      </c>
      <c r="D1109" s="2" t="s">
        <v>8531</v>
      </c>
      <c r="E1109" s="2" t="s">
        <v>8532</v>
      </c>
      <c r="F1109" s="2" t="s">
        <v>8533</v>
      </c>
      <c r="G1109" s="2" t="s">
        <v>8534</v>
      </c>
      <c r="H1109" s="2" t="s">
        <v>8535</v>
      </c>
      <c r="I1109" s="2" t="s">
        <v>8536</v>
      </c>
      <c r="J1109" s="2" t="s">
        <v>8537</v>
      </c>
      <c r="K1109" s="2" t="s">
        <v>8536</v>
      </c>
      <c r="L1109" s="6" t="s">
        <v>1367</v>
      </c>
      <c r="M1109" s="21" t="s">
        <v>1368</v>
      </c>
      <c r="N1109" s="21" t="s">
        <v>1369</v>
      </c>
      <c r="P1109" s="21" t="s">
        <v>1371</v>
      </c>
    </row>
    <row r="1110" spans="1:16" ht="43.15">
      <c r="A1110" s="253" t="s">
        <v>8538</v>
      </c>
      <c r="B1110" s="402"/>
      <c r="C1110" s="76" t="s">
        <v>8236</v>
      </c>
      <c r="D1110" s="2" t="s">
        <v>8539</v>
      </c>
      <c r="E1110" s="2" t="s">
        <v>8540</v>
      </c>
      <c r="F1110" s="2" t="s">
        <v>8541</v>
      </c>
      <c r="G1110" s="2" t="s">
        <v>8542</v>
      </c>
      <c r="H1110" s="2" t="s">
        <v>8543</v>
      </c>
      <c r="I1110" s="2" t="s">
        <v>8544</v>
      </c>
      <c r="J1110" s="2" t="s">
        <v>8545</v>
      </c>
      <c r="K1110" s="2" t="s">
        <v>8546</v>
      </c>
      <c r="L1110" s="6" t="s">
        <v>1367</v>
      </c>
      <c r="M1110" s="21" t="s">
        <v>1368</v>
      </c>
      <c r="N1110" s="21" t="s">
        <v>1369</v>
      </c>
      <c r="P1110" s="21" t="s">
        <v>22</v>
      </c>
    </row>
    <row r="1111" spans="1:16" ht="43.15">
      <c r="A1111" s="253" t="s">
        <v>8547</v>
      </c>
      <c r="B1111" s="402"/>
      <c r="C1111" s="76" t="s">
        <v>8236</v>
      </c>
      <c r="D1111" s="2" t="s">
        <v>8548</v>
      </c>
      <c r="E1111" s="2" t="s">
        <v>8549</v>
      </c>
      <c r="F1111" s="2" t="s">
        <v>8325</v>
      </c>
      <c r="G1111" s="2" t="s">
        <v>8550</v>
      </c>
      <c r="H1111" s="2" t="s">
        <v>8551</v>
      </c>
      <c r="I1111" s="2" t="s">
        <v>8552</v>
      </c>
      <c r="J1111" s="2" t="s">
        <v>8270</v>
      </c>
      <c r="K1111" s="2" t="s">
        <v>3719</v>
      </c>
      <c r="L1111" s="6" t="s">
        <v>1367</v>
      </c>
      <c r="M1111" s="21" t="s">
        <v>1368</v>
      </c>
      <c r="N1111" s="21" t="s">
        <v>1369</v>
      </c>
      <c r="P1111" s="21" t="s">
        <v>22</v>
      </c>
    </row>
    <row r="1112" spans="1:16" ht="43.15">
      <c r="A1112" s="253" t="s">
        <v>8553</v>
      </c>
      <c r="B1112" s="402"/>
      <c r="C1112" s="76" t="s">
        <v>8236</v>
      </c>
      <c r="D1112" s="2" t="s">
        <v>8554</v>
      </c>
      <c r="E1112" s="2" t="s">
        <v>8555</v>
      </c>
      <c r="F1112" s="2" t="s">
        <v>8556</v>
      </c>
      <c r="G1112" s="2" t="s">
        <v>8557</v>
      </c>
      <c r="H1112" s="2" t="s">
        <v>8558</v>
      </c>
      <c r="I1112" s="2" t="s">
        <v>8559</v>
      </c>
      <c r="J1112" s="2" t="s">
        <v>8560</v>
      </c>
      <c r="K1112" s="2" t="s">
        <v>8561</v>
      </c>
      <c r="L1112" s="6" t="s">
        <v>1367</v>
      </c>
      <c r="M1112" s="21" t="s">
        <v>1368</v>
      </c>
      <c r="N1112" s="21" t="s">
        <v>1369</v>
      </c>
      <c r="P1112" s="21" t="s">
        <v>1371</v>
      </c>
    </row>
    <row r="1113" spans="1:16" ht="28.9">
      <c r="A1113" s="253" t="s">
        <v>8562</v>
      </c>
      <c r="B1113" s="402"/>
      <c r="C1113" s="76" t="s">
        <v>8236</v>
      </c>
      <c r="D1113" s="2" t="s">
        <v>8563</v>
      </c>
      <c r="E1113" s="2" t="s">
        <v>8564</v>
      </c>
      <c r="F1113" s="2" t="s">
        <v>8565</v>
      </c>
      <c r="G1113" s="2" t="s">
        <v>8566</v>
      </c>
      <c r="H1113" s="2" t="s">
        <v>8567</v>
      </c>
      <c r="I1113" s="2" t="s">
        <v>3358</v>
      </c>
      <c r="J1113" s="2" t="s">
        <v>3359</v>
      </c>
      <c r="K1113" s="2" t="s">
        <v>3360</v>
      </c>
      <c r="L1113" s="6" t="s">
        <v>1367</v>
      </c>
      <c r="M1113" s="21" t="s">
        <v>1368</v>
      </c>
      <c r="N1113" s="21" t="s">
        <v>1369</v>
      </c>
      <c r="P1113" s="21" t="s">
        <v>22</v>
      </c>
    </row>
    <row r="1114" spans="1:16" ht="43.15">
      <c r="A1114" s="253" t="s">
        <v>8568</v>
      </c>
      <c r="B1114" s="402"/>
      <c r="C1114" s="76" t="s">
        <v>8236</v>
      </c>
      <c r="D1114" s="2" t="s">
        <v>8569</v>
      </c>
      <c r="E1114" s="2" t="s">
        <v>8570</v>
      </c>
      <c r="F1114" s="2" t="s">
        <v>8571</v>
      </c>
      <c r="G1114" s="2" t="s">
        <v>8572</v>
      </c>
      <c r="H1114" s="2" t="s">
        <v>8573</v>
      </c>
      <c r="I1114" s="2" t="s">
        <v>8574</v>
      </c>
      <c r="J1114" s="2" t="s">
        <v>8575</v>
      </c>
      <c r="K1114" s="2" t="s">
        <v>3369</v>
      </c>
      <c r="L1114" s="6" t="s">
        <v>1367</v>
      </c>
      <c r="M1114" s="21" t="s">
        <v>1368</v>
      </c>
      <c r="N1114" s="21" t="s">
        <v>1369</v>
      </c>
      <c r="P1114" s="21" t="s">
        <v>22</v>
      </c>
    </row>
    <row r="1115" spans="1:16" ht="43.15">
      <c r="A1115" s="253" t="s">
        <v>8576</v>
      </c>
      <c r="B1115" s="402"/>
      <c r="C1115" s="76" t="s">
        <v>8236</v>
      </c>
      <c r="D1115" s="2" t="s">
        <v>8577</v>
      </c>
      <c r="E1115" s="2" t="s">
        <v>8578</v>
      </c>
      <c r="F1115" s="2" t="s">
        <v>8579</v>
      </c>
      <c r="G1115" s="2" t="s">
        <v>8580</v>
      </c>
      <c r="H1115" s="2" t="s">
        <v>8581</v>
      </c>
      <c r="I1115" s="2" t="s">
        <v>8582</v>
      </c>
      <c r="J1115" s="2" t="s">
        <v>8583</v>
      </c>
      <c r="K1115" s="2" t="s">
        <v>3326</v>
      </c>
      <c r="L1115" s="6" t="s">
        <v>1367</v>
      </c>
      <c r="M1115" s="21" t="s">
        <v>1368</v>
      </c>
      <c r="N1115" s="21" t="s">
        <v>1369</v>
      </c>
      <c r="P1115" s="21" t="s">
        <v>1371</v>
      </c>
    </row>
    <row r="1116" spans="1:16" ht="57.6">
      <c r="A1116" s="253" t="s">
        <v>8584</v>
      </c>
      <c r="B1116" s="402"/>
      <c r="C1116" s="76" t="s">
        <v>8236</v>
      </c>
      <c r="D1116" s="2" t="s">
        <v>8585</v>
      </c>
      <c r="E1116" s="2" t="s">
        <v>8586</v>
      </c>
      <c r="F1116" s="2" t="s">
        <v>8587</v>
      </c>
      <c r="G1116" s="2" t="s">
        <v>8588</v>
      </c>
      <c r="H1116" s="2" t="s">
        <v>8589</v>
      </c>
      <c r="I1116" s="2" t="s">
        <v>8590</v>
      </c>
      <c r="J1116" s="2" t="s">
        <v>8591</v>
      </c>
      <c r="K1116" s="2" t="s">
        <v>3369</v>
      </c>
      <c r="L1116" s="6" t="s">
        <v>1367</v>
      </c>
      <c r="M1116" s="21" t="s">
        <v>1368</v>
      </c>
      <c r="N1116" s="21" t="s">
        <v>1369</v>
      </c>
      <c r="P1116" s="21" t="s">
        <v>22</v>
      </c>
    </row>
    <row r="1117" spans="1:16" ht="43.15">
      <c r="A1117" s="253" t="s">
        <v>8592</v>
      </c>
      <c r="B1117" s="402"/>
      <c r="C1117" s="76" t="s">
        <v>8236</v>
      </c>
      <c r="D1117" s="2" t="s">
        <v>8593</v>
      </c>
      <c r="E1117" s="2" t="s">
        <v>8594</v>
      </c>
      <c r="F1117" s="2" t="s">
        <v>8595</v>
      </c>
      <c r="G1117" s="2" t="s">
        <v>8596</v>
      </c>
      <c r="H1117" s="2" t="s">
        <v>8597</v>
      </c>
      <c r="I1117" s="2" t="s">
        <v>8598</v>
      </c>
      <c r="J1117" s="2" t="s">
        <v>8599</v>
      </c>
      <c r="K1117" s="2" t="s">
        <v>3326</v>
      </c>
      <c r="L1117" s="6" t="s">
        <v>1367</v>
      </c>
      <c r="M1117" s="21" t="s">
        <v>1368</v>
      </c>
      <c r="N1117" s="21" t="s">
        <v>1369</v>
      </c>
      <c r="P1117" s="21" t="s">
        <v>1371</v>
      </c>
    </row>
    <row r="1118" spans="1:16" ht="43.15">
      <c r="A1118" s="253" t="s">
        <v>8600</v>
      </c>
      <c r="B1118" s="402"/>
      <c r="C1118" s="76" t="s">
        <v>8236</v>
      </c>
      <c r="D1118" s="2" t="s">
        <v>8601</v>
      </c>
      <c r="E1118" s="2" t="s">
        <v>8602</v>
      </c>
      <c r="F1118" s="2" t="s">
        <v>8603</v>
      </c>
      <c r="G1118" s="2" t="s">
        <v>8604</v>
      </c>
      <c r="H1118" s="2" t="s">
        <v>8605</v>
      </c>
      <c r="I1118" s="2" t="s">
        <v>8606</v>
      </c>
      <c r="J1118" s="2" t="s">
        <v>8607</v>
      </c>
      <c r="K1118" s="2" t="s">
        <v>8608</v>
      </c>
      <c r="L1118" s="6" t="s">
        <v>1367</v>
      </c>
      <c r="M1118" s="21" t="s">
        <v>1368</v>
      </c>
      <c r="N1118" s="21" t="s">
        <v>1369</v>
      </c>
      <c r="P1118" s="21" t="s">
        <v>22</v>
      </c>
    </row>
    <row r="1119" spans="1:16" ht="43.15">
      <c r="A1119" s="253" t="s">
        <v>8609</v>
      </c>
      <c r="B1119" s="402"/>
      <c r="C1119" s="76" t="s">
        <v>8236</v>
      </c>
      <c r="D1119" s="2" t="s">
        <v>8610</v>
      </c>
      <c r="E1119" s="2" t="s">
        <v>8611</v>
      </c>
      <c r="F1119" s="2" t="s">
        <v>8612</v>
      </c>
      <c r="G1119" s="2" t="s">
        <v>8613</v>
      </c>
      <c r="H1119" s="2" t="s">
        <v>8614</v>
      </c>
      <c r="I1119" s="2" t="s">
        <v>8615</v>
      </c>
      <c r="J1119" s="2" t="s">
        <v>8616</v>
      </c>
      <c r="K1119" s="2" t="s">
        <v>8617</v>
      </c>
      <c r="L1119" s="6" t="s">
        <v>1367</v>
      </c>
      <c r="M1119" s="21" t="s">
        <v>1368</v>
      </c>
      <c r="N1119" s="21" t="s">
        <v>1369</v>
      </c>
      <c r="P1119" s="21" t="s">
        <v>22</v>
      </c>
    </row>
    <row r="1120" spans="1:16" ht="43.15">
      <c r="A1120" s="253" t="s">
        <v>8618</v>
      </c>
      <c r="B1120" s="402"/>
      <c r="C1120" s="76" t="s">
        <v>8236</v>
      </c>
      <c r="D1120" s="2" t="s">
        <v>8619</v>
      </c>
      <c r="E1120" s="2" t="s">
        <v>8620</v>
      </c>
      <c r="F1120" s="2" t="s">
        <v>8621</v>
      </c>
      <c r="G1120" s="2" t="s">
        <v>8622</v>
      </c>
      <c r="H1120" s="2" t="s">
        <v>8623</v>
      </c>
      <c r="I1120" s="2" t="s">
        <v>8624</v>
      </c>
      <c r="J1120" s="2" t="s">
        <v>8625</v>
      </c>
      <c r="K1120" s="2" t="s">
        <v>8626</v>
      </c>
      <c r="L1120" s="6" t="s">
        <v>1367</v>
      </c>
      <c r="M1120" s="21" t="s">
        <v>1368</v>
      </c>
      <c r="N1120" s="21" t="s">
        <v>1369</v>
      </c>
      <c r="P1120" s="21" t="s">
        <v>1371</v>
      </c>
    </row>
    <row r="1121" spans="1:19" ht="43.15">
      <c r="A1121" s="253" t="s">
        <v>8627</v>
      </c>
      <c r="B1121" s="402"/>
      <c r="C1121" s="76" t="s">
        <v>8236</v>
      </c>
      <c r="D1121" s="2" t="s">
        <v>8628</v>
      </c>
      <c r="E1121" s="2" t="s">
        <v>8629</v>
      </c>
      <c r="F1121" s="2" t="s">
        <v>8630</v>
      </c>
      <c r="G1121" s="2" t="s">
        <v>8631</v>
      </c>
      <c r="H1121" s="2" t="s">
        <v>8632</v>
      </c>
      <c r="I1121" s="2" t="s">
        <v>8633</v>
      </c>
      <c r="J1121" s="2" t="s">
        <v>8634</v>
      </c>
      <c r="K1121" s="2" t="s">
        <v>8635</v>
      </c>
      <c r="L1121" s="6" t="s">
        <v>1367</v>
      </c>
      <c r="M1121" s="21" t="s">
        <v>1368</v>
      </c>
      <c r="N1121" s="21" t="s">
        <v>1369</v>
      </c>
      <c r="P1121" s="21" t="s">
        <v>22</v>
      </c>
      <c r="S1121" s="52"/>
    </row>
    <row r="1122" spans="1:19" ht="28.9">
      <c r="A1122" s="253" t="s">
        <v>8636</v>
      </c>
      <c r="B1122" s="402"/>
      <c r="C1122" s="76" t="s">
        <v>8236</v>
      </c>
      <c r="D1122" s="2" t="s">
        <v>8637</v>
      </c>
      <c r="E1122" s="2" t="s">
        <v>8638</v>
      </c>
      <c r="F1122" s="2" t="s">
        <v>8639</v>
      </c>
      <c r="G1122" s="2" t="s">
        <v>8640</v>
      </c>
      <c r="H1122" s="2" t="s">
        <v>8641</v>
      </c>
      <c r="I1122" s="2" t="s">
        <v>8642</v>
      </c>
      <c r="J1122" s="2" t="s">
        <v>8643</v>
      </c>
      <c r="K1122" s="2" t="s">
        <v>8644</v>
      </c>
      <c r="L1122" s="6" t="s">
        <v>1367</v>
      </c>
      <c r="M1122" s="21" t="s">
        <v>1368</v>
      </c>
      <c r="N1122" s="21" t="s">
        <v>1369</v>
      </c>
      <c r="P1122" s="21" t="s">
        <v>22</v>
      </c>
      <c r="S1122" s="52"/>
    </row>
    <row r="1123" spans="1:19" ht="43.15">
      <c r="A1123" s="253" t="s">
        <v>8645</v>
      </c>
      <c r="B1123" s="402"/>
      <c r="C1123" s="76" t="s">
        <v>8236</v>
      </c>
      <c r="D1123" s="2" t="s">
        <v>8646</v>
      </c>
      <c r="E1123" s="2" t="s">
        <v>8647</v>
      </c>
      <c r="F1123" s="2" t="s">
        <v>8648</v>
      </c>
      <c r="G1123" s="2" t="s">
        <v>8649</v>
      </c>
      <c r="H1123" s="2" t="s">
        <v>8650</v>
      </c>
      <c r="I1123" s="2" t="s">
        <v>8651</v>
      </c>
      <c r="J1123" s="2" t="s">
        <v>8652</v>
      </c>
      <c r="K1123" s="2" t="s">
        <v>8652</v>
      </c>
      <c r="L1123" s="6" t="s">
        <v>1367</v>
      </c>
      <c r="M1123" s="21" t="s">
        <v>1368</v>
      </c>
      <c r="N1123" s="21" t="s">
        <v>1369</v>
      </c>
      <c r="P1123" s="21" t="s">
        <v>1371</v>
      </c>
      <c r="S1123" s="52"/>
    </row>
    <row r="1124" spans="1:19" ht="57.6">
      <c r="A1124" s="253" t="s">
        <v>8653</v>
      </c>
      <c r="B1124" s="402"/>
      <c r="C1124" s="76" t="s">
        <v>8236</v>
      </c>
      <c r="D1124" s="2" t="s">
        <v>8654</v>
      </c>
      <c r="E1124" s="2" t="s">
        <v>8655</v>
      </c>
      <c r="F1124" s="2" t="s">
        <v>8656</v>
      </c>
      <c r="G1124" s="2" t="s">
        <v>8657</v>
      </c>
      <c r="H1124" s="2" t="s">
        <v>8658</v>
      </c>
      <c r="I1124" s="2" t="s">
        <v>8659</v>
      </c>
      <c r="J1124" s="2" t="s">
        <v>8660</v>
      </c>
      <c r="K1124" s="2" t="s">
        <v>8661</v>
      </c>
      <c r="L1124" s="6" t="s">
        <v>1367</v>
      </c>
      <c r="M1124" s="21" t="s">
        <v>1368</v>
      </c>
      <c r="N1124" s="21" t="s">
        <v>1369</v>
      </c>
      <c r="P1124" s="21" t="s">
        <v>1371</v>
      </c>
      <c r="S1124" s="52"/>
    </row>
    <row r="1125" spans="1:19" ht="43.15">
      <c r="A1125" s="253" t="s">
        <v>8662</v>
      </c>
      <c r="B1125" s="402"/>
      <c r="C1125" s="21" t="s">
        <v>8663</v>
      </c>
      <c r="D1125" s="2" t="s">
        <v>8664</v>
      </c>
      <c r="E1125" s="2" t="s">
        <v>8665</v>
      </c>
      <c r="F1125" s="2" t="s">
        <v>8666</v>
      </c>
      <c r="G1125" s="2" t="s">
        <v>8667</v>
      </c>
      <c r="H1125" s="2" t="s">
        <v>1442</v>
      </c>
      <c r="I1125" s="2" t="s">
        <v>8668</v>
      </c>
      <c r="J1125" s="2" t="s">
        <v>8669</v>
      </c>
      <c r="K1125" s="2" t="s">
        <v>8670</v>
      </c>
      <c r="L1125" s="6" t="s">
        <v>1367</v>
      </c>
      <c r="M1125" s="21" t="s">
        <v>1368</v>
      </c>
      <c r="N1125" s="21" t="s">
        <v>1369</v>
      </c>
      <c r="O1125" t="s">
        <v>8671</v>
      </c>
      <c r="P1125" s="21" t="s">
        <v>22</v>
      </c>
      <c r="Q1125" t="s">
        <v>8672</v>
      </c>
    </row>
    <row r="1126" spans="1:19" ht="57.6">
      <c r="A1126" s="253" t="s">
        <v>8673</v>
      </c>
      <c r="B1126" s="402"/>
      <c r="C1126" s="21" t="s">
        <v>8674</v>
      </c>
      <c r="D1126" s="2" t="s">
        <v>8675</v>
      </c>
      <c r="E1126" s="2" t="s">
        <v>8676</v>
      </c>
      <c r="F1126" s="2" t="s">
        <v>8677</v>
      </c>
      <c r="G1126" s="2" t="s">
        <v>8678</v>
      </c>
      <c r="H1126" s="2" t="s">
        <v>8679</v>
      </c>
      <c r="I1126" s="2" t="s">
        <v>8680</v>
      </c>
      <c r="J1126" s="2" t="s">
        <v>8681</v>
      </c>
      <c r="K1126" s="2" t="s">
        <v>8682</v>
      </c>
      <c r="L1126" s="6" t="s">
        <v>1367</v>
      </c>
      <c r="M1126" s="21" t="s">
        <v>1368</v>
      </c>
      <c r="N1126" s="21" t="s">
        <v>1369</v>
      </c>
      <c r="O1126" t="s">
        <v>8671</v>
      </c>
      <c r="P1126" s="21" t="s">
        <v>22</v>
      </c>
      <c r="Q1126" t="s">
        <v>8672</v>
      </c>
    </row>
    <row r="1127" spans="1:19" ht="57.6">
      <c r="A1127" s="253" t="s">
        <v>8683</v>
      </c>
      <c r="B1127" s="402"/>
      <c r="C1127" s="21" t="s">
        <v>8674</v>
      </c>
      <c r="D1127" s="2" t="s">
        <v>8684</v>
      </c>
      <c r="E1127" s="2" t="s">
        <v>8685</v>
      </c>
      <c r="F1127" s="2" t="s">
        <v>8686</v>
      </c>
      <c r="G1127" s="2" t="s">
        <v>8687</v>
      </c>
      <c r="H1127" s="2" t="s">
        <v>8688</v>
      </c>
      <c r="I1127" s="2" t="s">
        <v>8689</v>
      </c>
      <c r="J1127" s="2" t="s">
        <v>8690</v>
      </c>
      <c r="K1127" s="2" t="s">
        <v>8691</v>
      </c>
      <c r="L1127" s="6" t="s">
        <v>1367</v>
      </c>
      <c r="M1127" s="21" t="s">
        <v>1368</v>
      </c>
      <c r="N1127" s="21" t="s">
        <v>1369</v>
      </c>
      <c r="O1127" t="s">
        <v>8671</v>
      </c>
      <c r="P1127" s="21" t="s">
        <v>22</v>
      </c>
      <c r="Q1127" t="s">
        <v>8672</v>
      </c>
    </row>
    <row r="1128" spans="1:19" ht="43.15">
      <c r="A1128" s="253" t="s">
        <v>8692</v>
      </c>
      <c r="B1128" s="402"/>
      <c r="C1128" s="21" t="s">
        <v>8674</v>
      </c>
      <c r="D1128" s="2" t="s">
        <v>8693</v>
      </c>
      <c r="E1128" s="2" t="s">
        <v>8694</v>
      </c>
      <c r="F1128" s="2" t="s">
        <v>8695</v>
      </c>
      <c r="G1128" s="2" t="s">
        <v>7583</v>
      </c>
      <c r="H1128" s="2" t="s">
        <v>8696</v>
      </c>
      <c r="I1128" s="2" t="s">
        <v>8697</v>
      </c>
      <c r="J1128" s="2" t="s">
        <v>8698</v>
      </c>
      <c r="K1128" s="2" t="s">
        <v>8699</v>
      </c>
      <c r="L1128" s="6" t="s">
        <v>1367</v>
      </c>
      <c r="M1128" s="21" t="s">
        <v>1368</v>
      </c>
      <c r="N1128" s="21" t="s">
        <v>1369</v>
      </c>
      <c r="O1128" t="s">
        <v>8671</v>
      </c>
      <c r="P1128" s="21" t="s">
        <v>22</v>
      </c>
      <c r="Q1128" t="s">
        <v>8672</v>
      </c>
    </row>
    <row r="1129" spans="1:19" ht="43.15">
      <c r="A1129" s="253" t="s">
        <v>8700</v>
      </c>
      <c r="B1129" s="402"/>
      <c r="C1129" s="21" t="s">
        <v>8674</v>
      </c>
      <c r="D1129" s="2" t="s">
        <v>8701</v>
      </c>
      <c r="E1129" s="2" t="s">
        <v>8702</v>
      </c>
      <c r="F1129" s="2" t="s">
        <v>8703</v>
      </c>
      <c r="G1129" s="2" t="s">
        <v>8704</v>
      </c>
      <c r="H1129" s="2" t="s">
        <v>8705</v>
      </c>
      <c r="I1129" s="2" t="s">
        <v>8706</v>
      </c>
      <c r="J1129" s="2" t="s">
        <v>8707</v>
      </c>
      <c r="K1129" s="2" t="s">
        <v>8708</v>
      </c>
      <c r="L1129" s="6" t="s">
        <v>1367</v>
      </c>
      <c r="M1129" s="21" t="s">
        <v>1368</v>
      </c>
      <c r="N1129" s="21" t="s">
        <v>1369</v>
      </c>
      <c r="O1129" t="s">
        <v>8671</v>
      </c>
      <c r="P1129" s="21" t="s">
        <v>1371</v>
      </c>
      <c r="Q1129" t="s">
        <v>8672</v>
      </c>
    </row>
    <row r="1130" spans="1:19" ht="28.9">
      <c r="A1130" s="253" t="s">
        <v>8709</v>
      </c>
      <c r="B1130" s="402"/>
      <c r="C1130" s="21" t="s">
        <v>8674</v>
      </c>
      <c r="D1130" s="2" t="s">
        <v>8710</v>
      </c>
      <c r="E1130" s="2" t="s">
        <v>8711</v>
      </c>
      <c r="F1130" s="2" t="s">
        <v>8712</v>
      </c>
      <c r="G1130" s="2" t="s">
        <v>8713</v>
      </c>
      <c r="H1130" s="2" t="s">
        <v>8714</v>
      </c>
      <c r="I1130" s="2" t="s">
        <v>8715</v>
      </c>
      <c r="J1130" s="2" t="s">
        <v>8716</v>
      </c>
      <c r="K1130" s="2" t="s">
        <v>8717</v>
      </c>
      <c r="L1130" s="6" t="s">
        <v>1367</v>
      </c>
      <c r="M1130" s="21" t="s">
        <v>1368</v>
      </c>
      <c r="N1130" s="21" t="s">
        <v>1369</v>
      </c>
      <c r="O1130" t="s">
        <v>8671</v>
      </c>
      <c r="P1130" s="21" t="s">
        <v>1371</v>
      </c>
      <c r="Q1130" t="s">
        <v>8672</v>
      </c>
    </row>
    <row r="1131" spans="1:19" ht="43.15">
      <c r="A1131" s="253" t="s">
        <v>8718</v>
      </c>
      <c r="B1131" s="402"/>
      <c r="C1131" s="21" t="s">
        <v>8674</v>
      </c>
      <c r="D1131" s="2" t="s">
        <v>8719</v>
      </c>
      <c r="E1131" s="2" t="s">
        <v>8720</v>
      </c>
      <c r="F1131" s="2" t="s">
        <v>8721</v>
      </c>
      <c r="G1131" s="2" t="s">
        <v>8722</v>
      </c>
      <c r="H1131" s="2" t="s">
        <v>8723</v>
      </c>
      <c r="I1131" s="2" t="s">
        <v>8724</v>
      </c>
      <c r="J1131" s="2" t="s">
        <v>8725</v>
      </c>
      <c r="K1131" s="2" t="s">
        <v>8726</v>
      </c>
      <c r="L1131" s="6" t="s">
        <v>1367</v>
      </c>
      <c r="M1131" s="21" t="s">
        <v>1368</v>
      </c>
      <c r="N1131" s="21" t="s">
        <v>1369</v>
      </c>
      <c r="O1131" t="s">
        <v>8671</v>
      </c>
      <c r="P1131" s="21" t="s">
        <v>1371</v>
      </c>
      <c r="Q1131" t="s">
        <v>8672</v>
      </c>
    </row>
    <row r="1132" spans="1:19" ht="43.15">
      <c r="A1132" s="253" t="s">
        <v>8727</v>
      </c>
      <c r="B1132" s="402"/>
      <c r="C1132" s="21" t="s">
        <v>8674</v>
      </c>
      <c r="D1132" s="2" t="s">
        <v>8728</v>
      </c>
      <c r="E1132" s="2" t="s">
        <v>8729</v>
      </c>
      <c r="F1132" s="2" t="s">
        <v>8730</v>
      </c>
      <c r="G1132" s="2" t="s">
        <v>8731</v>
      </c>
      <c r="H1132" s="2" t="s">
        <v>8732</v>
      </c>
      <c r="I1132" s="2" t="s">
        <v>8733</v>
      </c>
      <c r="J1132" s="2" t="s">
        <v>8734</v>
      </c>
      <c r="K1132" s="2" t="s">
        <v>8735</v>
      </c>
      <c r="L1132" s="6" t="s">
        <v>1367</v>
      </c>
      <c r="M1132" s="21" t="s">
        <v>1368</v>
      </c>
      <c r="N1132" s="21" t="s">
        <v>1369</v>
      </c>
      <c r="O1132" t="s">
        <v>8671</v>
      </c>
      <c r="P1132" s="21" t="s">
        <v>22</v>
      </c>
      <c r="Q1132" t="s">
        <v>8672</v>
      </c>
    </row>
    <row r="1133" spans="1:19" ht="43.15">
      <c r="A1133" s="253" t="s">
        <v>8736</v>
      </c>
      <c r="B1133" s="402"/>
      <c r="C1133" s="21" t="s">
        <v>8674</v>
      </c>
      <c r="D1133" s="2" t="s">
        <v>8737</v>
      </c>
      <c r="E1133" s="2" t="s">
        <v>8738</v>
      </c>
      <c r="F1133" s="2" t="s">
        <v>8739</v>
      </c>
      <c r="G1133" s="2" t="s">
        <v>8740</v>
      </c>
      <c r="H1133" s="2" t="s">
        <v>8741</v>
      </c>
      <c r="I1133" s="2" t="s">
        <v>8742</v>
      </c>
      <c r="J1133" s="2" t="s">
        <v>8743</v>
      </c>
      <c r="K1133" s="2" t="s">
        <v>8744</v>
      </c>
      <c r="L1133" s="6" t="s">
        <v>1367</v>
      </c>
      <c r="M1133" s="21" t="s">
        <v>1368</v>
      </c>
      <c r="N1133" s="21" t="s">
        <v>1369</v>
      </c>
      <c r="O1133" t="s">
        <v>8671</v>
      </c>
      <c r="P1133" s="21" t="s">
        <v>22</v>
      </c>
      <c r="Q1133" t="s">
        <v>8672</v>
      </c>
    </row>
    <row r="1134" spans="1:19" ht="43.15">
      <c r="A1134" s="253" t="s">
        <v>8745</v>
      </c>
      <c r="B1134" s="402"/>
      <c r="C1134" s="21" t="s">
        <v>8674</v>
      </c>
      <c r="D1134" s="2" t="s">
        <v>8746</v>
      </c>
      <c r="E1134" s="2" t="s">
        <v>8747</v>
      </c>
      <c r="F1134" s="2" t="s">
        <v>8748</v>
      </c>
      <c r="G1134" s="2" t="s">
        <v>8749</v>
      </c>
      <c r="H1134" s="2" t="s">
        <v>8750</v>
      </c>
      <c r="I1134" s="2" t="s">
        <v>8751</v>
      </c>
      <c r="J1134" s="2" t="s">
        <v>8752</v>
      </c>
      <c r="K1134" s="2" t="s">
        <v>8753</v>
      </c>
      <c r="L1134" s="6" t="s">
        <v>1367</v>
      </c>
      <c r="M1134" s="21" t="s">
        <v>1368</v>
      </c>
      <c r="N1134" s="21" t="s">
        <v>1369</v>
      </c>
      <c r="O1134" t="s">
        <v>8671</v>
      </c>
      <c r="P1134" s="21" t="s">
        <v>22</v>
      </c>
      <c r="Q1134" t="s">
        <v>8672</v>
      </c>
    </row>
    <row r="1135" spans="1:19" ht="43.15">
      <c r="A1135" s="253" t="s">
        <v>8754</v>
      </c>
      <c r="B1135" s="402"/>
      <c r="C1135" s="21" t="s">
        <v>8674</v>
      </c>
      <c r="D1135" s="2" t="s">
        <v>8755</v>
      </c>
      <c r="E1135" s="2" t="s">
        <v>8756</v>
      </c>
      <c r="F1135" s="2" t="s">
        <v>8748</v>
      </c>
      <c r="G1135" s="2" t="s">
        <v>8757</v>
      </c>
      <c r="H1135" s="2" t="s">
        <v>8741</v>
      </c>
      <c r="I1135" s="2" t="s">
        <v>8758</v>
      </c>
      <c r="J1135" s="2" t="s">
        <v>8759</v>
      </c>
      <c r="K1135" s="2" t="s">
        <v>8760</v>
      </c>
      <c r="L1135" s="6" t="s">
        <v>1367</v>
      </c>
      <c r="M1135" s="21" t="s">
        <v>1368</v>
      </c>
      <c r="N1135" s="21" t="s">
        <v>1369</v>
      </c>
      <c r="O1135" t="s">
        <v>8671</v>
      </c>
      <c r="P1135" s="21" t="s">
        <v>22</v>
      </c>
      <c r="Q1135" t="s">
        <v>8672</v>
      </c>
    </row>
    <row r="1136" spans="1:19" ht="43.15">
      <c r="A1136" s="253" t="s">
        <v>8761</v>
      </c>
      <c r="B1136" s="402"/>
      <c r="C1136" s="21" t="s">
        <v>8674</v>
      </c>
      <c r="D1136" s="2" t="s">
        <v>8762</v>
      </c>
      <c r="E1136" s="2" t="s">
        <v>8763</v>
      </c>
      <c r="F1136" s="2" t="s">
        <v>8695</v>
      </c>
      <c r="G1136" s="2" t="s">
        <v>8764</v>
      </c>
      <c r="H1136" s="2" t="s">
        <v>8765</v>
      </c>
      <c r="I1136" s="2" t="s">
        <v>8766</v>
      </c>
      <c r="J1136" s="2" t="s">
        <v>8767</v>
      </c>
      <c r="K1136" s="2" t="s">
        <v>8768</v>
      </c>
      <c r="L1136" s="6" t="s">
        <v>1367</v>
      </c>
      <c r="M1136" s="21" t="s">
        <v>1368</v>
      </c>
      <c r="N1136" s="21" t="s">
        <v>1369</v>
      </c>
      <c r="O1136" t="s">
        <v>8671</v>
      </c>
      <c r="P1136" s="21" t="s">
        <v>1371</v>
      </c>
      <c r="Q1136" t="s">
        <v>8672</v>
      </c>
    </row>
    <row r="1137" spans="1:17" ht="43.15">
      <c r="A1137" s="253" t="s">
        <v>8769</v>
      </c>
      <c r="B1137" s="402"/>
      <c r="C1137" s="21" t="s">
        <v>8674</v>
      </c>
      <c r="D1137" s="2" t="s">
        <v>8770</v>
      </c>
      <c r="E1137" s="2" t="s">
        <v>8771</v>
      </c>
      <c r="F1137" s="2" t="s">
        <v>8772</v>
      </c>
      <c r="G1137" s="2" t="s">
        <v>8773</v>
      </c>
      <c r="H1137" s="2" t="s">
        <v>8774</v>
      </c>
      <c r="I1137" s="2" t="s">
        <v>8775</v>
      </c>
      <c r="J1137" s="2" t="s">
        <v>8776</v>
      </c>
      <c r="K1137" s="2" t="s">
        <v>8777</v>
      </c>
      <c r="L1137" s="6" t="s">
        <v>1367</v>
      </c>
      <c r="M1137" s="21" t="s">
        <v>1368</v>
      </c>
      <c r="N1137" s="21" t="s">
        <v>1369</v>
      </c>
      <c r="O1137" t="s">
        <v>8671</v>
      </c>
      <c r="P1137" s="21" t="s">
        <v>1371</v>
      </c>
      <c r="Q1137" t="s">
        <v>8672</v>
      </c>
    </row>
    <row r="1138" spans="1:17" ht="43.15">
      <c r="A1138" s="253" t="s">
        <v>8778</v>
      </c>
      <c r="B1138" s="402"/>
      <c r="C1138" s="21" t="s">
        <v>8674</v>
      </c>
      <c r="D1138" s="2" t="s">
        <v>8779</v>
      </c>
      <c r="E1138" s="2" t="s">
        <v>8780</v>
      </c>
      <c r="F1138" s="2" t="s">
        <v>8695</v>
      </c>
      <c r="G1138" s="2" t="s">
        <v>8781</v>
      </c>
      <c r="H1138" s="2" t="s">
        <v>8782</v>
      </c>
      <c r="I1138" s="2" t="s">
        <v>8783</v>
      </c>
      <c r="J1138" s="2" t="s">
        <v>8784</v>
      </c>
      <c r="K1138" s="2" t="s">
        <v>8785</v>
      </c>
      <c r="L1138" s="6" t="s">
        <v>1367</v>
      </c>
      <c r="M1138" s="21" t="s">
        <v>1368</v>
      </c>
      <c r="N1138" s="21" t="s">
        <v>1369</v>
      </c>
      <c r="O1138" t="s">
        <v>8671</v>
      </c>
      <c r="P1138" s="21" t="s">
        <v>22</v>
      </c>
      <c r="Q1138" t="s">
        <v>8672</v>
      </c>
    </row>
    <row r="1139" spans="1:17" ht="43.15">
      <c r="A1139" s="253" t="s">
        <v>8786</v>
      </c>
      <c r="B1139" s="402"/>
      <c r="C1139" s="21" t="s">
        <v>8674</v>
      </c>
      <c r="D1139" s="2" t="s">
        <v>8787</v>
      </c>
      <c r="E1139" s="2" t="s">
        <v>8788</v>
      </c>
      <c r="F1139" s="2" t="s">
        <v>8695</v>
      </c>
      <c r="G1139" s="2" t="s">
        <v>8789</v>
      </c>
      <c r="H1139" s="2" t="s">
        <v>1442</v>
      </c>
      <c r="I1139" s="2" t="s">
        <v>8790</v>
      </c>
      <c r="J1139" s="2" t="s">
        <v>8791</v>
      </c>
      <c r="K1139" s="2" t="s">
        <v>8792</v>
      </c>
      <c r="L1139" s="6" t="s">
        <v>1367</v>
      </c>
      <c r="M1139" s="21" t="s">
        <v>1368</v>
      </c>
      <c r="N1139" s="21" t="s">
        <v>1369</v>
      </c>
      <c r="O1139" t="s">
        <v>8671</v>
      </c>
      <c r="P1139" s="21" t="s">
        <v>1371</v>
      </c>
      <c r="Q1139" t="s">
        <v>8672</v>
      </c>
    </row>
    <row r="1140" spans="1:17" ht="43.15">
      <c r="A1140" s="253" t="s">
        <v>8793</v>
      </c>
      <c r="B1140" s="402"/>
      <c r="C1140" s="21" t="s">
        <v>8674</v>
      </c>
      <c r="D1140" s="2" t="s">
        <v>8794</v>
      </c>
      <c r="E1140" s="2" t="s">
        <v>8795</v>
      </c>
      <c r="F1140" s="2" t="s">
        <v>8796</v>
      </c>
      <c r="G1140" s="2" t="s">
        <v>8797</v>
      </c>
      <c r="H1140" s="2" t="s">
        <v>8798</v>
      </c>
      <c r="I1140" s="2" t="s">
        <v>8799</v>
      </c>
      <c r="J1140" s="2" t="s">
        <v>8800</v>
      </c>
      <c r="K1140" s="2" t="s">
        <v>8801</v>
      </c>
      <c r="L1140" s="6" t="s">
        <v>1367</v>
      </c>
      <c r="M1140" s="21" t="s">
        <v>1368</v>
      </c>
      <c r="N1140" s="21" t="s">
        <v>1369</v>
      </c>
      <c r="O1140" t="s">
        <v>8671</v>
      </c>
      <c r="P1140" s="21" t="s">
        <v>22</v>
      </c>
      <c r="Q1140" t="s">
        <v>8672</v>
      </c>
    </row>
    <row r="1141" spans="1:17" ht="43.15">
      <c r="A1141" s="253" t="s">
        <v>8802</v>
      </c>
      <c r="B1141" s="402"/>
      <c r="C1141" s="21" t="s">
        <v>8674</v>
      </c>
      <c r="D1141" s="2" t="s">
        <v>8803</v>
      </c>
      <c r="E1141" s="2" t="s">
        <v>8804</v>
      </c>
      <c r="F1141" s="2" t="s">
        <v>8805</v>
      </c>
      <c r="G1141" s="21" t="s">
        <v>8806</v>
      </c>
      <c r="H1141" s="2" t="s">
        <v>8807</v>
      </c>
      <c r="I1141" s="2" t="s">
        <v>8808</v>
      </c>
      <c r="J1141" s="2" t="s">
        <v>8809</v>
      </c>
      <c r="K1141" s="2" t="s">
        <v>8810</v>
      </c>
      <c r="L1141" s="6" t="s">
        <v>1367</v>
      </c>
      <c r="M1141" s="21" t="s">
        <v>1368</v>
      </c>
      <c r="N1141" s="21" t="s">
        <v>1369</v>
      </c>
      <c r="O1141" t="s">
        <v>8671</v>
      </c>
      <c r="P1141" s="21" t="s">
        <v>22</v>
      </c>
      <c r="Q1141" t="s">
        <v>8672</v>
      </c>
    </row>
    <row r="1142" spans="1:17" ht="43.15">
      <c r="A1142" s="253" t="s">
        <v>8811</v>
      </c>
      <c r="B1142" s="402"/>
      <c r="C1142" s="21" t="s">
        <v>8674</v>
      </c>
      <c r="D1142" s="2" t="s">
        <v>8812</v>
      </c>
      <c r="E1142" s="2" t="s">
        <v>8813</v>
      </c>
      <c r="F1142" s="2" t="s">
        <v>8814</v>
      </c>
      <c r="G1142" s="2" t="s">
        <v>8815</v>
      </c>
      <c r="H1142" s="2" t="s">
        <v>8816</v>
      </c>
      <c r="I1142" s="2" t="s">
        <v>8817</v>
      </c>
      <c r="J1142" s="2" t="s">
        <v>8818</v>
      </c>
      <c r="K1142" s="2" t="s">
        <v>8819</v>
      </c>
      <c r="L1142" s="6" t="s">
        <v>1367</v>
      </c>
      <c r="M1142" s="21" t="s">
        <v>1368</v>
      </c>
      <c r="N1142" s="21" t="s">
        <v>1369</v>
      </c>
      <c r="O1142" t="s">
        <v>8671</v>
      </c>
      <c r="P1142" s="21" t="s">
        <v>22</v>
      </c>
      <c r="Q1142" t="s">
        <v>8672</v>
      </c>
    </row>
    <row r="1143" spans="1:17" ht="43.15">
      <c r="A1143" s="256" t="s">
        <v>8820</v>
      </c>
      <c r="B1143" s="402"/>
      <c r="C1143" s="21" t="s">
        <v>8821</v>
      </c>
      <c r="D1143" s="2" t="s">
        <v>8822</v>
      </c>
      <c r="E1143" s="2" t="s">
        <v>8823</v>
      </c>
      <c r="F1143" s="2" t="s">
        <v>8666</v>
      </c>
      <c r="G1143" s="2" t="s">
        <v>8824</v>
      </c>
      <c r="H1143" s="2" t="s">
        <v>1442</v>
      </c>
      <c r="I1143" s="2" t="s">
        <v>8825</v>
      </c>
      <c r="J1143" s="2" t="s">
        <v>8826</v>
      </c>
      <c r="K1143" s="2" t="s">
        <v>8827</v>
      </c>
      <c r="L1143" s="6" t="s">
        <v>1367</v>
      </c>
      <c r="M1143" s="21" t="s">
        <v>1368</v>
      </c>
      <c r="N1143" s="21" t="s">
        <v>1369</v>
      </c>
      <c r="O1143" t="s">
        <v>8671</v>
      </c>
      <c r="P1143" s="21" t="s">
        <v>22</v>
      </c>
      <c r="Q1143" t="s">
        <v>8672</v>
      </c>
    </row>
    <row r="1144" spans="1:17" ht="43.15">
      <c r="A1144" s="253" t="s">
        <v>8828</v>
      </c>
      <c r="B1144" s="402"/>
      <c r="C1144" s="21" t="s">
        <v>8674</v>
      </c>
      <c r="D1144" s="2" t="s">
        <v>8829</v>
      </c>
      <c r="E1144" s="2" t="s">
        <v>8830</v>
      </c>
      <c r="F1144" s="2" t="s">
        <v>8831</v>
      </c>
      <c r="G1144" s="2" t="s">
        <v>8832</v>
      </c>
      <c r="H1144" s="2" t="s">
        <v>8833</v>
      </c>
      <c r="I1144" s="2" t="s">
        <v>8834</v>
      </c>
      <c r="J1144" s="2" t="s">
        <v>8835</v>
      </c>
      <c r="K1144" s="2" t="s">
        <v>8836</v>
      </c>
      <c r="L1144" s="6" t="s">
        <v>1367</v>
      </c>
      <c r="M1144" s="21" t="s">
        <v>1368</v>
      </c>
      <c r="N1144" s="21" t="s">
        <v>1369</v>
      </c>
      <c r="O1144" t="s">
        <v>8671</v>
      </c>
      <c r="P1144" s="21" t="s">
        <v>22</v>
      </c>
      <c r="Q1144" t="s">
        <v>8672</v>
      </c>
    </row>
    <row r="1145" spans="1:17" ht="43.15">
      <c r="A1145" s="253" t="s">
        <v>8837</v>
      </c>
      <c r="B1145" s="402"/>
      <c r="C1145" s="21" t="s">
        <v>8674</v>
      </c>
      <c r="D1145" s="2" t="s">
        <v>8838</v>
      </c>
      <c r="E1145" s="2" t="s">
        <v>8839</v>
      </c>
      <c r="F1145" s="2" t="s">
        <v>8840</v>
      </c>
      <c r="G1145" s="2" t="s">
        <v>8841</v>
      </c>
      <c r="H1145" s="2" t="s">
        <v>8842</v>
      </c>
      <c r="I1145" s="2" t="s">
        <v>8843</v>
      </c>
      <c r="J1145" s="2" t="s">
        <v>8844</v>
      </c>
      <c r="K1145" s="2" t="s">
        <v>8845</v>
      </c>
      <c r="L1145" s="6" t="s">
        <v>1367</v>
      </c>
      <c r="M1145" s="21" t="s">
        <v>1368</v>
      </c>
      <c r="N1145" s="21" t="s">
        <v>1369</v>
      </c>
      <c r="O1145" t="s">
        <v>8671</v>
      </c>
      <c r="P1145" s="21" t="s">
        <v>22</v>
      </c>
      <c r="Q1145" t="s">
        <v>8672</v>
      </c>
    </row>
    <row r="1146" spans="1:17" ht="43.15">
      <c r="A1146" s="253" t="s">
        <v>8846</v>
      </c>
      <c r="B1146" s="402"/>
      <c r="C1146" s="21" t="s">
        <v>8674</v>
      </c>
      <c r="D1146" s="2" t="s">
        <v>2110</v>
      </c>
      <c r="E1146" s="2" t="s">
        <v>8847</v>
      </c>
      <c r="F1146" s="2" t="s">
        <v>8848</v>
      </c>
      <c r="G1146" s="2" t="s">
        <v>8849</v>
      </c>
      <c r="H1146" s="2" t="s">
        <v>8850</v>
      </c>
      <c r="I1146" s="2" t="s">
        <v>8851</v>
      </c>
      <c r="J1146" s="2" t="s">
        <v>8852</v>
      </c>
      <c r="K1146" s="2" t="s">
        <v>8853</v>
      </c>
      <c r="L1146" s="6" t="s">
        <v>1367</v>
      </c>
      <c r="M1146" s="21" t="s">
        <v>1368</v>
      </c>
      <c r="N1146" s="21" t="s">
        <v>1369</v>
      </c>
      <c r="O1146" t="s">
        <v>8671</v>
      </c>
      <c r="P1146" s="21" t="s">
        <v>22</v>
      </c>
      <c r="Q1146" t="s">
        <v>8672</v>
      </c>
    </row>
    <row r="1147" spans="1:17" ht="43.15">
      <c r="A1147" s="253" t="s">
        <v>8854</v>
      </c>
      <c r="B1147" s="402"/>
      <c r="C1147" s="21" t="s">
        <v>8674</v>
      </c>
      <c r="D1147" s="2" t="s">
        <v>8855</v>
      </c>
      <c r="E1147" s="2" t="s">
        <v>8856</v>
      </c>
      <c r="F1147" s="2" t="s">
        <v>8703</v>
      </c>
      <c r="G1147" s="2" t="s">
        <v>8704</v>
      </c>
      <c r="H1147" s="2" t="s">
        <v>8705</v>
      </c>
      <c r="I1147" s="2" t="s">
        <v>8857</v>
      </c>
      <c r="J1147" s="2" t="s">
        <v>8858</v>
      </c>
      <c r="K1147" s="2" t="s">
        <v>8859</v>
      </c>
      <c r="L1147" s="6" t="s">
        <v>1367</v>
      </c>
      <c r="M1147" s="21" t="s">
        <v>1368</v>
      </c>
      <c r="N1147" s="21" t="s">
        <v>1369</v>
      </c>
      <c r="O1147" t="s">
        <v>8671</v>
      </c>
      <c r="P1147" s="21" t="s">
        <v>1371</v>
      </c>
      <c r="Q1147" t="s">
        <v>8672</v>
      </c>
    </row>
    <row r="1148" spans="1:17" ht="43.15">
      <c r="A1148" s="253" t="s">
        <v>8860</v>
      </c>
      <c r="B1148" s="402"/>
      <c r="C1148" s="242" t="s">
        <v>8674</v>
      </c>
      <c r="D1148" s="2" t="s">
        <v>8861</v>
      </c>
      <c r="E1148" s="2" t="s">
        <v>8862</v>
      </c>
      <c r="F1148" s="2" t="s">
        <v>8863</v>
      </c>
      <c r="G1148" s="2" t="s">
        <v>8864</v>
      </c>
      <c r="H1148" s="2" t="s">
        <v>8162</v>
      </c>
      <c r="I1148" s="2" t="s">
        <v>8865</v>
      </c>
      <c r="J1148" s="2" t="s">
        <v>3585</v>
      </c>
      <c r="K1148" s="2" t="s">
        <v>8866</v>
      </c>
      <c r="L1148" s="6" t="s">
        <v>1367</v>
      </c>
      <c r="M1148" s="21" t="s">
        <v>1368</v>
      </c>
      <c r="N1148" s="21" t="s">
        <v>1369</v>
      </c>
      <c r="O1148" t="s">
        <v>8671</v>
      </c>
      <c r="P1148" s="21" t="s">
        <v>22</v>
      </c>
      <c r="Q1148" t="s">
        <v>8672</v>
      </c>
    </row>
    <row r="1149" spans="1:17" ht="43.15">
      <c r="A1149" s="253" t="s">
        <v>8867</v>
      </c>
      <c r="B1149" s="402"/>
      <c r="C1149" s="242" t="s">
        <v>8674</v>
      </c>
      <c r="D1149" s="2" t="s">
        <v>8868</v>
      </c>
      <c r="E1149" s="2" t="s">
        <v>8869</v>
      </c>
      <c r="F1149" s="2" t="s">
        <v>8870</v>
      </c>
      <c r="G1149" s="2" t="s">
        <v>8871</v>
      </c>
      <c r="H1149" s="2" t="s">
        <v>8872</v>
      </c>
      <c r="I1149" s="2" t="s">
        <v>8873</v>
      </c>
      <c r="J1149" s="2" t="s">
        <v>3585</v>
      </c>
      <c r="K1149" s="2" t="s">
        <v>8874</v>
      </c>
      <c r="L1149" s="6" t="s">
        <v>1367</v>
      </c>
      <c r="M1149" s="21" t="s">
        <v>1368</v>
      </c>
      <c r="N1149" s="21" t="s">
        <v>1369</v>
      </c>
      <c r="O1149" t="s">
        <v>8671</v>
      </c>
      <c r="P1149" s="21" t="s">
        <v>22</v>
      </c>
      <c r="Q1149" t="s">
        <v>8672</v>
      </c>
    </row>
    <row r="1150" spans="1:17" ht="57.6">
      <c r="A1150" s="253" t="s">
        <v>8875</v>
      </c>
      <c r="B1150" s="402"/>
      <c r="C1150" s="242" t="s">
        <v>8674</v>
      </c>
      <c r="D1150" s="2" t="s">
        <v>8876</v>
      </c>
      <c r="E1150" s="2" t="s">
        <v>8877</v>
      </c>
      <c r="F1150" s="2" t="s">
        <v>8831</v>
      </c>
      <c r="G1150" s="2" t="s">
        <v>8878</v>
      </c>
      <c r="H1150" s="2" t="s">
        <v>8879</v>
      </c>
      <c r="I1150" s="2" t="s">
        <v>8880</v>
      </c>
      <c r="J1150" s="2" t="s">
        <v>3603</v>
      </c>
      <c r="K1150" s="2" t="s">
        <v>8881</v>
      </c>
      <c r="L1150" s="6" t="s">
        <v>1367</v>
      </c>
      <c r="M1150" s="21" t="s">
        <v>1368</v>
      </c>
      <c r="N1150" s="21" t="s">
        <v>1369</v>
      </c>
      <c r="O1150" t="s">
        <v>8671</v>
      </c>
      <c r="P1150" s="21" t="s">
        <v>22</v>
      </c>
      <c r="Q1150" t="s">
        <v>8672</v>
      </c>
    </row>
    <row r="1151" spans="1:17" ht="43.15">
      <c r="A1151" s="253" t="s">
        <v>8882</v>
      </c>
      <c r="B1151" s="402"/>
      <c r="C1151" s="21" t="s">
        <v>8674</v>
      </c>
      <c r="D1151" s="2" t="s">
        <v>8883</v>
      </c>
      <c r="E1151" s="2" t="s">
        <v>8884</v>
      </c>
      <c r="F1151" s="2" t="s">
        <v>8885</v>
      </c>
      <c r="G1151" s="2" t="s">
        <v>8886</v>
      </c>
      <c r="H1151" s="2" t="s">
        <v>8887</v>
      </c>
      <c r="I1151" s="2" t="s">
        <v>8888</v>
      </c>
      <c r="J1151" s="2" t="s">
        <v>8889</v>
      </c>
      <c r="K1151" s="2" t="s">
        <v>8890</v>
      </c>
      <c r="L1151" s="6" t="s">
        <v>1367</v>
      </c>
      <c r="M1151" s="21" t="s">
        <v>1368</v>
      </c>
      <c r="N1151" s="21" t="s">
        <v>1369</v>
      </c>
      <c r="O1151" t="s">
        <v>8671</v>
      </c>
      <c r="P1151" s="21" t="s">
        <v>1371</v>
      </c>
      <c r="Q1151" t="s">
        <v>8672</v>
      </c>
    </row>
    <row r="1152" spans="1:17" ht="28.9">
      <c r="A1152" s="253" t="s">
        <v>8891</v>
      </c>
      <c r="B1152" s="402"/>
      <c r="C1152" s="21" t="s">
        <v>8674</v>
      </c>
      <c r="D1152" s="2" t="s">
        <v>8892</v>
      </c>
      <c r="E1152" s="2" t="s">
        <v>8893</v>
      </c>
      <c r="F1152" s="2" t="s">
        <v>8894</v>
      </c>
      <c r="G1152" s="2" t="s">
        <v>8895</v>
      </c>
      <c r="H1152" s="2" t="s">
        <v>8896</v>
      </c>
      <c r="I1152" s="2" t="s">
        <v>8897</v>
      </c>
      <c r="J1152" s="2" t="s">
        <v>8898</v>
      </c>
      <c r="K1152" s="2" t="s">
        <v>8899</v>
      </c>
      <c r="L1152" s="6" t="s">
        <v>1367</v>
      </c>
      <c r="M1152" s="21" t="s">
        <v>1368</v>
      </c>
      <c r="N1152" s="21" t="s">
        <v>1369</v>
      </c>
      <c r="O1152" t="s">
        <v>8671</v>
      </c>
      <c r="P1152" s="21" t="s">
        <v>1371</v>
      </c>
      <c r="Q1152" t="s">
        <v>8672</v>
      </c>
    </row>
    <row r="1153" spans="1:17" ht="43.15">
      <c r="A1153" s="253" t="s">
        <v>8900</v>
      </c>
      <c r="B1153" s="402"/>
      <c r="C1153" s="21" t="s">
        <v>8674</v>
      </c>
      <c r="D1153" s="2" t="s">
        <v>2194</v>
      </c>
      <c r="E1153" s="2" t="s">
        <v>8901</v>
      </c>
      <c r="F1153" s="2" t="s">
        <v>8902</v>
      </c>
      <c r="G1153" s="2" t="s">
        <v>8903</v>
      </c>
      <c r="H1153" s="2" t="s">
        <v>8904</v>
      </c>
      <c r="I1153" s="2" t="s">
        <v>8905</v>
      </c>
      <c r="J1153" s="2" t="s">
        <v>8906</v>
      </c>
      <c r="K1153" s="2" t="s">
        <v>8907</v>
      </c>
      <c r="L1153" s="6" t="s">
        <v>1367</v>
      </c>
      <c r="M1153" s="21" t="s">
        <v>1368</v>
      </c>
      <c r="N1153" s="21" t="s">
        <v>1369</v>
      </c>
      <c r="O1153" t="s">
        <v>8671</v>
      </c>
      <c r="P1153" s="21" t="s">
        <v>1371</v>
      </c>
      <c r="Q1153" t="s">
        <v>8672</v>
      </c>
    </row>
    <row r="1154" spans="1:17" ht="57.6">
      <c r="A1154" s="253" t="s">
        <v>8908</v>
      </c>
      <c r="B1154" s="402"/>
      <c r="C1154" s="21" t="s">
        <v>8674</v>
      </c>
      <c r="D1154" s="2" t="s">
        <v>8909</v>
      </c>
      <c r="E1154" s="2" t="s">
        <v>8910</v>
      </c>
      <c r="F1154" s="2" t="s">
        <v>8831</v>
      </c>
      <c r="G1154" s="2" t="s">
        <v>8911</v>
      </c>
      <c r="H1154" s="2" t="s">
        <v>8912</v>
      </c>
      <c r="I1154" s="2" t="s">
        <v>8913</v>
      </c>
      <c r="J1154" s="2" t="s">
        <v>8914</v>
      </c>
      <c r="K1154" s="2" t="s">
        <v>8915</v>
      </c>
      <c r="L1154" s="6" t="s">
        <v>1367</v>
      </c>
      <c r="M1154" s="21" t="s">
        <v>1368</v>
      </c>
      <c r="N1154" s="21" t="s">
        <v>1369</v>
      </c>
      <c r="O1154" t="s">
        <v>8671</v>
      </c>
      <c r="P1154" s="21" t="s">
        <v>22</v>
      </c>
      <c r="Q1154" t="s">
        <v>8672</v>
      </c>
    </row>
    <row r="1155" spans="1:17" ht="28.9">
      <c r="A1155" s="253" t="s">
        <v>8916</v>
      </c>
      <c r="B1155" s="402"/>
      <c r="C1155" s="21" t="s">
        <v>8674</v>
      </c>
      <c r="D1155" s="2" t="s">
        <v>8917</v>
      </c>
      <c r="E1155" s="2" t="s">
        <v>8918</v>
      </c>
      <c r="F1155" s="2" t="s">
        <v>8712</v>
      </c>
      <c r="G1155" s="21" t="s">
        <v>8919</v>
      </c>
      <c r="H1155" s="2" t="s">
        <v>8714</v>
      </c>
      <c r="I1155" s="2" t="s">
        <v>8920</v>
      </c>
      <c r="J1155" s="2" t="s">
        <v>8921</v>
      </c>
      <c r="K1155" s="2" t="s">
        <v>8717</v>
      </c>
      <c r="L1155" s="6" t="s">
        <v>1367</v>
      </c>
      <c r="M1155" s="21" t="s">
        <v>1368</v>
      </c>
      <c r="N1155" s="21" t="s">
        <v>1369</v>
      </c>
      <c r="O1155" t="s">
        <v>8671</v>
      </c>
      <c r="P1155" s="21" t="s">
        <v>1371</v>
      </c>
      <c r="Q1155" t="s">
        <v>8672</v>
      </c>
    </row>
    <row r="1156" spans="1:17" ht="28.9">
      <c r="A1156" s="253" t="s">
        <v>8922</v>
      </c>
      <c r="B1156" s="402"/>
      <c r="C1156" s="21" t="s">
        <v>8674</v>
      </c>
      <c r="D1156" s="2" t="s">
        <v>8923</v>
      </c>
      <c r="E1156" s="2" t="s">
        <v>8924</v>
      </c>
      <c r="F1156" s="2" t="s">
        <v>8925</v>
      </c>
      <c r="G1156" s="21" t="s">
        <v>8926</v>
      </c>
      <c r="H1156" s="2" t="s">
        <v>8927</v>
      </c>
      <c r="I1156" s="2" t="s">
        <v>8928</v>
      </c>
      <c r="J1156" s="2" t="s">
        <v>8929</v>
      </c>
      <c r="K1156" s="2" t="s">
        <v>8930</v>
      </c>
      <c r="L1156" s="6" t="s">
        <v>1367</v>
      </c>
      <c r="M1156" s="21" t="s">
        <v>1368</v>
      </c>
      <c r="N1156" s="21" t="s">
        <v>1369</v>
      </c>
      <c r="O1156" t="s">
        <v>8671</v>
      </c>
      <c r="P1156" s="21" t="s">
        <v>1371</v>
      </c>
      <c r="Q1156" t="s">
        <v>8672</v>
      </c>
    </row>
    <row r="1157" spans="1:17" ht="43.15">
      <c r="A1157" s="253" t="s">
        <v>8931</v>
      </c>
      <c r="B1157" s="402"/>
      <c r="C1157" s="242" t="s">
        <v>8674</v>
      </c>
      <c r="D1157" s="2" t="s">
        <v>8932</v>
      </c>
      <c r="E1157" s="2" t="s">
        <v>8933</v>
      </c>
      <c r="F1157" s="2" t="s">
        <v>8934</v>
      </c>
      <c r="G1157" s="2" t="s">
        <v>8935</v>
      </c>
      <c r="H1157" s="2" t="s">
        <v>8936</v>
      </c>
      <c r="I1157" s="2" t="s">
        <v>8937</v>
      </c>
      <c r="J1157" s="2" t="s">
        <v>8938</v>
      </c>
      <c r="K1157" s="2" t="s">
        <v>8939</v>
      </c>
      <c r="L1157" s="6" t="s">
        <v>1367</v>
      </c>
      <c r="M1157" s="21" t="s">
        <v>1368</v>
      </c>
      <c r="N1157" s="21" t="s">
        <v>1369</v>
      </c>
      <c r="O1157" t="s">
        <v>8671</v>
      </c>
      <c r="P1157" s="21" t="s">
        <v>22</v>
      </c>
      <c r="Q1157" t="s">
        <v>8672</v>
      </c>
    </row>
    <row r="1158" spans="1:17" ht="28.9">
      <c r="A1158" s="253" t="s">
        <v>8940</v>
      </c>
      <c r="B1158" s="402"/>
      <c r="C1158" s="21" t="s">
        <v>8674</v>
      </c>
      <c r="D1158" s="2" t="s">
        <v>8803</v>
      </c>
      <c r="E1158" s="2" t="s">
        <v>8941</v>
      </c>
      <c r="F1158" s="2" t="s">
        <v>8942</v>
      </c>
      <c r="G1158" s="21" t="s">
        <v>8943</v>
      </c>
      <c r="H1158" s="2" t="s">
        <v>8807</v>
      </c>
      <c r="I1158" s="2" t="s">
        <v>8808</v>
      </c>
      <c r="J1158" s="2" t="s">
        <v>8944</v>
      </c>
      <c r="K1158" s="2" t="s">
        <v>8945</v>
      </c>
      <c r="L1158" s="6" t="s">
        <v>1367</v>
      </c>
      <c r="M1158" s="21" t="s">
        <v>1368</v>
      </c>
      <c r="N1158" s="21" t="s">
        <v>1369</v>
      </c>
      <c r="O1158" t="s">
        <v>8671</v>
      </c>
      <c r="P1158" s="21" t="s">
        <v>22</v>
      </c>
      <c r="Q1158" t="s">
        <v>8672</v>
      </c>
    </row>
    <row r="1159" spans="1:17" ht="43.15">
      <c r="A1159" s="253" t="s">
        <v>8946</v>
      </c>
      <c r="B1159" s="402"/>
      <c r="C1159" s="21" t="s">
        <v>8674</v>
      </c>
      <c r="D1159" s="2" t="s">
        <v>8947</v>
      </c>
      <c r="E1159" s="2" t="s">
        <v>8948</v>
      </c>
      <c r="F1159" s="2" t="s">
        <v>3649</v>
      </c>
      <c r="G1159" s="2" t="s">
        <v>8949</v>
      </c>
      <c r="H1159" s="2" t="s">
        <v>8842</v>
      </c>
      <c r="I1159" s="2" t="s">
        <v>8950</v>
      </c>
      <c r="J1159" s="2" t="s">
        <v>8951</v>
      </c>
      <c r="K1159" s="2" t="s">
        <v>8952</v>
      </c>
      <c r="L1159" s="6" t="s">
        <v>1367</v>
      </c>
      <c r="M1159" s="21" t="s">
        <v>1368</v>
      </c>
      <c r="N1159" s="21" t="s">
        <v>1369</v>
      </c>
      <c r="O1159" t="s">
        <v>8671</v>
      </c>
      <c r="P1159" s="21" t="s">
        <v>1371</v>
      </c>
      <c r="Q1159" t="s">
        <v>8672</v>
      </c>
    </row>
    <row r="1160" spans="1:17" ht="43.15">
      <c r="A1160" s="253" t="s">
        <v>8953</v>
      </c>
      <c r="B1160" s="402"/>
      <c r="C1160" s="21" t="s">
        <v>8674</v>
      </c>
      <c r="D1160" s="2" t="s">
        <v>8954</v>
      </c>
      <c r="E1160" s="2" t="s">
        <v>8955</v>
      </c>
      <c r="F1160" s="2" t="s">
        <v>8956</v>
      </c>
      <c r="G1160" s="2" t="s">
        <v>8957</v>
      </c>
      <c r="H1160" s="2" t="s">
        <v>8774</v>
      </c>
      <c r="I1160" s="2" t="s">
        <v>8958</v>
      </c>
      <c r="J1160" s="2" t="s">
        <v>8959</v>
      </c>
      <c r="K1160" s="2" t="s">
        <v>8960</v>
      </c>
      <c r="L1160" s="6" t="s">
        <v>1367</v>
      </c>
      <c r="M1160" s="21" t="s">
        <v>1368</v>
      </c>
      <c r="N1160" s="21" t="s">
        <v>1369</v>
      </c>
      <c r="O1160" t="s">
        <v>8671</v>
      </c>
      <c r="P1160" s="21" t="s">
        <v>1371</v>
      </c>
      <c r="Q1160" t="s">
        <v>8672</v>
      </c>
    </row>
    <row r="1161" spans="1:17" ht="43.15">
      <c r="A1161" s="253" t="s">
        <v>8961</v>
      </c>
      <c r="B1161" s="402"/>
      <c r="C1161" s="21" t="s">
        <v>8674</v>
      </c>
      <c r="D1161" s="2" t="s">
        <v>8962</v>
      </c>
      <c r="E1161" s="2" t="s">
        <v>8963</v>
      </c>
      <c r="F1161" s="2" t="s">
        <v>8964</v>
      </c>
      <c r="G1161" s="2" t="s">
        <v>8965</v>
      </c>
      <c r="H1161" s="2" t="s">
        <v>8966</v>
      </c>
      <c r="I1161" s="2" t="s">
        <v>8967</v>
      </c>
      <c r="J1161" s="2" t="s">
        <v>8968</v>
      </c>
      <c r="K1161" s="2" t="s">
        <v>8969</v>
      </c>
      <c r="L1161" s="6" t="s">
        <v>1367</v>
      </c>
      <c r="M1161" s="21" t="s">
        <v>1368</v>
      </c>
      <c r="N1161" s="21" t="s">
        <v>1369</v>
      </c>
      <c r="O1161" t="s">
        <v>8671</v>
      </c>
      <c r="P1161" s="21" t="s">
        <v>1371</v>
      </c>
      <c r="Q1161" t="s">
        <v>8672</v>
      </c>
    </row>
    <row r="1162" spans="1:17" ht="43.15">
      <c r="A1162" s="253" t="s">
        <v>8970</v>
      </c>
      <c r="B1162" s="402"/>
      <c r="C1162" s="21" t="s">
        <v>8674</v>
      </c>
      <c r="D1162" s="2" t="s">
        <v>8971</v>
      </c>
      <c r="E1162" s="2" t="s">
        <v>8972</v>
      </c>
      <c r="F1162" s="2" t="s">
        <v>8973</v>
      </c>
      <c r="G1162" s="2" t="s">
        <v>8974</v>
      </c>
      <c r="H1162" s="2" t="s">
        <v>6775</v>
      </c>
      <c r="I1162" s="2" t="s">
        <v>8975</v>
      </c>
      <c r="J1162" s="2" t="s">
        <v>8976</v>
      </c>
      <c r="K1162" s="2" t="s">
        <v>8977</v>
      </c>
      <c r="L1162" s="6" t="s">
        <v>1367</v>
      </c>
      <c r="M1162" s="21" t="s">
        <v>1368</v>
      </c>
      <c r="N1162" s="21" t="s">
        <v>1369</v>
      </c>
      <c r="O1162" t="s">
        <v>8671</v>
      </c>
      <c r="P1162" s="21" t="s">
        <v>22</v>
      </c>
      <c r="Q1162" t="s">
        <v>8672</v>
      </c>
    </row>
    <row r="1163" spans="1:17" ht="43.15">
      <c r="A1163" s="253" t="s">
        <v>8978</v>
      </c>
      <c r="B1163" s="402"/>
      <c r="C1163" s="21" t="s">
        <v>8979</v>
      </c>
      <c r="D1163" s="2" t="s">
        <v>8980</v>
      </c>
      <c r="E1163" s="2" t="s">
        <v>8981</v>
      </c>
      <c r="F1163" s="2" t="s">
        <v>6803</v>
      </c>
      <c r="G1163" s="21" t="s">
        <v>8982</v>
      </c>
      <c r="H1163" s="2" t="s">
        <v>1442</v>
      </c>
      <c r="I1163" s="2" t="s">
        <v>8983</v>
      </c>
      <c r="J1163" s="2" t="s">
        <v>5504</v>
      </c>
      <c r="K1163" s="2" t="s">
        <v>8984</v>
      </c>
      <c r="L1163" s="6" t="s">
        <v>1367</v>
      </c>
      <c r="M1163" s="21" t="s">
        <v>1368</v>
      </c>
      <c r="N1163" s="21" t="s">
        <v>1369</v>
      </c>
      <c r="O1163" t="s">
        <v>8671</v>
      </c>
      <c r="P1163" s="21" t="s">
        <v>22</v>
      </c>
      <c r="Q1163" t="s">
        <v>8672</v>
      </c>
    </row>
    <row r="1164" spans="1:17" ht="43.15">
      <c r="A1164" s="253" t="s">
        <v>8985</v>
      </c>
      <c r="B1164" s="402"/>
      <c r="C1164" s="21" t="s">
        <v>8986</v>
      </c>
      <c r="D1164" s="2" t="s">
        <v>8987</v>
      </c>
      <c r="E1164" s="2" t="s">
        <v>8988</v>
      </c>
      <c r="F1164" s="2" t="s">
        <v>8831</v>
      </c>
      <c r="G1164" s="2" t="s">
        <v>8989</v>
      </c>
      <c r="H1164" s="2" t="s">
        <v>8990</v>
      </c>
      <c r="I1164" s="2" t="s">
        <v>8991</v>
      </c>
      <c r="J1164" s="2" t="s">
        <v>8992</v>
      </c>
      <c r="K1164" s="2" t="s">
        <v>8993</v>
      </c>
      <c r="L1164" s="6" t="s">
        <v>1367</v>
      </c>
      <c r="M1164" s="21" t="s">
        <v>1368</v>
      </c>
      <c r="N1164" s="21" t="s">
        <v>1369</v>
      </c>
      <c r="O1164" t="s">
        <v>8671</v>
      </c>
      <c r="P1164" s="21" t="s">
        <v>22</v>
      </c>
      <c r="Q1164" t="s">
        <v>8672</v>
      </c>
    </row>
    <row r="1165" spans="1:17" ht="43.15">
      <c r="A1165" s="253" t="s">
        <v>8994</v>
      </c>
      <c r="B1165" s="402"/>
      <c r="C1165" s="21" t="s">
        <v>8986</v>
      </c>
      <c r="D1165" s="2" t="s">
        <v>8995</v>
      </c>
      <c r="E1165" s="2" t="s">
        <v>8996</v>
      </c>
      <c r="F1165" s="2" t="s">
        <v>8997</v>
      </c>
      <c r="G1165" s="2" t="s">
        <v>8998</v>
      </c>
      <c r="H1165" s="2" t="s">
        <v>8999</v>
      </c>
      <c r="I1165" s="2" t="s">
        <v>9000</v>
      </c>
      <c r="J1165" s="2" t="s">
        <v>9001</v>
      </c>
      <c r="K1165" s="2" t="s">
        <v>9002</v>
      </c>
      <c r="L1165" s="6" t="s">
        <v>1367</v>
      </c>
      <c r="M1165" s="21" t="s">
        <v>1368</v>
      </c>
      <c r="N1165" s="21" t="s">
        <v>1369</v>
      </c>
      <c r="O1165" t="s">
        <v>8671</v>
      </c>
      <c r="P1165" s="21" t="s">
        <v>22</v>
      </c>
      <c r="Q1165" t="s">
        <v>8672</v>
      </c>
    </row>
    <row r="1166" spans="1:17" ht="28.9">
      <c r="A1166" s="253" t="s">
        <v>9003</v>
      </c>
      <c r="B1166" s="402"/>
      <c r="C1166" s="21" t="s">
        <v>8986</v>
      </c>
      <c r="D1166" s="2" t="s">
        <v>8861</v>
      </c>
      <c r="E1166" s="2" t="s">
        <v>9004</v>
      </c>
      <c r="F1166" s="2" t="s">
        <v>9005</v>
      </c>
      <c r="G1166" s="2" t="s">
        <v>8864</v>
      </c>
      <c r="H1166" s="2" t="s">
        <v>8162</v>
      </c>
      <c r="I1166" s="2" t="s">
        <v>9006</v>
      </c>
      <c r="J1166" s="2" t="s">
        <v>9007</v>
      </c>
      <c r="K1166" s="2" t="s">
        <v>9008</v>
      </c>
      <c r="L1166" s="6" t="s">
        <v>1367</v>
      </c>
      <c r="M1166" s="21" t="s">
        <v>1368</v>
      </c>
      <c r="N1166" s="21" t="s">
        <v>1369</v>
      </c>
      <c r="O1166" t="s">
        <v>8671</v>
      </c>
      <c r="P1166" s="21" t="s">
        <v>1371</v>
      </c>
      <c r="Q1166" t="s">
        <v>8672</v>
      </c>
    </row>
    <row r="1167" spans="1:17" ht="28.9">
      <c r="A1167" s="253" t="s">
        <v>9009</v>
      </c>
      <c r="B1167" s="402"/>
      <c r="C1167" s="21" t="s">
        <v>8986</v>
      </c>
      <c r="D1167" s="2" t="s">
        <v>8868</v>
      </c>
      <c r="E1167" s="2" t="s">
        <v>9010</v>
      </c>
      <c r="F1167" s="2" t="s">
        <v>9011</v>
      </c>
      <c r="G1167" s="2" t="s">
        <v>8871</v>
      </c>
      <c r="H1167" s="2" t="s">
        <v>9012</v>
      </c>
      <c r="I1167" s="2" t="s">
        <v>9013</v>
      </c>
      <c r="J1167" s="2" t="s">
        <v>9007</v>
      </c>
      <c r="K1167" s="2" t="s">
        <v>9014</v>
      </c>
      <c r="L1167" s="6" t="s">
        <v>1367</v>
      </c>
      <c r="M1167" s="21" t="s">
        <v>1368</v>
      </c>
      <c r="N1167" s="21" t="s">
        <v>1369</v>
      </c>
      <c r="O1167" t="s">
        <v>8671</v>
      </c>
      <c r="P1167" s="21" t="s">
        <v>1371</v>
      </c>
      <c r="Q1167" t="s">
        <v>8672</v>
      </c>
    </row>
    <row r="1168" spans="1:17" ht="43.15">
      <c r="A1168" s="253" t="s">
        <v>9015</v>
      </c>
      <c r="B1168" s="402"/>
      <c r="C1168" s="21" t="s">
        <v>8986</v>
      </c>
      <c r="D1168" s="2" t="s">
        <v>8876</v>
      </c>
      <c r="E1168" s="2" t="s">
        <v>9016</v>
      </c>
      <c r="F1168" s="2" t="s">
        <v>8997</v>
      </c>
      <c r="G1168" s="2" t="s">
        <v>9017</v>
      </c>
      <c r="H1168" s="2" t="s">
        <v>9018</v>
      </c>
      <c r="I1168" s="2" t="s">
        <v>9019</v>
      </c>
      <c r="J1168" s="2" t="s">
        <v>9007</v>
      </c>
      <c r="K1168" s="2" t="s">
        <v>9020</v>
      </c>
      <c r="L1168" s="6" t="s">
        <v>1367</v>
      </c>
      <c r="M1168" s="21" t="s">
        <v>1368</v>
      </c>
      <c r="N1168" s="21" t="s">
        <v>1369</v>
      </c>
      <c r="O1168" t="s">
        <v>8671</v>
      </c>
      <c r="P1168" s="21" t="s">
        <v>22</v>
      </c>
      <c r="Q1168" t="s">
        <v>8672</v>
      </c>
    </row>
    <row r="1169" spans="1:17" ht="28.9">
      <c r="A1169" s="253" t="s">
        <v>9021</v>
      </c>
      <c r="B1169" s="402"/>
      <c r="C1169" s="21" t="s">
        <v>8986</v>
      </c>
      <c r="D1169" s="2" t="s">
        <v>9022</v>
      </c>
      <c r="E1169" s="2" t="s">
        <v>9023</v>
      </c>
      <c r="F1169" s="2" t="s">
        <v>9024</v>
      </c>
      <c r="G1169" s="2" t="s">
        <v>9025</v>
      </c>
      <c r="H1169" s="2" t="s">
        <v>9026</v>
      </c>
      <c r="I1169" s="2" t="s">
        <v>9027</v>
      </c>
      <c r="J1169" s="2" t="s">
        <v>9028</v>
      </c>
      <c r="K1169" s="2" t="s">
        <v>9029</v>
      </c>
      <c r="L1169" s="6" t="s">
        <v>1367</v>
      </c>
      <c r="M1169" s="21" t="s">
        <v>1368</v>
      </c>
      <c r="N1169" s="21" t="s">
        <v>1369</v>
      </c>
      <c r="O1169" t="s">
        <v>8671</v>
      </c>
      <c r="P1169" s="21" t="s">
        <v>1371</v>
      </c>
      <c r="Q1169" t="s">
        <v>8672</v>
      </c>
    </row>
    <row r="1170" spans="1:17" ht="28.9">
      <c r="A1170" s="253" t="s">
        <v>9030</v>
      </c>
      <c r="B1170" s="402"/>
      <c r="C1170" s="21" t="s">
        <v>8986</v>
      </c>
      <c r="D1170" s="2" t="s">
        <v>8892</v>
      </c>
      <c r="E1170" s="2" t="s">
        <v>9031</v>
      </c>
      <c r="F1170" s="2" t="s">
        <v>9032</v>
      </c>
      <c r="G1170" s="21" t="s">
        <v>9033</v>
      </c>
      <c r="H1170" s="2" t="s">
        <v>9034</v>
      </c>
      <c r="I1170" s="2" t="s">
        <v>9035</v>
      </c>
      <c r="J1170" s="2" t="s">
        <v>9036</v>
      </c>
      <c r="K1170" s="2" t="s">
        <v>9037</v>
      </c>
      <c r="L1170" s="6" t="s">
        <v>1367</v>
      </c>
      <c r="M1170" s="21" t="s">
        <v>1368</v>
      </c>
      <c r="N1170" s="21" t="s">
        <v>1369</v>
      </c>
      <c r="O1170" t="s">
        <v>8671</v>
      </c>
      <c r="P1170" s="21" t="s">
        <v>1371</v>
      </c>
      <c r="Q1170" t="s">
        <v>8672</v>
      </c>
    </row>
    <row r="1171" spans="1:17">
      <c r="A1171" s="253" t="s">
        <v>9038</v>
      </c>
      <c r="B1171" s="402"/>
      <c r="C1171" s="21" t="s">
        <v>8986</v>
      </c>
      <c r="D1171" s="2" t="s">
        <v>2194</v>
      </c>
      <c r="E1171" s="2" t="s">
        <v>9039</v>
      </c>
      <c r="F1171" s="2" t="s">
        <v>9040</v>
      </c>
      <c r="G1171" s="21" t="s">
        <v>9041</v>
      </c>
      <c r="H1171" s="2" t="s">
        <v>4288</v>
      </c>
      <c r="I1171" s="2" t="s">
        <v>9042</v>
      </c>
      <c r="J1171" s="2" t="s">
        <v>9043</v>
      </c>
      <c r="K1171" s="2" t="s">
        <v>9044</v>
      </c>
      <c r="L1171" s="6" t="s">
        <v>1367</v>
      </c>
      <c r="M1171" s="21" t="s">
        <v>1368</v>
      </c>
      <c r="N1171" s="21" t="s">
        <v>1369</v>
      </c>
      <c r="O1171" t="s">
        <v>8671</v>
      </c>
      <c r="P1171" s="21" t="s">
        <v>1371</v>
      </c>
      <c r="Q1171" t="s">
        <v>8672</v>
      </c>
    </row>
    <row r="1172" spans="1:17" ht="28.9">
      <c r="A1172" s="253" t="s">
        <v>9045</v>
      </c>
      <c r="B1172" s="402"/>
      <c r="C1172" s="21" t="s">
        <v>8986</v>
      </c>
      <c r="D1172" s="2" t="s">
        <v>9046</v>
      </c>
      <c r="E1172" s="2" t="s">
        <v>9047</v>
      </c>
      <c r="F1172" s="2" t="s">
        <v>8997</v>
      </c>
      <c r="G1172" s="2" t="s">
        <v>9048</v>
      </c>
      <c r="H1172" s="2" t="s">
        <v>2713</v>
      </c>
      <c r="I1172" s="2" t="s">
        <v>9049</v>
      </c>
      <c r="J1172" s="2" t="s">
        <v>9050</v>
      </c>
      <c r="K1172" s="2" t="s">
        <v>9051</v>
      </c>
      <c r="L1172" s="6" t="s">
        <v>1367</v>
      </c>
      <c r="M1172" s="21" t="s">
        <v>1368</v>
      </c>
      <c r="N1172" s="21" t="s">
        <v>1369</v>
      </c>
      <c r="O1172" t="s">
        <v>8671</v>
      </c>
      <c r="P1172" s="21" t="s">
        <v>1371</v>
      </c>
      <c r="Q1172" t="s">
        <v>8672</v>
      </c>
    </row>
    <row r="1173" spans="1:17" ht="28.9">
      <c r="A1173" s="253" t="s">
        <v>9052</v>
      </c>
      <c r="B1173" s="402"/>
      <c r="C1173" s="21" t="s">
        <v>8986</v>
      </c>
      <c r="D1173" s="2" t="s">
        <v>9053</v>
      </c>
      <c r="E1173" s="2" t="s">
        <v>9054</v>
      </c>
      <c r="F1173" s="2" t="s">
        <v>9055</v>
      </c>
      <c r="G1173" s="2" t="s">
        <v>9056</v>
      </c>
      <c r="H1173" s="2" t="s">
        <v>9057</v>
      </c>
      <c r="I1173" s="2" t="s">
        <v>9058</v>
      </c>
      <c r="J1173" s="2" t="s">
        <v>9059</v>
      </c>
      <c r="K1173" s="2" t="s">
        <v>9060</v>
      </c>
      <c r="L1173" s="6" t="s">
        <v>1367</v>
      </c>
      <c r="M1173" s="21" t="s">
        <v>1368</v>
      </c>
      <c r="N1173" s="21" t="s">
        <v>1369</v>
      </c>
      <c r="O1173" t="s">
        <v>8671</v>
      </c>
      <c r="P1173" s="21" t="s">
        <v>1371</v>
      </c>
      <c r="Q1173" t="s">
        <v>8672</v>
      </c>
    </row>
    <row r="1174" spans="1:17" ht="28.9">
      <c r="A1174" s="253" t="s">
        <v>9061</v>
      </c>
      <c r="B1174" s="402"/>
      <c r="C1174" s="21" t="s">
        <v>8986</v>
      </c>
      <c r="D1174" s="2" t="s">
        <v>9062</v>
      </c>
      <c r="E1174" s="2" t="s">
        <v>9063</v>
      </c>
      <c r="F1174" s="2" t="s">
        <v>9064</v>
      </c>
      <c r="G1174" s="2" t="s">
        <v>9065</v>
      </c>
      <c r="H1174" s="2" t="s">
        <v>9066</v>
      </c>
      <c r="I1174" s="2" t="s">
        <v>9067</v>
      </c>
      <c r="J1174" s="2" t="s">
        <v>9059</v>
      </c>
      <c r="K1174" s="2" t="s">
        <v>9068</v>
      </c>
      <c r="L1174" s="6" t="s">
        <v>1367</v>
      </c>
      <c r="M1174" s="21" t="s">
        <v>1368</v>
      </c>
      <c r="N1174" s="21" t="s">
        <v>1369</v>
      </c>
      <c r="O1174" t="s">
        <v>8671</v>
      </c>
      <c r="P1174" s="21" t="s">
        <v>1371</v>
      </c>
      <c r="Q1174" t="s">
        <v>8672</v>
      </c>
    </row>
    <row r="1175" spans="1:17" ht="28.9">
      <c r="A1175" s="253" t="s">
        <v>9069</v>
      </c>
      <c r="B1175" s="402"/>
      <c r="C1175" s="21" t="s">
        <v>8986</v>
      </c>
      <c r="D1175" s="2" t="s">
        <v>9070</v>
      </c>
      <c r="E1175" s="2" t="s">
        <v>9071</v>
      </c>
      <c r="F1175" s="2" t="s">
        <v>9072</v>
      </c>
      <c r="G1175" s="2" t="s">
        <v>9073</v>
      </c>
      <c r="H1175" s="2" t="s">
        <v>9074</v>
      </c>
      <c r="I1175" s="2" t="s">
        <v>9075</v>
      </c>
      <c r="J1175" s="2" t="s">
        <v>9076</v>
      </c>
      <c r="K1175" s="2" t="s">
        <v>9077</v>
      </c>
      <c r="L1175" s="6" t="s">
        <v>1367</v>
      </c>
      <c r="M1175" s="21" t="s">
        <v>1368</v>
      </c>
      <c r="N1175" s="21" t="s">
        <v>1369</v>
      </c>
      <c r="O1175" t="s">
        <v>8671</v>
      </c>
      <c r="P1175" s="21" t="s">
        <v>1481</v>
      </c>
      <c r="Q1175" t="s">
        <v>8672</v>
      </c>
    </row>
    <row r="1176" spans="1:17" ht="28.9">
      <c r="A1176" s="253" t="s">
        <v>9078</v>
      </c>
      <c r="B1176" s="402"/>
      <c r="C1176" s="21" t="s">
        <v>8986</v>
      </c>
      <c r="D1176" s="2" t="s">
        <v>9079</v>
      </c>
      <c r="E1176" s="2" t="s">
        <v>9080</v>
      </c>
      <c r="F1176" s="2" t="s">
        <v>9081</v>
      </c>
      <c r="G1176" s="21" t="s">
        <v>9082</v>
      </c>
      <c r="H1176" s="2" t="s">
        <v>9083</v>
      </c>
      <c r="I1176" s="2" t="s">
        <v>9084</v>
      </c>
      <c r="J1176" s="2" t="s">
        <v>9085</v>
      </c>
      <c r="K1176" s="2" t="s">
        <v>9086</v>
      </c>
      <c r="L1176" s="6" t="s">
        <v>1367</v>
      </c>
      <c r="M1176" s="21" t="s">
        <v>1368</v>
      </c>
      <c r="N1176" s="21" t="s">
        <v>1369</v>
      </c>
      <c r="O1176" t="s">
        <v>8671</v>
      </c>
      <c r="P1176" s="21" t="s">
        <v>22</v>
      </c>
      <c r="Q1176" t="s">
        <v>8672</v>
      </c>
    </row>
    <row r="1177" spans="1:17" ht="28.9">
      <c r="A1177" s="253" t="s">
        <v>9087</v>
      </c>
      <c r="B1177" s="402"/>
      <c r="C1177" s="21" t="s">
        <v>8986</v>
      </c>
      <c r="D1177" s="2" t="s">
        <v>9088</v>
      </c>
      <c r="E1177" s="2" t="s">
        <v>9089</v>
      </c>
      <c r="F1177" s="2" t="s">
        <v>9090</v>
      </c>
      <c r="G1177" s="21" t="s">
        <v>9091</v>
      </c>
      <c r="H1177" s="2" t="s">
        <v>9092</v>
      </c>
      <c r="I1177" s="2" t="s">
        <v>9093</v>
      </c>
      <c r="J1177" s="2" t="s">
        <v>9094</v>
      </c>
      <c r="K1177" s="2" t="s">
        <v>9095</v>
      </c>
      <c r="L1177" s="6" t="s">
        <v>1367</v>
      </c>
      <c r="M1177" s="21" t="s">
        <v>1368</v>
      </c>
      <c r="N1177" s="21" t="s">
        <v>1369</v>
      </c>
      <c r="O1177" t="s">
        <v>8671</v>
      </c>
      <c r="P1177" s="21" t="s">
        <v>1371</v>
      </c>
      <c r="Q1177" t="s">
        <v>8672</v>
      </c>
    </row>
    <row r="1178" spans="1:17" ht="28.9">
      <c r="A1178" s="253" t="s">
        <v>9096</v>
      </c>
      <c r="B1178" s="402"/>
      <c r="C1178" s="21" t="s">
        <v>8986</v>
      </c>
      <c r="D1178" s="2" t="s">
        <v>8947</v>
      </c>
      <c r="E1178" s="2" t="s">
        <v>9097</v>
      </c>
      <c r="F1178" s="2" t="s">
        <v>9098</v>
      </c>
      <c r="G1178" s="2" t="s">
        <v>9099</v>
      </c>
      <c r="H1178" s="2" t="s">
        <v>2713</v>
      </c>
      <c r="I1178" s="2" t="s">
        <v>9100</v>
      </c>
      <c r="J1178" s="2" t="s">
        <v>9101</v>
      </c>
      <c r="K1178" s="2" t="s">
        <v>9102</v>
      </c>
      <c r="L1178" s="6" t="s">
        <v>1367</v>
      </c>
      <c r="M1178" s="21" t="s">
        <v>1368</v>
      </c>
      <c r="N1178" s="21" t="s">
        <v>1369</v>
      </c>
      <c r="O1178" t="s">
        <v>8671</v>
      </c>
      <c r="P1178" s="21" t="s">
        <v>1371</v>
      </c>
      <c r="Q1178" t="s">
        <v>8672</v>
      </c>
    </row>
    <row r="1179" spans="1:17" ht="28.9">
      <c r="A1179" s="253" t="s">
        <v>9103</v>
      </c>
      <c r="B1179" s="402"/>
      <c r="C1179" s="21" t="s">
        <v>8986</v>
      </c>
      <c r="D1179" s="2" t="s">
        <v>9104</v>
      </c>
      <c r="E1179" s="2" t="s">
        <v>9105</v>
      </c>
      <c r="F1179" s="2" t="s">
        <v>1534</v>
      </c>
      <c r="G1179" s="21" t="s">
        <v>9106</v>
      </c>
      <c r="H1179" s="2" t="s">
        <v>9107</v>
      </c>
      <c r="I1179" s="2" t="s">
        <v>9108</v>
      </c>
      <c r="J1179" s="2" t="s">
        <v>9109</v>
      </c>
      <c r="K1179" s="2" t="s">
        <v>9110</v>
      </c>
      <c r="L1179" s="6" t="s">
        <v>1367</v>
      </c>
      <c r="M1179" s="21" t="s">
        <v>1368</v>
      </c>
      <c r="N1179" s="21" t="s">
        <v>1369</v>
      </c>
      <c r="O1179" t="s">
        <v>8671</v>
      </c>
      <c r="P1179" s="21" t="s">
        <v>22</v>
      </c>
      <c r="Q1179" t="s">
        <v>8672</v>
      </c>
    </row>
    <row r="1180" spans="1:17" ht="28.9">
      <c r="A1180" s="253" t="s">
        <v>9111</v>
      </c>
      <c r="B1180" s="402"/>
      <c r="C1180" s="21" t="s">
        <v>8986</v>
      </c>
      <c r="D1180" s="2" t="s">
        <v>9112</v>
      </c>
      <c r="E1180" s="2" t="s">
        <v>9113</v>
      </c>
      <c r="F1180" s="2" t="s">
        <v>9040</v>
      </c>
      <c r="G1180" s="21" t="s">
        <v>9114</v>
      </c>
      <c r="H1180" s="2" t="s">
        <v>9115</v>
      </c>
      <c r="I1180" s="2" t="s">
        <v>9116</v>
      </c>
      <c r="J1180" s="2" t="s">
        <v>9117</v>
      </c>
      <c r="K1180" s="2" t="s">
        <v>9118</v>
      </c>
      <c r="L1180" s="6" t="s">
        <v>1367</v>
      </c>
      <c r="M1180" s="21" t="s">
        <v>1368</v>
      </c>
      <c r="N1180" s="21" t="s">
        <v>1369</v>
      </c>
      <c r="O1180" t="s">
        <v>8671</v>
      </c>
      <c r="P1180" s="21" t="s">
        <v>1371</v>
      </c>
      <c r="Q1180" t="s">
        <v>8672</v>
      </c>
    </row>
    <row r="1181" spans="1:17" ht="43.15">
      <c r="A1181" s="253" t="s">
        <v>9119</v>
      </c>
      <c r="B1181" s="402"/>
      <c r="C1181" s="21" t="s">
        <v>9120</v>
      </c>
      <c r="D1181" s="2" t="s">
        <v>9121</v>
      </c>
      <c r="E1181" s="2" t="s">
        <v>9122</v>
      </c>
      <c r="F1181" s="2" t="s">
        <v>9123</v>
      </c>
      <c r="G1181" s="2" t="s">
        <v>9124</v>
      </c>
      <c r="H1181" s="2" t="s">
        <v>1442</v>
      </c>
      <c r="I1181" s="2" t="s">
        <v>9125</v>
      </c>
      <c r="J1181" s="2" t="s">
        <v>9126</v>
      </c>
      <c r="K1181" s="2" t="s">
        <v>9127</v>
      </c>
      <c r="L1181" s="6" t="s">
        <v>1367</v>
      </c>
      <c r="M1181" s="21" t="s">
        <v>1368</v>
      </c>
      <c r="N1181" s="21" t="s">
        <v>1369</v>
      </c>
      <c r="O1181" t="s">
        <v>8671</v>
      </c>
      <c r="P1181" s="21" t="s">
        <v>22</v>
      </c>
      <c r="Q1181" t="s">
        <v>8672</v>
      </c>
    </row>
    <row r="1182" spans="1:17" ht="28.9">
      <c r="A1182" s="253" t="s">
        <v>9128</v>
      </c>
      <c r="B1182" s="402"/>
      <c r="C1182" s="21" t="s">
        <v>9129</v>
      </c>
      <c r="D1182" s="2" t="s">
        <v>9130</v>
      </c>
      <c r="E1182" s="2" t="s">
        <v>9131</v>
      </c>
      <c r="F1182" s="2" t="s">
        <v>9132</v>
      </c>
      <c r="G1182" s="2" t="s">
        <v>9133</v>
      </c>
      <c r="H1182" s="2" t="s">
        <v>8833</v>
      </c>
      <c r="I1182" s="2" t="s">
        <v>9134</v>
      </c>
      <c r="J1182" s="2" t="s">
        <v>9135</v>
      </c>
      <c r="K1182" s="2" t="s">
        <v>9136</v>
      </c>
      <c r="L1182" s="6" t="s">
        <v>1367</v>
      </c>
      <c r="M1182" s="21" t="s">
        <v>1368</v>
      </c>
      <c r="N1182" s="21" t="s">
        <v>1369</v>
      </c>
      <c r="O1182" t="s">
        <v>8671</v>
      </c>
      <c r="P1182" s="21" t="s">
        <v>22</v>
      </c>
      <c r="Q1182" t="s">
        <v>8672</v>
      </c>
    </row>
    <row r="1183" spans="1:17" ht="28.9">
      <c r="A1183" s="253" t="s">
        <v>9137</v>
      </c>
      <c r="B1183" s="402"/>
      <c r="C1183" s="21" t="s">
        <v>9129</v>
      </c>
      <c r="D1183" s="2" t="s">
        <v>9138</v>
      </c>
      <c r="E1183" s="2" t="s">
        <v>9139</v>
      </c>
      <c r="F1183" s="2" t="s">
        <v>7039</v>
      </c>
      <c r="G1183" s="2" t="s">
        <v>9140</v>
      </c>
      <c r="H1183" s="2" t="s">
        <v>9141</v>
      </c>
      <c r="I1183" s="2" t="s">
        <v>9142</v>
      </c>
      <c r="J1183" s="2" t="s">
        <v>9143</v>
      </c>
      <c r="K1183" s="2" t="s">
        <v>9144</v>
      </c>
      <c r="L1183" s="6" t="s">
        <v>1367</v>
      </c>
      <c r="M1183" s="21" t="s">
        <v>1368</v>
      </c>
      <c r="N1183" s="21" t="s">
        <v>1369</v>
      </c>
      <c r="O1183" t="s">
        <v>8671</v>
      </c>
      <c r="P1183" s="21" t="s">
        <v>1371</v>
      </c>
      <c r="Q1183" t="s">
        <v>8672</v>
      </c>
    </row>
    <row r="1184" spans="1:17" ht="28.9">
      <c r="A1184" s="253" t="s">
        <v>9145</v>
      </c>
      <c r="B1184" s="402"/>
      <c r="C1184" s="21" t="s">
        <v>9129</v>
      </c>
      <c r="D1184" s="2" t="s">
        <v>9146</v>
      </c>
      <c r="E1184" s="2" t="s">
        <v>9147</v>
      </c>
      <c r="F1184" s="2" t="s">
        <v>9148</v>
      </c>
      <c r="G1184" s="2" t="s">
        <v>9149</v>
      </c>
      <c r="H1184" s="2" t="s">
        <v>8162</v>
      </c>
      <c r="I1184" s="2" t="s">
        <v>9150</v>
      </c>
      <c r="J1184" s="2" t="s">
        <v>9007</v>
      </c>
      <c r="K1184" s="2" t="s">
        <v>9151</v>
      </c>
      <c r="L1184" s="6" t="s">
        <v>1367</v>
      </c>
      <c r="M1184" s="21" t="s">
        <v>1368</v>
      </c>
      <c r="N1184" s="21" t="s">
        <v>1369</v>
      </c>
      <c r="O1184" t="s">
        <v>8671</v>
      </c>
      <c r="P1184" s="21" t="s">
        <v>22</v>
      </c>
      <c r="Q1184" t="s">
        <v>8672</v>
      </c>
    </row>
    <row r="1185" spans="1:17" ht="28.9">
      <c r="A1185" s="253" t="s">
        <v>9152</v>
      </c>
      <c r="B1185" s="402"/>
      <c r="C1185" s="21" t="s">
        <v>9129</v>
      </c>
      <c r="D1185" s="2" t="s">
        <v>9153</v>
      </c>
      <c r="E1185" s="2" t="s">
        <v>9154</v>
      </c>
      <c r="F1185" s="2" t="s">
        <v>9135</v>
      </c>
      <c r="G1185" s="2" t="s">
        <v>9155</v>
      </c>
      <c r="H1185" s="2" t="s">
        <v>9156</v>
      </c>
      <c r="I1185" s="2" t="s">
        <v>9157</v>
      </c>
      <c r="J1185" s="2" t="s">
        <v>9050</v>
      </c>
      <c r="K1185" s="2" t="s">
        <v>9158</v>
      </c>
      <c r="L1185" s="6" t="s">
        <v>1367</v>
      </c>
      <c r="M1185" s="21" t="s">
        <v>1368</v>
      </c>
      <c r="N1185" s="21" t="s">
        <v>1369</v>
      </c>
      <c r="O1185" t="s">
        <v>8671</v>
      </c>
      <c r="P1185" s="21" t="s">
        <v>22</v>
      </c>
      <c r="Q1185" t="s">
        <v>8672</v>
      </c>
    </row>
    <row r="1186" spans="1:17" ht="28.9">
      <c r="A1186" s="253" t="s">
        <v>9159</v>
      </c>
      <c r="B1186" s="402"/>
      <c r="C1186" s="21" t="s">
        <v>9129</v>
      </c>
      <c r="D1186" s="2" t="s">
        <v>9160</v>
      </c>
      <c r="E1186" s="2" t="s">
        <v>9161</v>
      </c>
      <c r="F1186" s="2" t="s">
        <v>8703</v>
      </c>
      <c r="G1186" s="2" t="s">
        <v>9162</v>
      </c>
      <c r="H1186" s="2" t="s">
        <v>8705</v>
      </c>
      <c r="I1186" s="2" t="s">
        <v>9163</v>
      </c>
      <c r="J1186" s="2" t="s">
        <v>9164</v>
      </c>
      <c r="K1186" s="2" t="s">
        <v>9165</v>
      </c>
      <c r="L1186" s="6" t="s">
        <v>1367</v>
      </c>
      <c r="M1186" s="21" t="s">
        <v>1368</v>
      </c>
      <c r="N1186" s="21" t="s">
        <v>1369</v>
      </c>
      <c r="O1186" t="s">
        <v>8671</v>
      </c>
      <c r="P1186" s="21" t="s">
        <v>1371</v>
      </c>
      <c r="Q1186" t="s">
        <v>8672</v>
      </c>
    </row>
    <row r="1187" spans="1:17" ht="28.9">
      <c r="A1187" s="253" t="s">
        <v>9166</v>
      </c>
      <c r="B1187" s="402"/>
      <c r="C1187" s="21" t="s">
        <v>9129</v>
      </c>
      <c r="D1187" s="2" t="s">
        <v>9167</v>
      </c>
      <c r="E1187" s="2" t="s">
        <v>9168</v>
      </c>
      <c r="F1187" s="2" t="s">
        <v>9169</v>
      </c>
      <c r="G1187" s="2" t="s">
        <v>9170</v>
      </c>
      <c r="H1187" s="2" t="s">
        <v>9171</v>
      </c>
      <c r="I1187" s="2" t="s">
        <v>9172</v>
      </c>
      <c r="J1187" s="2" t="s">
        <v>9036</v>
      </c>
      <c r="K1187" s="2" t="s">
        <v>9173</v>
      </c>
      <c r="L1187" s="6" t="s">
        <v>1367</v>
      </c>
      <c r="M1187" s="21" t="s">
        <v>1368</v>
      </c>
      <c r="N1187" s="21" t="s">
        <v>1369</v>
      </c>
      <c r="O1187" t="s">
        <v>8671</v>
      </c>
      <c r="P1187" s="21" t="s">
        <v>1371</v>
      </c>
      <c r="Q1187" t="s">
        <v>8672</v>
      </c>
    </row>
    <row r="1188" spans="1:17" ht="28.9">
      <c r="A1188" s="253" t="s">
        <v>9174</v>
      </c>
      <c r="B1188" s="402"/>
      <c r="C1188" s="21" t="s">
        <v>9129</v>
      </c>
      <c r="D1188" s="2" t="s">
        <v>9022</v>
      </c>
      <c r="E1188" s="2" t="s">
        <v>9175</v>
      </c>
      <c r="F1188" s="2" t="s">
        <v>9024</v>
      </c>
      <c r="G1188" s="2" t="s">
        <v>9025</v>
      </c>
      <c r="H1188" s="2" t="s">
        <v>9026</v>
      </c>
      <c r="I1188" s="2" t="s">
        <v>9176</v>
      </c>
      <c r="J1188" s="2" t="s">
        <v>9028</v>
      </c>
      <c r="K1188" s="2" t="s">
        <v>9029</v>
      </c>
      <c r="L1188" s="6" t="s">
        <v>1367</v>
      </c>
      <c r="M1188" s="21" t="s">
        <v>1368</v>
      </c>
      <c r="N1188" s="21" t="s">
        <v>1369</v>
      </c>
      <c r="O1188" t="s">
        <v>8671</v>
      </c>
      <c r="P1188" s="21" t="s">
        <v>1371</v>
      </c>
      <c r="Q1188" t="s">
        <v>8672</v>
      </c>
    </row>
    <row r="1189" spans="1:17" ht="28.9">
      <c r="A1189" s="253" t="s">
        <v>9177</v>
      </c>
      <c r="B1189" s="402"/>
      <c r="C1189" s="21" t="s">
        <v>9129</v>
      </c>
      <c r="D1189" s="2" t="s">
        <v>8892</v>
      </c>
      <c r="E1189" s="2" t="s">
        <v>9031</v>
      </c>
      <c r="F1189" s="2" t="s">
        <v>9178</v>
      </c>
      <c r="G1189" s="2" t="s">
        <v>9179</v>
      </c>
      <c r="H1189" s="2" t="s">
        <v>9180</v>
      </c>
      <c r="I1189" s="2" t="s">
        <v>9035</v>
      </c>
      <c r="J1189" s="2" t="s">
        <v>9181</v>
      </c>
      <c r="K1189" s="2" t="s">
        <v>9037</v>
      </c>
      <c r="L1189" s="6" t="s">
        <v>1367</v>
      </c>
      <c r="M1189" s="21" t="s">
        <v>1368</v>
      </c>
      <c r="N1189" s="21" t="s">
        <v>1369</v>
      </c>
      <c r="O1189" t="s">
        <v>8671</v>
      </c>
      <c r="P1189" s="21" t="s">
        <v>1371</v>
      </c>
      <c r="Q1189" t="s">
        <v>8672</v>
      </c>
    </row>
    <row r="1190" spans="1:17" ht="28.9">
      <c r="A1190" s="253" t="s">
        <v>9182</v>
      </c>
      <c r="B1190" s="402"/>
      <c r="C1190" s="21" t="s">
        <v>9129</v>
      </c>
      <c r="D1190" s="2" t="s">
        <v>9183</v>
      </c>
      <c r="E1190" s="2" t="s">
        <v>9184</v>
      </c>
      <c r="F1190" s="2" t="s">
        <v>9185</v>
      </c>
      <c r="G1190" s="2" t="s">
        <v>9186</v>
      </c>
      <c r="H1190" s="2" t="s">
        <v>9187</v>
      </c>
      <c r="I1190" s="2" t="s">
        <v>9188</v>
      </c>
      <c r="J1190" s="2" t="s">
        <v>9109</v>
      </c>
      <c r="K1190" s="2" t="s">
        <v>9189</v>
      </c>
      <c r="L1190" s="6" t="s">
        <v>1367</v>
      </c>
      <c r="M1190" s="21" t="s">
        <v>1368</v>
      </c>
      <c r="N1190" s="21" t="s">
        <v>1369</v>
      </c>
      <c r="O1190" t="s">
        <v>8671</v>
      </c>
      <c r="P1190" s="21" t="s">
        <v>22</v>
      </c>
      <c r="Q1190" t="s">
        <v>8672</v>
      </c>
    </row>
    <row r="1191" spans="1:17" ht="28.9">
      <c r="A1191" s="253" t="s">
        <v>9190</v>
      </c>
      <c r="B1191" s="402"/>
      <c r="C1191" s="21" t="s">
        <v>9129</v>
      </c>
      <c r="D1191" s="2" t="s">
        <v>9191</v>
      </c>
      <c r="E1191" s="2" t="s">
        <v>9192</v>
      </c>
      <c r="F1191" s="2" t="s">
        <v>9193</v>
      </c>
      <c r="G1191" s="2" t="s">
        <v>9194</v>
      </c>
      <c r="H1191" s="2" t="s">
        <v>9195</v>
      </c>
      <c r="I1191" s="2" t="s">
        <v>9196</v>
      </c>
      <c r="J1191" s="2" t="s">
        <v>9197</v>
      </c>
      <c r="K1191" s="2" t="s">
        <v>9198</v>
      </c>
      <c r="L1191" s="6" t="s">
        <v>1367</v>
      </c>
      <c r="M1191" s="21" t="s">
        <v>1368</v>
      </c>
      <c r="N1191" s="21" t="s">
        <v>1369</v>
      </c>
      <c r="O1191" t="s">
        <v>8671</v>
      </c>
      <c r="P1191" s="21" t="s">
        <v>22</v>
      </c>
      <c r="Q1191" t="s">
        <v>8672</v>
      </c>
    </row>
    <row r="1192" spans="1:17" ht="28.9">
      <c r="A1192" s="253" t="s">
        <v>9199</v>
      </c>
      <c r="B1192" s="402"/>
      <c r="C1192" s="21" t="s">
        <v>9129</v>
      </c>
      <c r="D1192" s="2" t="s">
        <v>9200</v>
      </c>
      <c r="E1192" s="2" t="s">
        <v>9201</v>
      </c>
      <c r="F1192" s="2" t="s">
        <v>9202</v>
      </c>
      <c r="G1192" s="2" t="s">
        <v>9203</v>
      </c>
      <c r="H1192" s="2" t="s">
        <v>9204</v>
      </c>
      <c r="I1192" s="2" t="s">
        <v>9205</v>
      </c>
      <c r="J1192" s="2" t="s">
        <v>9206</v>
      </c>
      <c r="K1192" s="2" t="s">
        <v>9207</v>
      </c>
      <c r="L1192" s="6" t="s">
        <v>1367</v>
      </c>
      <c r="M1192" s="21" t="s">
        <v>1368</v>
      </c>
      <c r="N1192" s="21" t="s">
        <v>1369</v>
      </c>
      <c r="O1192" t="s">
        <v>8671</v>
      </c>
      <c r="P1192" s="21" t="s">
        <v>1371</v>
      </c>
      <c r="Q1192" t="s">
        <v>8672</v>
      </c>
    </row>
    <row r="1193" spans="1:17" ht="28.9">
      <c r="A1193" s="253" t="s">
        <v>9208</v>
      </c>
      <c r="B1193" s="402"/>
      <c r="C1193" s="21" t="s">
        <v>9129</v>
      </c>
      <c r="D1193" s="2" t="s">
        <v>9209</v>
      </c>
      <c r="E1193" s="2" t="s">
        <v>9210</v>
      </c>
      <c r="F1193" s="2" t="s">
        <v>9211</v>
      </c>
      <c r="G1193" s="2" t="s">
        <v>9212</v>
      </c>
      <c r="H1193" s="2" t="s">
        <v>9213</v>
      </c>
      <c r="I1193" s="2" t="s">
        <v>9214</v>
      </c>
      <c r="J1193" s="2" t="s">
        <v>9215</v>
      </c>
      <c r="K1193" s="2" t="s">
        <v>9216</v>
      </c>
      <c r="L1193" s="6" t="s">
        <v>1367</v>
      </c>
      <c r="M1193" s="21" t="s">
        <v>1368</v>
      </c>
      <c r="N1193" s="21" t="s">
        <v>1369</v>
      </c>
      <c r="O1193" t="s">
        <v>8671</v>
      </c>
      <c r="P1193" s="21" t="s">
        <v>22</v>
      </c>
      <c r="Q1193" t="s">
        <v>8672</v>
      </c>
    </row>
    <row r="1194" spans="1:17" ht="28.9">
      <c r="A1194" s="253" t="s">
        <v>9217</v>
      </c>
      <c r="B1194" s="402"/>
      <c r="C1194" s="21" t="s">
        <v>9129</v>
      </c>
      <c r="D1194" s="2" t="s">
        <v>9218</v>
      </c>
      <c r="E1194" s="2" t="s">
        <v>9219</v>
      </c>
      <c r="F1194" s="2" t="s">
        <v>9148</v>
      </c>
      <c r="G1194" s="2" t="s">
        <v>9220</v>
      </c>
      <c r="H1194" s="2" t="s">
        <v>8966</v>
      </c>
      <c r="I1194" s="2" t="s">
        <v>9221</v>
      </c>
      <c r="J1194" s="2" t="s">
        <v>9222</v>
      </c>
      <c r="K1194" s="2" t="s">
        <v>9223</v>
      </c>
      <c r="L1194" s="6" t="s">
        <v>1367</v>
      </c>
      <c r="M1194" s="21" t="s">
        <v>1368</v>
      </c>
      <c r="N1194" s="21" t="s">
        <v>1369</v>
      </c>
      <c r="O1194" t="s">
        <v>8671</v>
      </c>
      <c r="P1194" s="21" t="s">
        <v>1371</v>
      </c>
      <c r="Q1194" t="s">
        <v>8672</v>
      </c>
    </row>
    <row r="1195" spans="1:17" ht="28.9">
      <c r="A1195" s="253" t="s">
        <v>9224</v>
      </c>
      <c r="B1195" s="402"/>
      <c r="C1195" s="21" t="s">
        <v>9225</v>
      </c>
      <c r="D1195" s="2" t="s">
        <v>9226</v>
      </c>
      <c r="E1195" s="2" t="s">
        <v>9227</v>
      </c>
      <c r="F1195" s="2" t="s">
        <v>9228</v>
      </c>
      <c r="G1195" s="2" t="s">
        <v>9229</v>
      </c>
      <c r="H1195" s="2" t="s">
        <v>1442</v>
      </c>
      <c r="I1195" s="2" t="s">
        <v>9230</v>
      </c>
      <c r="J1195" s="2" t="s">
        <v>4926</v>
      </c>
      <c r="K1195" s="2" t="s">
        <v>9231</v>
      </c>
      <c r="L1195" s="6" t="s">
        <v>1367</v>
      </c>
      <c r="M1195" s="21" t="s">
        <v>1368</v>
      </c>
      <c r="N1195" s="21" t="s">
        <v>1369</v>
      </c>
      <c r="O1195" t="s">
        <v>8671</v>
      </c>
      <c r="P1195" s="21" t="s">
        <v>22</v>
      </c>
      <c r="Q1195" t="s">
        <v>8672</v>
      </c>
    </row>
    <row r="1196" spans="1:17" ht="28.9">
      <c r="A1196" s="253" t="s">
        <v>9232</v>
      </c>
      <c r="B1196" s="402"/>
      <c r="C1196" s="21" t="s">
        <v>9233</v>
      </c>
      <c r="D1196" s="2" t="s">
        <v>9234</v>
      </c>
      <c r="E1196" s="2" t="s">
        <v>9235</v>
      </c>
      <c r="F1196" s="2" t="s">
        <v>9236</v>
      </c>
      <c r="G1196" s="2" t="s">
        <v>9237</v>
      </c>
      <c r="H1196" s="2" t="s">
        <v>9238</v>
      </c>
      <c r="I1196" s="2" t="s">
        <v>9239</v>
      </c>
      <c r="J1196" s="2" t="s">
        <v>9135</v>
      </c>
      <c r="K1196" s="2" t="s">
        <v>9240</v>
      </c>
      <c r="L1196" s="6" t="s">
        <v>1367</v>
      </c>
      <c r="M1196" s="21" t="s">
        <v>1368</v>
      </c>
      <c r="N1196" s="21" t="s">
        <v>1369</v>
      </c>
      <c r="O1196" t="s">
        <v>8671</v>
      </c>
      <c r="P1196" s="21" t="s">
        <v>22</v>
      </c>
      <c r="Q1196" t="s">
        <v>8672</v>
      </c>
    </row>
    <row r="1197" spans="1:17" ht="28.9">
      <c r="A1197" s="253" t="s">
        <v>9241</v>
      </c>
      <c r="B1197" s="402"/>
      <c r="C1197" s="21" t="s">
        <v>9233</v>
      </c>
      <c r="D1197" s="2" t="s">
        <v>9242</v>
      </c>
      <c r="E1197" s="2" t="s">
        <v>9243</v>
      </c>
      <c r="F1197" s="2" t="s">
        <v>9135</v>
      </c>
      <c r="G1197" s="2" t="s">
        <v>9155</v>
      </c>
      <c r="H1197" s="2" t="s">
        <v>9156</v>
      </c>
      <c r="I1197" s="2" t="s">
        <v>9244</v>
      </c>
      <c r="J1197" s="2" t="s">
        <v>9050</v>
      </c>
      <c r="K1197" s="2" t="s">
        <v>9245</v>
      </c>
      <c r="L1197" s="6" t="s">
        <v>1367</v>
      </c>
      <c r="M1197" s="21" t="s">
        <v>1368</v>
      </c>
      <c r="N1197" s="21" t="s">
        <v>1369</v>
      </c>
      <c r="O1197" t="s">
        <v>8671</v>
      </c>
      <c r="P1197" s="21" t="s">
        <v>22</v>
      </c>
      <c r="Q1197" t="s">
        <v>8672</v>
      </c>
    </row>
    <row r="1198" spans="1:17" ht="28.9">
      <c r="A1198" s="253" t="s">
        <v>9246</v>
      </c>
      <c r="B1198" s="402"/>
      <c r="C1198" s="21" t="s">
        <v>9233</v>
      </c>
      <c r="D1198" s="2" t="s">
        <v>9146</v>
      </c>
      <c r="E1198" s="2" t="s">
        <v>9247</v>
      </c>
      <c r="F1198" s="2" t="s">
        <v>9236</v>
      </c>
      <c r="G1198" s="2" t="s">
        <v>9248</v>
      </c>
      <c r="H1198" s="2" t="s">
        <v>8162</v>
      </c>
      <c r="I1198" s="2" t="s">
        <v>9006</v>
      </c>
      <c r="J1198" s="2" t="s">
        <v>9007</v>
      </c>
      <c r="K1198" s="2" t="s">
        <v>9151</v>
      </c>
      <c r="L1198" s="6" t="s">
        <v>1367</v>
      </c>
      <c r="M1198" s="21" t="s">
        <v>1368</v>
      </c>
      <c r="N1198" s="21" t="s">
        <v>1369</v>
      </c>
      <c r="O1198" t="s">
        <v>8671</v>
      </c>
      <c r="P1198" s="21" t="s">
        <v>1371</v>
      </c>
      <c r="Q1198" t="s">
        <v>8672</v>
      </c>
    </row>
    <row r="1199" spans="1:17" ht="28.9">
      <c r="A1199" s="253" t="s">
        <v>9249</v>
      </c>
      <c r="B1199" s="402"/>
      <c r="C1199" s="21" t="s">
        <v>9233</v>
      </c>
      <c r="D1199" s="2" t="s">
        <v>9250</v>
      </c>
      <c r="E1199" s="2" t="s">
        <v>9251</v>
      </c>
      <c r="F1199" s="2" t="s">
        <v>9252</v>
      </c>
      <c r="G1199" s="2" t="s">
        <v>9253</v>
      </c>
      <c r="H1199" s="2" t="s">
        <v>9012</v>
      </c>
      <c r="I1199" s="2" t="s">
        <v>9254</v>
      </c>
      <c r="J1199" s="2" t="s">
        <v>9007</v>
      </c>
      <c r="K1199" s="2" t="s">
        <v>9255</v>
      </c>
      <c r="L1199" s="6" t="s">
        <v>1367</v>
      </c>
      <c r="M1199" s="21" t="s">
        <v>1368</v>
      </c>
      <c r="N1199" s="21" t="s">
        <v>1369</v>
      </c>
      <c r="O1199" t="s">
        <v>8671</v>
      </c>
      <c r="P1199" s="21" t="s">
        <v>1371</v>
      </c>
      <c r="Q1199" t="s">
        <v>8672</v>
      </c>
    </row>
    <row r="1200" spans="1:17" ht="28.9">
      <c r="A1200" s="253" t="s">
        <v>9256</v>
      </c>
      <c r="B1200" s="402"/>
      <c r="C1200" s="21" t="s">
        <v>9233</v>
      </c>
      <c r="D1200" s="2" t="s">
        <v>9022</v>
      </c>
      <c r="E1200" s="2" t="s">
        <v>9257</v>
      </c>
      <c r="F1200" s="2" t="s">
        <v>9024</v>
      </c>
      <c r="G1200" s="2" t="s">
        <v>9025</v>
      </c>
      <c r="H1200" s="2" t="s">
        <v>9258</v>
      </c>
      <c r="I1200" s="2" t="s">
        <v>9259</v>
      </c>
      <c r="J1200" s="2" t="s">
        <v>9260</v>
      </c>
      <c r="K1200" s="2" t="s">
        <v>9261</v>
      </c>
      <c r="L1200" s="6" t="s">
        <v>1367</v>
      </c>
      <c r="M1200" s="21" t="s">
        <v>1368</v>
      </c>
      <c r="N1200" s="21" t="s">
        <v>1369</v>
      </c>
      <c r="O1200" t="s">
        <v>8671</v>
      </c>
      <c r="P1200" s="21" t="s">
        <v>1371</v>
      </c>
      <c r="Q1200" t="s">
        <v>8672</v>
      </c>
    </row>
    <row r="1201" spans="1:17" ht="28.9">
      <c r="A1201" s="253" t="s">
        <v>9262</v>
      </c>
      <c r="B1201" s="402"/>
      <c r="C1201" s="21" t="s">
        <v>9233</v>
      </c>
      <c r="D1201" s="2" t="s">
        <v>9263</v>
      </c>
      <c r="E1201" s="2" t="s">
        <v>9264</v>
      </c>
      <c r="F1201" s="2" t="s">
        <v>9265</v>
      </c>
      <c r="G1201" s="2" t="s">
        <v>9179</v>
      </c>
      <c r="H1201" s="2" t="s">
        <v>9180</v>
      </c>
      <c r="I1201" s="2" t="s">
        <v>9035</v>
      </c>
      <c r="J1201" s="2" t="s">
        <v>9266</v>
      </c>
      <c r="K1201" s="2" t="s">
        <v>9037</v>
      </c>
      <c r="L1201" s="6" t="s">
        <v>1367</v>
      </c>
      <c r="M1201" s="21" t="s">
        <v>1368</v>
      </c>
      <c r="N1201" s="21" t="s">
        <v>1369</v>
      </c>
      <c r="O1201" t="s">
        <v>8671</v>
      </c>
      <c r="P1201" s="21" t="s">
        <v>1371</v>
      </c>
      <c r="Q1201" t="s">
        <v>8672</v>
      </c>
    </row>
    <row r="1202" spans="1:17" ht="28.9">
      <c r="A1202" s="253" t="s">
        <v>9267</v>
      </c>
      <c r="B1202" s="402"/>
      <c r="C1202" s="21" t="s">
        <v>9233</v>
      </c>
      <c r="D1202" s="2" t="s">
        <v>9268</v>
      </c>
      <c r="E1202" s="2" t="s">
        <v>9269</v>
      </c>
      <c r="F1202" s="2" t="s">
        <v>9193</v>
      </c>
      <c r="G1202" s="2" t="s">
        <v>9270</v>
      </c>
      <c r="H1202" s="2" t="s">
        <v>9195</v>
      </c>
      <c r="I1202" s="2" t="s">
        <v>9196</v>
      </c>
      <c r="J1202" s="2" t="s">
        <v>9197</v>
      </c>
      <c r="K1202" s="2" t="s">
        <v>9271</v>
      </c>
      <c r="L1202" s="6" t="s">
        <v>1367</v>
      </c>
      <c r="M1202" s="21" t="s">
        <v>1368</v>
      </c>
      <c r="N1202" s="21" t="s">
        <v>1369</v>
      </c>
      <c r="O1202" t="s">
        <v>8671</v>
      </c>
      <c r="P1202" s="21" t="s">
        <v>22</v>
      </c>
      <c r="Q1202" t="s">
        <v>8672</v>
      </c>
    </row>
    <row r="1203" spans="1:17" ht="28.9">
      <c r="A1203" s="253" t="s">
        <v>9272</v>
      </c>
      <c r="B1203" s="402"/>
      <c r="C1203" s="21" t="s">
        <v>9233</v>
      </c>
      <c r="D1203" s="2" t="s">
        <v>9200</v>
      </c>
      <c r="E1203" s="2" t="s">
        <v>9273</v>
      </c>
      <c r="F1203" s="2" t="s">
        <v>9202</v>
      </c>
      <c r="G1203" s="2" t="s">
        <v>9274</v>
      </c>
      <c r="H1203" s="2" t="s">
        <v>9275</v>
      </c>
      <c r="I1203" s="2" t="s">
        <v>9276</v>
      </c>
      <c r="J1203" s="2" t="s">
        <v>9277</v>
      </c>
      <c r="K1203" s="2" t="s">
        <v>9278</v>
      </c>
      <c r="L1203" s="6" t="s">
        <v>1367</v>
      </c>
      <c r="M1203" s="21" t="s">
        <v>1368</v>
      </c>
      <c r="N1203" s="21" t="s">
        <v>1369</v>
      </c>
      <c r="O1203" t="s">
        <v>8671</v>
      </c>
      <c r="P1203" s="21" t="s">
        <v>1371</v>
      </c>
      <c r="Q1203" t="s">
        <v>8672</v>
      </c>
    </row>
    <row r="1204" spans="1:17" ht="28.9">
      <c r="A1204" s="253" t="s">
        <v>9279</v>
      </c>
      <c r="B1204" s="402"/>
      <c r="C1204" s="21" t="s">
        <v>9233</v>
      </c>
      <c r="D1204" s="2" t="s">
        <v>9280</v>
      </c>
      <c r="E1204" s="2" t="s">
        <v>9281</v>
      </c>
      <c r="F1204" s="2" t="s">
        <v>9228</v>
      </c>
      <c r="G1204" s="2" t="s">
        <v>9282</v>
      </c>
      <c r="H1204" s="2" t="s">
        <v>9283</v>
      </c>
      <c r="I1204" s="2" t="s">
        <v>9284</v>
      </c>
      <c r="J1204" s="2" t="s">
        <v>9109</v>
      </c>
      <c r="K1204" s="2" t="s">
        <v>9285</v>
      </c>
      <c r="L1204" s="6" t="s">
        <v>1367</v>
      </c>
      <c r="M1204" s="21" t="s">
        <v>1368</v>
      </c>
      <c r="N1204" s="21" t="s">
        <v>1369</v>
      </c>
      <c r="O1204" t="s">
        <v>8671</v>
      </c>
      <c r="P1204" s="21" t="s">
        <v>22</v>
      </c>
      <c r="Q1204" t="s">
        <v>8672</v>
      </c>
    </row>
    <row r="1205" spans="1:17" ht="28.9">
      <c r="A1205" s="253" t="s">
        <v>9286</v>
      </c>
      <c r="B1205" s="402"/>
      <c r="C1205" s="21" t="s">
        <v>9233</v>
      </c>
      <c r="D1205" s="2" t="s">
        <v>9287</v>
      </c>
      <c r="E1205" s="2" t="s">
        <v>9288</v>
      </c>
      <c r="F1205" s="2" t="s">
        <v>9289</v>
      </c>
      <c r="G1205" s="2" t="s">
        <v>8919</v>
      </c>
      <c r="H1205" s="2" t="s">
        <v>9290</v>
      </c>
      <c r="I1205" s="2" t="s">
        <v>9291</v>
      </c>
      <c r="J1205" s="2" t="s">
        <v>9292</v>
      </c>
      <c r="K1205" s="2" t="s">
        <v>9293</v>
      </c>
      <c r="L1205" s="6" t="s">
        <v>1367</v>
      </c>
      <c r="M1205" s="21" t="s">
        <v>1368</v>
      </c>
      <c r="N1205" s="21" t="s">
        <v>1369</v>
      </c>
      <c r="O1205" t="s">
        <v>8671</v>
      </c>
      <c r="P1205" s="21" t="s">
        <v>1371</v>
      </c>
      <c r="Q1205" t="s">
        <v>8672</v>
      </c>
    </row>
    <row r="1206" spans="1:17" ht="28.9">
      <c r="A1206" s="253" t="s">
        <v>9294</v>
      </c>
      <c r="B1206" s="402"/>
      <c r="C1206" s="21" t="s">
        <v>9233</v>
      </c>
      <c r="D1206" s="2" t="s">
        <v>9218</v>
      </c>
      <c r="E1206" s="2" t="s">
        <v>9219</v>
      </c>
      <c r="F1206" s="2" t="s">
        <v>9295</v>
      </c>
      <c r="G1206" s="2" t="s">
        <v>9220</v>
      </c>
      <c r="H1206" s="2" t="s">
        <v>9296</v>
      </c>
      <c r="I1206" s="2" t="s">
        <v>9297</v>
      </c>
      <c r="J1206" s="2" t="s">
        <v>9117</v>
      </c>
      <c r="K1206" s="2" t="s">
        <v>9298</v>
      </c>
      <c r="L1206" s="6" t="s">
        <v>1367</v>
      </c>
      <c r="M1206" s="21" t="s">
        <v>1368</v>
      </c>
      <c r="N1206" s="21" t="s">
        <v>1369</v>
      </c>
      <c r="O1206" t="s">
        <v>8671</v>
      </c>
      <c r="P1206" s="21" t="s">
        <v>1371</v>
      </c>
      <c r="Q1206" t="s">
        <v>8672</v>
      </c>
    </row>
    <row r="1207" spans="1:17" ht="43.15">
      <c r="A1207" s="253" t="s">
        <v>9299</v>
      </c>
      <c r="B1207" s="402"/>
      <c r="C1207" s="21" t="s">
        <v>9233</v>
      </c>
      <c r="D1207" s="2" t="s">
        <v>9300</v>
      </c>
      <c r="E1207" s="2" t="s">
        <v>9301</v>
      </c>
      <c r="F1207" s="2" t="s">
        <v>9302</v>
      </c>
      <c r="G1207" s="2" t="s">
        <v>9303</v>
      </c>
      <c r="H1207" s="2" t="s">
        <v>9304</v>
      </c>
      <c r="I1207" s="2" t="s">
        <v>9305</v>
      </c>
      <c r="J1207" s="2" t="s">
        <v>9306</v>
      </c>
      <c r="K1207" s="2" t="s">
        <v>9307</v>
      </c>
      <c r="L1207" s="6" t="s">
        <v>1367</v>
      </c>
      <c r="M1207" s="21" t="s">
        <v>1368</v>
      </c>
      <c r="N1207" s="21" t="s">
        <v>1369</v>
      </c>
      <c r="O1207" t="s">
        <v>8671</v>
      </c>
      <c r="P1207" s="21" t="s">
        <v>1481</v>
      </c>
      <c r="Q1207" t="s">
        <v>8672</v>
      </c>
    </row>
    <row r="1208" spans="1:17" ht="28.9">
      <c r="A1208" s="253" t="s">
        <v>9308</v>
      </c>
      <c r="B1208" s="402"/>
      <c r="C1208" s="21" t="s">
        <v>9233</v>
      </c>
      <c r="D1208" s="2" t="s">
        <v>9309</v>
      </c>
      <c r="E1208" s="2" t="s">
        <v>9310</v>
      </c>
      <c r="F1208" s="2" t="s">
        <v>9311</v>
      </c>
      <c r="G1208" s="2" t="s">
        <v>9220</v>
      </c>
      <c r="H1208" s="2" t="s">
        <v>9312</v>
      </c>
      <c r="I1208" s="2" t="s">
        <v>9313</v>
      </c>
      <c r="J1208" s="2" t="s">
        <v>9314</v>
      </c>
      <c r="K1208" s="2" t="s">
        <v>9315</v>
      </c>
      <c r="L1208" s="6" t="s">
        <v>1367</v>
      </c>
      <c r="M1208" s="21" t="s">
        <v>1368</v>
      </c>
      <c r="N1208" s="21" t="s">
        <v>1369</v>
      </c>
      <c r="O1208" t="s">
        <v>8671</v>
      </c>
      <c r="P1208" s="21" t="s">
        <v>1371</v>
      </c>
      <c r="Q1208" t="s">
        <v>8672</v>
      </c>
    </row>
    <row r="1209" spans="1:17" ht="28.9">
      <c r="A1209" s="253" t="s">
        <v>9316</v>
      </c>
      <c r="B1209" s="402"/>
      <c r="C1209" s="21" t="s">
        <v>9317</v>
      </c>
      <c r="D1209" s="2" t="s">
        <v>9318</v>
      </c>
      <c r="E1209" s="2" t="s">
        <v>9319</v>
      </c>
      <c r="F1209" s="2" t="s">
        <v>9320</v>
      </c>
      <c r="G1209" s="21" t="s">
        <v>9321</v>
      </c>
      <c r="H1209" s="2" t="s">
        <v>1442</v>
      </c>
      <c r="I1209" s="2" t="s">
        <v>9322</v>
      </c>
      <c r="J1209" s="2" t="s">
        <v>4926</v>
      </c>
      <c r="K1209" s="2" t="s">
        <v>9323</v>
      </c>
      <c r="L1209" s="6" t="s">
        <v>1367</v>
      </c>
      <c r="M1209" s="21" t="s">
        <v>1368</v>
      </c>
      <c r="N1209" s="21" t="s">
        <v>1369</v>
      </c>
      <c r="O1209" t="s">
        <v>8671</v>
      </c>
      <c r="P1209" s="21" t="s">
        <v>22</v>
      </c>
      <c r="Q1209" t="s">
        <v>8672</v>
      </c>
    </row>
    <row r="1210" spans="1:17" ht="28.9">
      <c r="A1210" s="253" t="s">
        <v>9324</v>
      </c>
      <c r="B1210" s="402"/>
      <c r="C1210" s="21" t="s">
        <v>9325</v>
      </c>
      <c r="D1210" s="2" t="s">
        <v>9326</v>
      </c>
      <c r="E1210" s="2" t="s">
        <v>9327</v>
      </c>
      <c r="F1210" s="2" t="s">
        <v>9328</v>
      </c>
      <c r="G1210" s="21" t="s">
        <v>9329</v>
      </c>
      <c r="H1210" s="2" t="s">
        <v>9330</v>
      </c>
      <c r="I1210" s="2" t="s">
        <v>9331</v>
      </c>
      <c r="J1210" s="2" t="s">
        <v>9332</v>
      </c>
      <c r="K1210" s="2" t="s">
        <v>9333</v>
      </c>
      <c r="L1210" s="6" t="s">
        <v>1367</v>
      </c>
      <c r="M1210" s="21" t="s">
        <v>1368</v>
      </c>
      <c r="N1210" s="21" t="s">
        <v>1369</v>
      </c>
      <c r="O1210" t="s">
        <v>8671</v>
      </c>
      <c r="P1210" s="21" t="s">
        <v>22</v>
      </c>
      <c r="Q1210" t="s">
        <v>8672</v>
      </c>
    </row>
    <row r="1211" spans="1:17" ht="28.9">
      <c r="A1211" s="253" t="s">
        <v>9334</v>
      </c>
      <c r="B1211" s="402"/>
      <c r="C1211" s="21" t="s">
        <v>9325</v>
      </c>
      <c r="D1211" s="2" t="s">
        <v>9335</v>
      </c>
      <c r="E1211" s="2" t="s">
        <v>9336</v>
      </c>
      <c r="F1211" s="2" t="s">
        <v>3094</v>
      </c>
      <c r="G1211" s="21" t="s">
        <v>9337</v>
      </c>
      <c r="H1211" s="2" t="s">
        <v>9338</v>
      </c>
      <c r="I1211" s="2" t="s">
        <v>9339</v>
      </c>
      <c r="J1211" s="2" t="s">
        <v>9340</v>
      </c>
      <c r="K1211" s="2" t="s">
        <v>9339</v>
      </c>
      <c r="L1211" s="6" t="s">
        <v>1367</v>
      </c>
      <c r="M1211" s="21" t="s">
        <v>1368</v>
      </c>
      <c r="N1211" s="21" t="s">
        <v>1369</v>
      </c>
      <c r="O1211" t="s">
        <v>8671</v>
      </c>
      <c r="P1211" s="21" t="s">
        <v>22</v>
      </c>
      <c r="Q1211" t="s">
        <v>8672</v>
      </c>
    </row>
    <row r="1212" spans="1:17" ht="28.9">
      <c r="A1212" s="253" t="s">
        <v>9341</v>
      </c>
      <c r="B1212" s="402"/>
      <c r="C1212" s="21" t="s">
        <v>9325</v>
      </c>
      <c r="D1212" s="2" t="s">
        <v>9342</v>
      </c>
      <c r="E1212" s="2" t="s">
        <v>9343</v>
      </c>
      <c r="F1212" s="2" t="s">
        <v>9344</v>
      </c>
      <c r="G1212" s="21" t="s">
        <v>9345</v>
      </c>
      <c r="H1212" s="2" t="s">
        <v>9346</v>
      </c>
      <c r="I1212" s="2" t="s">
        <v>6753</v>
      </c>
      <c r="J1212" s="2" t="s">
        <v>6121</v>
      </c>
      <c r="K1212" s="2" t="s">
        <v>9347</v>
      </c>
      <c r="L1212" s="6" t="s">
        <v>1367</v>
      </c>
      <c r="M1212" s="21" t="s">
        <v>1368</v>
      </c>
      <c r="N1212" s="21" t="s">
        <v>1369</v>
      </c>
      <c r="O1212" t="s">
        <v>8671</v>
      </c>
      <c r="P1212" s="21" t="s">
        <v>22</v>
      </c>
      <c r="Q1212" t="s">
        <v>8672</v>
      </c>
    </row>
    <row r="1213" spans="1:17" ht="28.9">
      <c r="A1213" s="253" t="s">
        <v>9348</v>
      </c>
      <c r="B1213" s="402"/>
      <c r="C1213" s="21" t="s">
        <v>9325</v>
      </c>
      <c r="D1213" s="2" t="s">
        <v>9349</v>
      </c>
      <c r="E1213" s="2" t="s">
        <v>9350</v>
      </c>
      <c r="F1213" s="2" t="s">
        <v>9351</v>
      </c>
      <c r="G1213" s="21" t="s">
        <v>9352</v>
      </c>
      <c r="H1213" s="2" t="s">
        <v>9353</v>
      </c>
      <c r="I1213" s="2" t="s">
        <v>9354</v>
      </c>
      <c r="J1213" s="2" t="s">
        <v>9355</v>
      </c>
      <c r="K1213" s="2" t="s">
        <v>9339</v>
      </c>
      <c r="L1213" s="6" t="s">
        <v>1367</v>
      </c>
      <c r="M1213" s="21" t="s">
        <v>1368</v>
      </c>
      <c r="N1213" s="21" t="s">
        <v>1369</v>
      </c>
      <c r="O1213" t="s">
        <v>8671</v>
      </c>
      <c r="P1213" s="21" t="s">
        <v>22</v>
      </c>
      <c r="Q1213" t="s">
        <v>8672</v>
      </c>
    </row>
    <row r="1214" spans="1:17" ht="28.9">
      <c r="A1214" s="253" t="s">
        <v>9356</v>
      </c>
      <c r="B1214" s="402"/>
      <c r="C1214" s="21" t="s">
        <v>9325</v>
      </c>
      <c r="D1214" s="2" t="s">
        <v>4345</v>
      </c>
      <c r="E1214" s="2" t="s">
        <v>9357</v>
      </c>
      <c r="F1214" s="2" t="s">
        <v>9358</v>
      </c>
      <c r="G1214" s="21" t="s">
        <v>9359</v>
      </c>
      <c r="H1214" s="2" t="s">
        <v>9213</v>
      </c>
      <c r="I1214" s="2" t="s">
        <v>9214</v>
      </c>
      <c r="J1214" s="2" t="s">
        <v>9360</v>
      </c>
      <c r="K1214" s="2" t="s">
        <v>5243</v>
      </c>
      <c r="L1214" s="6" t="s">
        <v>1367</v>
      </c>
      <c r="M1214" s="21" t="s">
        <v>1368</v>
      </c>
      <c r="N1214" s="21" t="s">
        <v>1369</v>
      </c>
      <c r="O1214" t="s">
        <v>8671</v>
      </c>
      <c r="P1214" s="21" t="s">
        <v>1371</v>
      </c>
      <c r="Q1214" t="s">
        <v>8672</v>
      </c>
    </row>
    <row r="1215" spans="1:17" ht="28.9">
      <c r="A1215" s="253" t="s">
        <v>9361</v>
      </c>
      <c r="B1215" s="402"/>
      <c r="C1215" s="21" t="s">
        <v>9325</v>
      </c>
      <c r="D1215" s="2" t="s">
        <v>9362</v>
      </c>
      <c r="E1215" s="2" t="s">
        <v>9363</v>
      </c>
      <c r="F1215" s="2" t="s">
        <v>9364</v>
      </c>
      <c r="G1215" s="21" t="s">
        <v>9365</v>
      </c>
      <c r="H1215" s="2" t="s">
        <v>9366</v>
      </c>
      <c r="I1215" s="2" t="s">
        <v>9367</v>
      </c>
      <c r="J1215" s="2" t="s">
        <v>9368</v>
      </c>
      <c r="K1215" s="2" t="s">
        <v>9369</v>
      </c>
      <c r="L1215" s="6" t="s">
        <v>1367</v>
      </c>
      <c r="M1215" s="21" t="s">
        <v>1368</v>
      </c>
      <c r="N1215" s="21" t="s">
        <v>1369</v>
      </c>
      <c r="O1215" t="s">
        <v>8671</v>
      </c>
      <c r="P1215" s="21" t="s">
        <v>1371</v>
      </c>
      <c r="Q1215" t="s">
        <v>8672</v>
      </c>
    </row>
    <row r="1216" spans="1:17" ht="28.9">
      <c r="A1216" s="253" t="s">
        <v>9370</v>
      </c>
      <c r="B1216" s="402"/>
      <c r="C1216" s="21" t="s">
        <v>9325</v>
      </c>
      <c r="D1216" s="2" t="s">
        <v>9371</v>
      </c>
      <c r="E1216" s="2" t="s">
        <v>9372</v>
      </c>
      <c r="F1216" s="2" t="s">
        <v>9373</v>
      </c>
      <c r="G1216" s="21" t="s">
        <v>9374</v>
      </c>
      <c r="H1216" s="2" t="s">
        <v>9375</v>
      </c>
      <c r="I1216" s="2" t="s">
        <v>9376</v>
      </c>
      <c r="J1216" s="2" t="s">
        <v>9377</v>
      </c>
      <c r="K1216" s="2" t="s">
        <v>9378</v>
      </c>
      <c r="L1216" s="6" t="s">
        <v>1367</v>
      </c>
      <c r="M1216" s="21" t="s">
        <v>1368</v>
      </c>
      <c r="N1216" s="21" t="s">
        <v>1369</v>
      </c>
      <c r="O1216" t="s">
        <v>8671</v>
      </c>
      <c r="P1216" s="21" t="s">
        <v>22</v>
      </c>
      <c r="Q1216" t="s">
        <v>8672</v>
      </c>
    </row>
    <row r="1217" spans="1:17" ht="28.9">
      <c r="A1217" s="253" t="s">
        <v>9379</v>
      </c>
      <c r="B1217" s="402"/>
      <c r="C1217" s="21" t="s">
        <v>9325</v>
      </c>
      <c r="D1217" s="2" t="s">
        <v>9380</v>
      </c>
      <c r="E1217" s="2" t="s">
        <v>9381</v>
      </c>
      <c r="F1217" s="2" t="s">
        <v>9340</v>
      </c>
      <c r="G1217" s="21" t="s">
        <v>9382</v>
      </c>
      <c r="H1217" s="2" t="s">
        <v>9383</v>
      </c>
      <c r="I1217" s="2" t="s">
        <v>9384</v>
      </c>
      <c r="J1217" s="2" t="s">
        <v>9385</v>
      </c>
      <c r="K1217" s="2" t="s">
        <v>9386</v>
      </c>
      <c r="L1217" s="6" t="s">
        <v>1367</v>
      </c>
      <c r="M1217" s="21" t="s">
        <v>1368</v>
      </c>
      <c r="N1217" s="21" t="s">
        <v>1369</v>
      </c>
      <c r="O1217" t="s">
        <v>8671</v>
      </c>
      <c r="P1217" s="21" t="s">
        <v>22</v>
      </c>
      <c r="Q1217" t="s">
        <v>8672</v>
      </c>
    </row>
    <row r="1218" spans="1:17" ht="28.9">
      <c r="A1218" s="253" t="s">
        <v>9387</v>
      </c>
      <c r="B1218" s="402"/>
      <c r="C1218" s="21" t="s">
        <v>9325</v>
      </c>
      <c r="D1218" s="2" t="s">
        <v>8803</v>
      </c>
      <c r="E1218" s="2" t="s">
        <v>9388</v>
      </c>
      <c r="F1218" s="2" t="s">
        <v>9389</v>
      </c>
      <c r="G1218" s="21" t="s">
        <v>9106</v>
      </c>
      <c r="H1218" s="2" t="s">
        <v>9390</v>
      </c>
      <c r="I1218" s="2" t="s">
        <v>9391</v>
      </c>
      <c r="J1218" s="2" t="s">
        <v>9109</v>
      </c>
      <c r="K1218" s="2" t="s">
        <v>9392</v>
      </c>
      <c r="L1218" s="6" t="s">
        <v>1367</v>
      </c>
      <c r="M1218" s="21" t="s">
        <v>1368</v>
      </c>
      <c r="N1218" s="21" t="s">
        <v>1369</v>
      </c>
      <c r="O1218" t="s">
        <v>8671</v>
      </c>
      <c r="P1218" s="21" t="s">
        <v>22</v>
      </c>
      <c r="Q1218" t="s">
        <v>8672</v>
      </c>
    </row>
    <row r="1219" spans="1:17" ht="28.9">
      <c r="A1219" s="253" t="s">
        <v>9393</v>
      </c>
      <c r="B1219" s="402"/>
      <c r="C1219" s="21" t="s">
        <v>9325</v>
      </c>
      <c r="D1219" s="2" t="s">
        <v>9394</v>
      </c>
      <c r="E1219" s="2" t="s">
        <v>9395</v>
      </c>
      <c r="F1219" s="2" t="s">
        <v>9396</v>
      </c>
      <c r="G1219" s="21" t="s">
        <v>9397</v>
      </c>
      <c r="H1219" s="2" t="s">
        <v>9398</v>
      </c>
      <c r="I1219" s="2" t="s">
        <v>1796</v>
      </c>
      <c r="J1219" s="2" t="s">
        <v>9399</v>
      </c>
      <c r="K1219" s="2" t="s">
        <v>2630</v>
      </c>
      <c r="L1219" s="6" t="s">
        <v>1367</v>
      </c>
      <c r="M1219" s="21" t="s">
        <v>1368</v>
      </c>
      <c r="N1219" s="21" t="s">
        <v>1369</v>
      </c>
      <c r="O1219" t="s">
        <v>8671</v>
      </c>
      <c r="P1219" s="21" t="s">
        <v>1481</v>
      </c>
      <c r="Q1219" t="s">
        <v>8672</v>
      </c>
    </row>
    <row r="1220" spans="1:17" ht="28.9">
      <c r="A1220" s="253" t="s">
        <v>9400</v>
      </c>
      <c r="B1220" s="402"/>
      <c r="C1220" s="21" t="s">
        <v>9325</v>
      </c>
      <c r="D1220" s="2" t="s">
        <v>9401</v>
      </c>
      <c r="E1220" s="2" t="s">
        <v>9402</v>
      </c>
      <c r="F1220" s="2" t="s">
        <v>9403</v>
      </c>
      <c r="G1220" s="21" t="s">
        <v>9404</v>
      </c>
      <c r="H1220" s="2" t="s">
        <v>9405</v>
      </c>
      <c r="I1220" s="2" t="s">
        <v>9406</v>
      </c>
      <c r="J1220" s="2" t="s">
        <v>9197</v>
      </c>
      <c r="K1220" s="2" t="s">
        <v>9407</v>
      </c>
      <c r="L1220" s="6" t="s">
        <v>1367</v>
      </c>
      <c r="M1220" s="21" t="s">
        <v>1368</v>
      </c>
      <c r="N1220" s="21" t="s">
        <v>1369</v>
      </c>
      <c r="O1220" t="s">
        <v>8671</v>
      </c>
      <c r="P1220" s="21" t="s">
        <v>22</v>
      </c>
      <c r="Q1220" t="s">
        <v>8672</v>
      </c>
    </row>
    <row r="1221" spans="1:17" ht="28.9">
      <c r="A1221" s="253" t="s">
        <v>9408</v>
      </c>
      <c r="B1221" s="402"/>
      <c r="C1221" s="21" t="s">
        <v>9325</v>
      </c>
      <c r="D1221" s="2" t="s">
        <v>9409</v>
      </c>
      <c r="E1221" s="2" t="s">
        <v>9410</v>
      </c>
      <c r="F1221" s="2" t="s">
        <v>9411</v>
      </c>
      <c r="G1221" s="21" t="s">
        <v>9412</v>
      </c>
      <c r="H1221" s="2" t="s">
        <v>9413</v>
      </c>
      <c r="I1221" s="2" t="s">
        <v>9414</v>
      </c>
      <c r="J1221" s="2" t="s">
        <v>9415</v>
      </c>
      <c r="K1221" s="2" t="s">
        <v>9416</v>
      </c>
      <c r="L1221" s="6" t="s">
        <v>1367</v>
      </c>
      <c r="M1221" s="21" t="s">
        <v>1368</v>
      </c>
      <c r="N1221" s="21" t="s">
        <v>1369</v>
      </c>
      <c r="O1221" t="s">
        <v>8671</v>
      </c>
      <c r="P1221" s="21" t="s">
        <v>1371</v>
      </c>
      <c r="Q1221" t="s">
        <v>8672</v>
      </c>
    </row>
    <row r="1222" spans="1:17" ht="28.9">
      <c r="A1222" s="253" t="s">
        <v>9417</v>
      </c>
      <c r="B1222" s="402"/>
      <c r="C1222" s="21" t="s">
        <v>9325</v>
      </c>
      <c r="D1222" s="2" t="s">
        <v>9418</v>
      </c>
      <c r="E1222" s="2" t="s">
        <v>9419</v>
      </c>
      <c r="F1222" s="2" t="s">
        <v>9420</v>
      </c>
      <c r="G1222" s="21" t="s">
        <v>9421</v>
      </c>
      <c r="H1222" s="2" t="s">
        <v>9422</v>
      </c>
      <c r="I1222" s="2" t="s">
        <v>4455</v>
      </c>
      <c r="J1222" s="2" t="s">
        <v>9423</v>
      </c>
      <c r="K1222" s="2" t="s">
        <v>9424</v>
      </c>
      <c r="L1222" s="6" t="s">
        <v>1367</v>
      </c>
      <c r="M1222" s="21" t="s">
        <v>1368</v>
      </c>
      <c r="N1222" s="21" t="s">
        <v>1369</v>
      </c>
      <c r="O1222" t="s">
        <v>8671</v>
      </c>
      <c r="P1222" s="21" t="s">
        <v>1371</v>
      </c>
      <c r="Q1222" t="s">
        <v>8672</v>
      </c>
    </row>
    <row r="1223" spans="1:17" ht="28.9">
      <c r="A1223" s="253" t="s">
        <v>9425</v>
      </c>
      <c r="B1223" s="402"/>
      <c r="C1223" s="21" t="s">
        <v>9325</v>
      </c>
      <c r="D1223" s="2" t="s">
        <v>9426</v>
      </c>
      <c r="E1223" s="2" t="s">
        <v>9113</v>
      </c>
      <c r="F1223" s="2" t="s">
        <v>9427</v>
      </c>
      <c r="G1223" s="21" t="s">
        <v>9329</v>
      </c>
      <c r="H1223" s="2" t="s">
        <v>1442</v>
      </c>
      <c r="I1223" s="2" t="s">
        <v>9428</v>
      </c>
      <c r="J1223" s="2" t="s">
        <v>9429</v>
      </c>
      <c r="K1223" s="2" t="s">
        <v>9430</v>
      </c>
      <c r="L1223" s="6" t="s">
        <v>1367</v>
      </c>
      <c r="M1223" s="21" t="s">
        <v>1368</v>
      </c>
      <c r="N1223" s="21" t="s">
        <v>1369</v>
      </c>
      <c r="O1223" t="s">
        <v>8671</v>
      </c>
      <c r="P1223" s="21" t="s">
        <v>1371</v>
      </c>
      <c r="Q1223" t="s">
        <v>8672</v>
      </c>
    </row>
    <row r="1224" spans="1:17" ht="28.9">
      <c r="A1224" s="253" t="s">
        <v>9431</v>
      </c>
      <c r="B1224" s="402"/>
      <c r="C1224" s="21" t="s">
        <v>9432</v>
      </c>
      <c r="D1224" s="2" t="s">
        <v>9433</v>
      </c>
      <c r="E1224" s="2" t="s">
        <v>9434</v>
      </c>
      <c r="F1224" s="2" t="s">
        <v>9435</v>
      </c>
      <c r="G1224" s="21" t="s">
        <v>9436</v>
      </c>
      <c r="H1224" s="2" t="s">
        <v>1442</v>
      </c>
      <c r="I1224" s="21" t="s">
        <v>9437</v>
      </c>
      <c r="J1224" s="2" t="s">
        <v>4926</v>
      </c>
      <c r="K1224" s="2" t="s">
        <v>9438</v>
      </c>
      <c r="L1224" s="6" t="s">
        <v>1367</v>
      </c>
      <c r="M1224" s="21" t="s">
        <v>1368</v>
      </c>
      <c r="N1224" s="21" t="s">
        <v>1369</v>
      </c>
      <c r="O1224" s="5" t="s">
        <v>8671</v>
      </c>
      <c r="P1224" s="21" t="s">
        <v>22</v>
      </c>
      <c r="Q1224" t="s">
        <v>8672</v>
      </c>
    </row>
    <row r="1225" spans="1:17" ht="28.9">
      <c r="A1225" s="253" t="s">
        <v>9439</v>
      </c>
      <c r="B1225" s="402"/>
      <c r="C1225" s="21" t="s">
        <v>9432</v>
      </c>
      <c r="D1225" s="2" t="s">
        <v>9440</v>
      </c>
      <c r="E1225" s="2" t="s">
        <v>9441</v>
      </c>
      <c r="F1225" s="2" t="s">
        <v>9442</v>
      </c>
      <c r="G1225" s="21" t="s">
        <v>9443</v>
      </c>
      <c r="H1225" s="2" t="s">
        <v>3110</v>
      </c>
      <c r="I1225" s="21" t="s">
        <v>9444</v>
      </c>
      <c r="J1225" s="2" t="s">
        <v>9445</v>
      </c>
      <c r="K1225" s="2" t="s">
        <v>9446</v>
      </c>
      <c r="L1225" s="6" t="s">
        <v>1367</v>
      </c>
      <c r="M1225" s="21" t="s">
        <v>1368</v>
      </c>
      <c r="N1225" s="21" t="s">
        <v>1369</v>
      </c>
      <c r="O1225" s="5" t="s">
        <v>8671</v>
      </c>
      <c r="P1225" s="21" t="s">
        <v>22</v>
      </c>
      <c r="Q1225" t="s">
        <v>8672</v>
      </c>
    </row>
    <row r="1226" spans="1:17" ht="28.9">
      <c r="A1226" s="253" t="s">
        <v>9447</v>
      </c>
      <c r="B1226" s="402"/>
      <c r="C1226" s="21" t="s">
        <v>9432</v>
      </c>
      <c r="D1226" s="2" t="s">
        <v>9448</v>
      </c>
      <c r="E1226" s="2" t="s">
        <v>9449</v>
      </c>
      <c r="F1226" s="2" t="s">
        <v>9450</v>
      </c>
      <c r="G1226" s="21" t="s">
        <v>9451</v>
      </c>
      <c r="H1226" s="2" t="s">
        <v>9452</v>
      </c>
      <c r="I1226" s="21" t="s">
        <v>9453</v>
      </c>
      <c r="J1226" s="2" t="s">
        <v>9454</v>
      </c>
      <c r="K1226" s="2" t="s">
        <v>9455</v>
      </c>
      <c r="L1226" s="6" t="s">
        <v>1367</v>
      </c>
      <c r="M1226" s="21" t="s">
        <v>1368</v>
      </c>
      <c r="N1226" s="21" t="s">
        <v>1369</v>
      </c>
      <c r="O1226" s="5" t="s">
        <v>8671</v>
      </c>
      <c r="P1226" s="21" t="s">
        <v>22</v>
      </c>
      <c r="Q1226" t="s">
        <v>8672</v>
      </c>
    </row>
    <row r="1227" spans="1:17" ht="28.9">
      <c r="A1227" s="253" t="s">
        <v>9456</v>
      </c>
      <c r="B1227" s="402"/>
      <c r="C1227" s="21" t="s">
        <v>9432</v>
      </c>
      <c r="D1227" s="2" t="s">
        <v>9457</v>
      </c>
      <c r="E1227" s="2" t="s">
        <v>9458</v>
      </c>
      <c r="F1227" s="2" t="s">
        <v>4332</v>
      </c>
      <c r="G1227" s="21" t="s">
        <v>9459</v>
      </c>
      <c r="H1227" s="2" t="s">
        <v>9460</v>
      </c>
      <c r="I1227" s="21" t="s">
        <v>9455</v>
      </c>
      <c r="J1227" s="2" t="s">
        <v>9461</v>
      </c>
      <c r="K1227" s="2" t="s">
        <v>9455</v>
      </c>
      <c r="L1227" s="6" t="s">
        <v>1367</v>
      </c>
      <c r="M1227" s="21" t="s">
        <v>1368</v>
      </c>
      <c r="N1227" s="21" t="s">
        <v>1369</v>
      </c>
      <c r="O1227" s="5" t="s">
        <v>8671</v>
      </c>
      <c r="P1227" s="21" t="s">
        <v>1371</v>
      </c>
      <c r="Q1227" t="s">
        <v>8672</v>
      </c>
    </row>
    <row r="1228" spans="1:17" ht="28.9">
      <c r="A1228" s="253" t="s">
        <v>9462</v>
      </c>
      <c r="B1228" s="402"/>
      <c r="C1228" s="21" t="s">
        <v>9432</v>
      </c>
      <c r="D1228" s="2" t="s">
        <v>4345</v>
      </c>
      <c r="E1228" s="2" t="s">
        <v>9463</v>
      </c>
      <c r="F1228" s="2" t="s">
        <v>4332</v>
      </c>
      <c r="G1228" s="21" t="s">
        <v>9464</v>
      </c>
      <c r="H1228" s="2" t="s">
        <v>8696</v>
      </c>
      <c r="I1228" s="21" t="s">
        <v>9214</v>
      </c>
      <c r="J1228" s="2" t="s">
        <v>2597</v>
      </c>
      <c r="K1228" s="2" t="s">
        <v>2598</v>
      </c>
      <c r="L1228" s="6" t="s">
        <v>1367</v>
      </c>
      <c r="M1228" s="21" t="s">
        <v>1368</v>
      </c>
      <c r="N1228" s="21" t="s">
        <v>1369</v>
      </c>
      <c r="O1228" s="5" t="s">
        <v>8671</v>
      </c>
      <c r="P1228" s="21" t="s">
        <v>22</v>
      </c>
      <c r="Q1228" t="s">
        <v>8672</v>
      </c>
    </row>
    <row r="1229" spans="1:17" ht="28.9">
      <c r="A1229" s="253" t="s">
        <v>9465</v>
      </c>
      <c r="B1229" s="402"/>
      <c r="C1229" s="21" t="s">
        <v>9432</v>
      </c>
      <c r="D1229" s="2" t="s">
        <v>9466</v>
      </c>
      <c r="E1229" s="2" t="s">
        <v>9467</v>
      </c>
      <c r="F1229" s="2" t="s">
        <v>9468</v>
      </c>
      <c r="G1229" s="21" t="s">
        <v>9469</v>
      </c>
      <c r="H1229" s="2" t="s">
        <v>9470</v>
      </c>
      <c r="I1229" s="21" t="s">
        <v>9471</v>
      </c>
      <c r="J1229" s="2" t="s">
        <v>9472</v>
      </c>
      <c r="K1229" s="2" t="s">
        <v>9473</v>
      </c>
      <c r="L1229" s="6" t="s">
        <v>1367</v>
      </c>
      <c r="M1229" s="21" t="s">
        <v>1368</v>
      </c>
      <c r="N1229" s="21" t="s">
        <v>1369</v>
      </c>
      <c r="O1229" s="5" t="s">
        <v>8671</v>
      </c>
      <c r="P1229" s="21" t="s">
        <v>22</v>
      </c>
      <c r="Q1229" t="s">
        <v>8672</v>
      </c>
    </row>
    <row r="1230" spans="1:17" ht="28.9">
      <c r="A1230" s="253" t="s">
        <v>9474</v>
      </c>
      <c r="B1230" s="402"/>
      <c r="C1230" s="21" t="s">
        <v>9432</v>
      </c>
      <c r="D1230" s="2" t="s">
        <v>9475</v>
      </c>
      <c r="E1230" s="2" t="s">
        <v>9476</v>
      </c>
      <c r="F1230" s="2" t="s">
        <v>9468</v>
      </c>
      <c r="G1230" s="21" t="s">
        <v>9477</v>
      </c>
      <c r="H1230" s="2" t="s">
        <v>9478</v>
      </c>
      <c r="I1230" s="21" t="s">
        <v>9479</v>
      </c>
      <c r="J1230" s="2" t="s">
        <v>3172</v>
      </c>
      <c r="K1230" s="2" t="s">
        <v>9479</v>
      </c>
      <c r="L1230" s="6" t="s">
        <v>1367</v>
      </c>
      <c r="M1230" s="21" t="s">
        <v>1368</v>
      </c>
      <c r="N1230" s="21" t="s">
        <v>1369</v>
      </c>
      <c r="O1230" s="5" t="s">
        <v>8671</v>
      </c>
      <c r="P1230" s="21" t="s">
        <v>22</v>
      </c>
      <c r="Q1230" t="s">
        <v>8672</v>
      </c>
    </row>
    <row r="1231" spans="1:17">
      <c r="A1231" s="253" t="s">
        <v>9480</v>
      </c>
      <c r="B1231" s="402"/>
      <c r="C1231" s="21" t="s">
        <v>9432</v>
      </c>
      <c r="D1231" s="2" t="s">
        <v>9481</v>
      </c>
      <c r="E1231" s="2" t="s">
        <v>9482</v>
      </c>
      <c r="F1231" s="2" t="s">
        <v>4332</v>
      </c>
      <c r="G1231" s="21" t="s">
        <v>9483</v>
      </c>
      <c r="H1231" s="2" t="s">
        <v>9484</v>
      </c>
      <c r="I1231" s="21" t="s">
        <v>9485</v>
      </c>
      <c r="J1231" s="2" t="s">
        <v>9486</v>
      </c>
      <c r="K1231" s="2" t="s">
        <v>9360</v>
      </c>
      <c r="L1231" s="6" t="s">
        <v>1367</v>
      </c>
      <c r="M1231" s="21" t="s">
        <v>1368</v>
      </c>
      <c r="N1231" s="21" t="s">
        <v>1369</v>
      </c>
      <c r="O1231" s="5" t="s">
        <v>9487</v>
      </c>
      <c r="P1231" s="21" t="s">
        <v>1481</v>
      </c>
      <c r="Q1231" t="s">
        <v>8672</v>
      </c>
    </row>
    <row r="1232" spans="1:17">
      <c r="A1232" s="253" t="s">
        <v>9488</v>
      </c>
      <c r="B1232" s="402"/>
      <c r="C1232" s="21" t="s">
        <v>9432</v>
      </c>
      <c r="D1232" s="2" t="s">
        <v>9489</v>
      </c>
      <c r="E1232" s="2" t="s">
        <v>9490</v>
      </c>
      <c r="F1232" s="2" t="s">
        <v>9491</v>
      </c>
      <c r="G1232" s="21" t="s">
        <v>9492</v>
      </c>
      <c r="H1232" s="2" t="s">
        <v>9493</v>
      </c>
      <c r="I1232" s="21" t="s">
        <v>9494</v>
      </c>
      <c r="J1232" s="2" t="s">
        <v>4425</v>
      </c>
      <c r="K1232" s="2" t="s">
        <v>9495</v>
      </c>
      <c r="L1232" s="6" t="s">
        <v>1367</v>
      </c>
      <c r="M1232" s="21" t="s">
        <v>1368</v>
      </c>
      <c r="N1232" s="21" t="s">
        <v>1369</v>
      </c>
      <c r="O1232" s="5" t="s">
        <v>8671</v>
      </c>
      <c r="P1232" s="21" t="s">
        <v>22</v>
      </c>
      <c r="Q1232" t="s">
        <v>8672</v>
      </c>
    </row>
    <row r="1233" spans="1:17">
      <c r="A1233" s="253" t="s">
        <v>9496</v>
      </c>
      <c r="B1233" s="402"/>
      <c r="C1233" s="21" t="s">
        <v>9432</v>
      </c>
      <c r="D1233" s="2" t="s">
        <v>9497</v>
      </c>
      <c r="E1233" s="2" t="s">
        <v>9498</v>
      </c>
      <c r="F1233" s="2" t="s">
        <v>9499</v>
      </c>
      <c r="G1233" s="21" t="s">
        <v>9500</v>
      </c>
      <c r="H1233" s="2" t="s">
        <v>2672</v>
      </c>
      <c r="I1233" s="21" t="s">
        <v>9501</v>
      </c>
      <c r="J1233" s="2" t="s">
        <v>9502</v>
      </c>
      <c r="K1233" s="2" t="s">
        <v>9503</v>
      </c>
      <c r="L1233" s="6" t="s">
        <v>1367</v>
      </c>
      <c r="M1233" s="21" t="s">
        <v>1368</v>
      </c>
      <c r="N1233" s="21" t="s">
        <v>1369</v>
      </c>
      <c r="O1233" s="5" t="s">
        <v>9487</v>
      </c>
      <c r="P1233" s="21" t="s">
        <v>1371</v>
      </c>
      <c r="Q1233" t="s">
        <v>8672</v>
      </c>
    </row>
    <row r="1234" spans="1:17">
      <c r="A1234" s="253" t="s">
        <v>9504</v>
      </c>
      <c r="B1234" s="402"/>
      <c r="C1234" s="21" t="s">
        <v>9432</v>
      </c>
      <c r="D1234" s="2" t="s">
        <v>9505</v>
      </c>
      <c r="E1234" s="2" t="s">
        <v>9506</v>
      </c>
      <c r="F1234" s="2" t="s">
        <v>9507</v>
      </c>
      <c r="G1234" s="21" t="s">
        <v>9508</v>
      </c>
      <c r="H1234" s="2" t="s">
        <v>9509</v>
      </c>
      <c r="I1234" s="21" t="s">
        <v>9510</v>
      </c>
      <c r="J1234" s="2" t="s">
        <v>9511</v>
      </c>
      <c r="K1234" s="2" t="s">
        <v>9512</v>
      </c>
      <c r="L1234" s="6" t="s">
        <v>1367</v>
      </c>
      <c r="M1234" s="21" t="s">
        <v>1368</v>
      </c>
      <c r="N1234" s="21" t="s">
        <v>1369</v>
      </c>
      <c r="O1234" s="5" t="s">
        <v>9513</v>
      </c>
      <c r="P1234" s="21" t="s">
        <v>1371</v>
      </c>
      <c r="Q1234" t="s">
        <v>8672</v>
      </c>
    </row>
    <row r="1235" spans="1:17">
      <c r="A1235" s="253" t="s">
        <v>9514</v>
      </c>
      <c r="B1235" s="402"/>
      <c r="C1235" s="21" t="s">
        <v>9432</v>
      </c>
      <c r="D1235" s="2" t="s">
        <v>9515</v>
      </c>
      <c r="E1235" s="2" t="s">
        <v>9516</v>
      </c>
      <c r="F1235" s="2" t="s">
        <v>9517</v>
      </c>
      <c r="G1235" s="21" t="s">
        <v>9518</v>
      </c>
      <c r="H1235" s="2" t="s">
        <v>9519</v>
      </c>
      <c r="I1235" s="21" t="s">
        <v>9520</v>
      </c>
      <c r="J1235" s="2" t="s">
        <v>9007</v>
      </c>
      <c r="K1235" s="2" t="s">
        <v>3711</v>
      </c>
      <c r="L1235" s="6" t="s">
        <v>1367</v>
      </c>
      <c r="M1235" s="21" t="s">
        <v>1368</v>
      </c>
      <c r="N1235" s="21" t="s">
        <v>1369</v>
      </c>
      <c r="O1235" s="5" t="s">
        <v>45</v>
      </c>
      <c r="P1235" s="21" t="s">
        <v>1371</v>
      </c>
      <c r="Q1235" t="s">
        <v>8672</v>
      </c>
    </row>
    <row r="1236" spans="1:17">
      <c r="A1236" s="253" t="s">
        <v>9521</v>
      </c>
      <c r="B1236" s="402"/>
      <c r="C1236" s="21" t="s">
        <v>9432</v>
      </c>
      <c r="D1236" s="2" t="s">
        <v>9522</v>
      </c>
      <c r="E1236" s="2" t="s">
        <v>9523</v>
      </c>
      <c r="F1236" s="2" t="s">
        <v>9524</v>
      </c>
      <c r="G1236" s="21" t="s">
        <v>9374</v>
      </c>
      <c r="H1236" s="2" t="s">
        <v>3110</v>
      </c>
      <c r="I1236" s="21" t="s">
        <v>9376</v>
      </c>
      <c r="J1236" s="2" t="s">
        <v>9525</v>
      </c>
      <c r="K1236" s="2" t="s">
        <v>9526</v>
      </c>
      <c r="L1236" s="6" t="s">
        <v>1367</v>
      </c>
      <c r="M1236" s="21" t="s">
        <v>1368</v>
      </c>
      <c r="N1236" s="21" t="s">
        <v>1369</v>
      </c>
      <c r="O1236" s="5" t="s">
        <v>8671</v>
      </c>
      <c r="P1236" s="21" t="s">
        <v>22</v>
      </c>
      <c r="Q1236" t="s">
        <v>8672</v>
      </c>
    </row>
    <row r="1237" spans="1:17" ht="28.9">
      <c r="A1237" s="253" t="s">
        <v>9527</v>
      </c>
      <c r="B1237" s="402"/>
      <c r="C1237" s="21" t="s">
        <v>9432</v>
      </c>
      <c r="D1237" s="2" t="s">
        <v>9528</v>
      </c>
      <c r="E1237" s="2" t="s">
        <v>9529</v>
      </c>
      <c r="F1237" s="2" t="s">
        <v>9389</v>
      </c>
      <c r="G1237" s="21" t="s">
        <v>9530</v>
      </c>
      <c r="H1237" s="2" t="s">
        <v>9390</v>
      </c>
      <c r="I1237" s="21" t="s">
        <v>9531</v>
      </c>
      <c r="J1237" s="2" t="s">
        <v>9109</v>
      </c>
      <c r="K1237" s="2" t="s">
        <v>9392</v>
      </c>
      <c r="L1237" s="6" t="s">
        <v>1367</v>
      </c>
      <c r="M1237" s="21" t="s">
        <v>1368</v>
      </c>
      <c r="N1237" s="21" t="s">
        <v>1369</v>
      </c>
      <c r="O1237" s="5" t="s">
        <v>60</v>
      </c>
      <c r="P1237" s="21" t="s">
        <v>22</v>
      </c>
      <c r="Q1237" t="s">
        <v>8672</v>
      </c>
    </row>
    <row r="1238" spans="1:17">
      <c r="A1238" s="253" t="s">
        <v>9532</v>
      </c>
      <c r="B1238" s="402"/>
      <c r="C1238" s="21" t="s">
        <v>9432</v>
      </c>
      <c r="D1238" s="2" t="s">
        <v>9533</v>
      </c>
      <c r="E1238" s="2" t="s">
        <v>9534</v>
      </c>
      <c r="F1238" s="2" t="s">
        <v>9535</v>
      </c>
      <c r="G1238" s="21" t="s">
        <v>9536</v>
      </c>
      <c r="H1238" s="2" t="s">
        <v>9537</v>
      </c>
      <c r="I1238" s="21" t="s">
        <v>9538</v>
      </c>
      <c r="J1238" s="2" t="s">
        <v>9539</v>
      </c>
      <c r="K1238" s="2" t="s">
        <v>9540</v>
      </c>
      <c r="L1238" s="6" t="s">
        <v>1367</v>
      </c>
      <c r="M1238" s="21" t="s">
        <v>1368</v>
      </c>
      <c r="N1238" s="21" t="s">
        <v>1369</v>
      </c>
      <c r="O1238" s="5" t="s">
        <v>9541</v>
      </c>
      <c r="P1238" s="21" t="s">
        <v>22</v>
      </c>
      <c r="Q1238" t="s">
        <v>8672</v>
      </c>
    </row>
    <row r="1239" spans="1:17">
      <c r="A1239" s="253" t="s">
        <v>9542</v>
      </c>
      <c r="B1239" s="402"/>
      <c r="C1239" s="21" t="s">
        <v>9432</v>
      </c>
      <c r="D1239" s="2" t="s">
        <v>9543</v>
      </c>
      <c r="E1239" s="2" t="s">
        <v>9544</v>
      </c>
      <c r="F1239" s="2" t="s">
        <v>9545</v>
      </c>
      <c r="G1239" s="21" t="s">
        <v>9546</v>
      </c>
      <c r="H1239" s="2" t="s">
        <v>9547</v>
      </c>
      <c r="I1239" s="21" t="s">
        <v>9548</v>
      </c>
      <c r="J1239" s="2" t="s">
        <v>7058</v>
      </c>
      <c r="K1239" s="2" t="s">
        <v>9549</v>
      </c>
      <c r="L1239" s="6" t="s">
        <v>1367</v>
      </c>
      <c r="M1239" s="21" t="s">
        <v>1368</v>
      </c>
      <c r="N1239" s="21" t="s">
        <v>1369</v>
      </c>
      <c r="O1239" s="5" t="s">
        <v>9487</v>
      </c>
      <c r="P1239" s="21" t="s">
        <v>1481</v>
      </c>
      <c r="Q1239" t="s">
        <v>8672</v>
      </c>
    </row>
    <row r="1240" spans="1:17" ht="28.9">
      <c r="A1240" s="253" t="s">
        <v>9550</v>
      </c>
      <c r="B1240" s="402"/>
      <c r="C1240" s="21" t="s">
        <v>9432</v>
      </c>
      <c r="D1240" s="2" t="s">
        <v>9551</v>
      </c>
      <c r="E1240" s="2" t="s">
        <v>9552</v>
      </c>
      <c r="F1240" s="2" t="s">
        <v>9553</v>
      </c>
      <c r="G1240" s="21" t="s">
        <v>9554</v>
      </c>
      <c r="H1240" s="2" t="s">
        <v>9555</v>
      </c>
      <c r="I1240" s="21" t="s">
        <v>1796</v>
      </c>
      <c r="J1240" s="2" t="s">
        <v>9556</v>
      </c>
      <c r="K1240" s="2" t="s">
        <v>9557</v>
      </c>
      <c r="L1240" s="6" t="s">
        <v>1367</v>
      </c>
      <c r="M1240" s="21" t="s">
        <v>1368</v>
      </c>
      <c r="N1240" s="21" t="s">
        <v>1369</v>
      </c>
      <c r="O1240" s="5" t="s">
        <v>9487</v>
      </c>
      <c r="P1240" s="21" t="s">
        <v>1481</v>
      </c>
      <c r="Q1240" t="s">
        <v>8672</v>
      </c>
    </row>
    <row r="1241" spans="1:17" ht="28.9">
      <c r="A1241" s="253" t="s">
        <v>9558</v>
      </c>
      <c r="B1241" s="402"/>
      <c r="C1241" s="21" t="s">
        <v>9432</v>
      </c>
      <c r="D1241" s="2" t="s">
        <v>9426</v>
      </c>
      <c r="E1241" s="2" t="s">
        <v>9113</v>
      </c>
      <c r="F1241" s="2" t="s">
        <v>9559</v>
      </c>
      <c r="G1241" s="21" t="s">
        <v>9546</v>
      </c>
      <c r="H1241" s="2" t="s">
        <v>1442</v>
      </c>
      <c r="I1241" s="21" t="s">
        <v>9560</v>
      </c>
      <c r="J1241" s="2" t="s">
        <v>9429</v>
      </c>
      <c r="K1241" s="2" t="s">
        <v>9561</v>
      </c>
      <c r="L1241" s="6" t="s">
        <v>1367</v>
      </c>
      <c r="M1241" s="21" t="s">
        <v>1368</v>
      </c>
      <c r="N1241" s="21" t="s">
        <v>1369</v>
      </c>
      <c r="O1241" s="5" t="s">
        <v>9562</v>
      </c>
      <c r="P1241" s="21" t="s">
        <v>1371</v>
      </c>
      <c r="Q1241" t="s">
        <v>8672</v>
      </c>
    </row>
    <row r="1242" spans="1:17">
      <c r="A1242" s="253" t="s">
        <v>9563</v>
      </c>
      <c r="B1242" s="402"/>
      <c r="C1242" s="21" t="s">
        <v>9564</v>
      </c>
      <c r="D1242" s="2" t="s">
        <v>9565</v>
      </c>
      <c r="E1242" s="2" t="s">
        <v>9566</v>
      </c>
      <c r="F1242" s="2" t="s">
        <v>9435</v>
      </c>
      <c r="G1242" s="21" t="s">
        <v>9567</v>
      </c>
      <c r="H1242" s="2" t="s">
        <v>9568</v>
      </c>
      <c r="I1242" s="21" t="s">
        <v>9569</v>
      </c>
      <c r="J1242" s="2" t="s">
        <v>4926</v>
      </c>
      <c r="K1242" s="2" t="s">
        <v>9570</v>
      </c>
      <c r="L1242" s="6" t="s">
        <v>1367</v>
      </c>
      <c r="M1242" s="21" t="s">
        <v>1368</v>
      </c>
      <c r="N1242" s="21" t="s">
        <v>1369</v>
      </c>
      <c r="O1242" s="5" t="s">
        <v>9571</v>
      </c>
      <c r="P1242" s="21" t="s">
        <v>22</v>
      </c>
      <c r="Q1242" t="s">
        <v>8672</v>
      </c>
    </row>
    <row r="1243" spans="1:17" ht="28.9">
      <c r="A1243" s="253" t="s">
        <v>9572</v>
      </c>
      <c r="B1243" s="402"/>
      <c r="C1243" s="21" t="s">
        <v>9564</v>
      </c>
      <c r="D1243" s="2" t="s">
        <v>9573</v>
      </c>
      <c r="E1243" s="2" t="s">
        <v>9574</v>
      </c>
      <c r="F1243" s="2" t="s">
        <v>9575</v>
      </c>
      <c r="G1243" s="21" t="s">
        <v>9546</v>
      </c>
      <c r="H1243" s="2" t="s">
        <v>9576</v>
      </c>
      <c r="I1243" s="21" t="s">
        <v>9577</v>
      </c>
      <c r="J1243" s="2" t="s">
        <v>9332</v>
      </c>
      <c r="K1243" s="2" t="s">
        <v>9578</v>
      </c>
      <c r="L1243" s="6" t="s">
        <v>1367</v>
      </c>
      <c r="M1243" s="21" t="s">
        <v>1368</v>
      </c>
      <c r="N1243" s="21" t="s">
        <v>1369</v>
      </c>
      <c r="O1243" s="5" t="s">
        <v>8671</v>
      </c>
      <c r="P1243" s="21" t="s">
        <v>22</v>
      </c>
      <c r="Q1243" t="s">
        <v>8672</v>
      </c>
    </row>
    <row r="1244" spans="1:17" ht="28.9">
      <c r="A1244" s="253" t="s">
        <v>9579</v>
      </c>
      <c r="B1244" s="402"/>
      <c r="C1244" s="21" t="s">
        <v>9564</v>
      </c>
      <c r="D1244" s="2" t="s">
        <v>9580</v>
      </c>
      <c r="E1244" s="2" t="s">
        <v>9581</v>
      </c>
      <c r="F1244" s="2" t="s">
        <v>9575</v>
      </c>
      <c r="G1244" s="21" t="s">
        <v>9582</v>
      </c>
      <c r="H1244" s="2" t="s">
        <v>9583</v>
      </c>
      <c r="I1244" s="21" t="s">
        <v>5161</v>
      </c>
      <c r="J1244" s="2" t="s">
        <v>9584</v>
      </c>
      <c r="K1244" s="2" t="s">
        <v>9585</v>
      </c>
      <c r="L1244" s="6" t="s">
        <v>1367</v>
      </c>
      <c r="M1244" s="21" t="s">
        <v>1368</v>
      </c>
      <c r="N1244" s="21" t="s">
        <v>1369</v>
      </c>
      <c r="O1244" s="5" t="s">
        <v>45</v>
      </c>
      <c r="P1244" s="21" t="s">
        <v>22</v>
      </c>
      <c r="Q1244" t="s">
        <v>8672</v>
      </c>
    </row>
    <row r="1245" spans="1:17" ht="28.9">
      <c r="A1245" s="253" t="s">
        <v>9586</v>
      </c>
      <c r="B1245" s="402"/>
      <c r="C1245" s="21" t="s">
        <v>9564</v>
      </c>
      <c r="D1245" s="2" t="s">
        <v>9587</v>
      </c>
      <c r="E1245" s="2" t="s">
        <v>9588</v>
      </c>
      <c r="F1245" s="2" t="s">
        <v>9575</v>
      </c>
      <c r="G1245" s="21" t="s">
        <v>9589</v>
      </c>
      <c r="H1245" s="2" t="s">
        <v>9590</v>
      </c>
      <c r="I1245" s="21" t="s">
        <v>9591</v>
      </c>
      <c r="J1245" s="2" t="s">
        <v>4321</v>
      </c>
      <c r="K1245" s="2" t="s">
        <v>5291</v>
      </c>
      <c r="L1245" s="6" t="s">
        <v>1367</v>
      </c>
      <c r="M1245" s="21" t="s">
        <v>1368</v>
      </c>
      <c r="N1245" s="21" t="s">
        <v>1369</v>
      </c>
      <c r="O1245" s="5" t="s">
        <v>45</v>
      </c>
      <c r="P1245" s="21" t="s">
        <v>1371</v>
      </c>
      <c r="Q1245" t="s">
        <v>8672</v>
      </c>
    </row>
    <row r="1246" spans="1:17">
      <c r="A1246" s="253" t="s">
        <v>9592</v>
      </c>
      <c r="B1246" s="402"/>
      <c r="C1246" s="21" t="s">
        <v>9564</v>
      </c>
      <c r="D1246" s="2" t="s">
        <v>9593</v>
      </c>
      <c r="E1246" s="2" t="s">
        <v>9594</v>
      </c>
      <c r="F1246" s="2" t="s">
        <v>9595</v>
      </c>
      <c r="G1246" s="21" t="s">
        <v>9596</v>
      </c>
      <c r="H1246" s="2" t="s">
        <v>9597</v>
      </c>
      <c r="I1246" s="21" t="s">
        <v>9598</v>
      </c>
      <c r="J1246" s="2" t="s">
        <v>9599</v>
      </c>
      <c r="K1246" s="2" t="s">
        <v>9600</v>
      </c>
      <c r="L1246" s="6" t="s">
        <v>1367</v>
      </c>
      <c r="M1246" s="21" t="s">
        <v>1368</v>
      </c>
      <c r="N1246" s="21" t="s">
        <v>1369</v>
      </c>
      <c r="O1246" s="5" t="s">
        <v>8671</v>
      </c>
      <c r="P1246" s="21" t="s">
        <v>22</v>
      </c>
      <c r="Q1246" t="s">
        <v>8672</v>
      </c>
    </row>
    <row r="1247" spans="1:17">
      <c r="A1247" s="253" t="s">
        <v>9601</v>
      </c>
      <c r="B1247" s="402"/>
      <c r="C1247" s="21" t="s">
        <v>9564</v>
      </c>
      <c r="D1247" s="2" t="s">
        <v>9602</v>
      </c>
      <c r="E1247" s="2" t="s">
        <v>9603</v>
      </c>
      <c r="F1247" s="2" t="s">
        <v>9595</v>
      </c>
      <c r="G1247" s="21" t="s">
        <v>9604</v>
      </c>
      <c r="H1247" s="2" t="s">
        <v>9597</v>
      </c>
      <c r="I1247" s="21" t="s">
        <v>9598</v>
      </c>
      <c r="J1247" s="2" t="s">
        <v>9599</v>
      </c>
      <c r="K1247" s="2" t="s">
        <v>9600</v>
      </c>
      <c r="L1247" s="6" t="s">
        <v>1367</v>
      </c>
      <c r="M1247" s="21" t="s">
        <v>1368</v>
      </c>
      <c r="N1247" s="21" t="s">
        <v>1369</v>
      </c>
      <c r="O1247" s="5" t="s">
        <v>8671</v>
      </c>
      <c r="P1247" s="21" t="s">
        <v>22</v>
      </c>
      <c r="Q1247" t="s">
        <v>8672</v>
      </c>
    </row>
    <row r="1248" spans="1:17">
      <c r="A1248" s="253" t="s">
        <v>9605</v>
      </c>
      <c r="B1248" s="402"/>
      <c r="C1248" s="21" t="s">
        <v>9564</v>
      </c>
      <c r="D1248" s="2" t="s">
        <v>9606</v>
      </c>
      <c r="E1248" s="2" t="s">
        <v>9607</v>
      </c>
      <c r="F1248" s="2" t="s">
        <v>9608</v>
      </c>
      <c r="G1248" s="21" t="s">
        <v>9397</v>
      </c>
      <c r="H1248" s="2" t="s">
        <v>9609</v>
      </c>
      <c r="I1248" s="21" t="s">
        <v>1796</v>
      </c>
      <c r="J1248" s="2" t="s">
        <v>3280</v>
      </c>
      <c r="K1248" s="2" t="s">
        <v>9610</v>
      </c>
      <c r="L1248" s="6" t="s">
        <v>1367</v>
      </c>
      <c r="M1248" s="21" t="s">
        <v>1368</v>
      </c>
      <c r="N1248" s="21" t="s">
        <v>1369</v>
      </c>
      <c r="O1248" s="5" t="s">
        <v>9571</v>
      </c>
      <c r="P1248" s="21" t="s">
        <v>22</v>
      </c>
      <c r="Q1248" t="s">
        <v>8672</v>
      </c>
    </row>
    <row r="1249" spans="1:33">
      <c r="A1249" s="253" t="s">
        <v>9611</v>
      </c>
      <c r="B1249" s="402"/>
      <c r="C1249" s="21" t="s">
        <v>9564</v>
      </c>
      <c r="D1249" s="2" t="s">
        <v>9612</v>
      </c>
      <c r="E1249" s="2" t="s">
        <v>9613</v>
      </c>
      <c r="F1249" s="2" t="s">
        <v>9373</v>
      </c>
      <c r="G1249" s="21" t="s">
        <v>9614</v>
      </c>
      <c r="H1249" s="2" t="s">
        <v>9615</v>
      </c>
      <c r="I1249" s="21" t="s">
        <v>9376</v>
      </c>
      <c r="J1249" s="2" t="s">
        <v>9616</v>
      </c>
      <c r="K1249" s="2" t="s">
        <v>9526</v>
      </c>
      <c r="L1249" s="6" t="s">
        <v>1367</v>
      </c>
      <c r="M1249" s="21" t="s">
        <v>1368</v>
      </c>
      <c r="N1249" s="21" t="s">
        <v>1369</v>
      </c>
      <c r="O1249" s="5" t="s">
        <v>8671</v>
      </c>
      <c r="P1249" s="21" t="s">
        <v>22</v>
      </c>
      <c r="Q1249" t="s">
        <v>8672</v>
      </c>
    </row>
    <row r="1250" spans="1:33">
      <c r="A1250" s="253" t="s">
        <v>9617</v>
      </c>
      <c r="B1250" s="402"/>
      <c r="C1250" s="21" t="s">
        <v>9564</v>
      </c>
      <c r="D1250" s="2" t="s">
        <v>9618</v>
      </c>
      <c r="E1250" s="2" t="s">
        <v>9619</v>
      </c>
      <c r="F1250" s="2" t="s">
        <v>9373</v>
      </c>
      <c r="G1250" s="21" t="s">
        <v>9382</v>
      </c>
      <c r="H1250" s="2" t="s">
        <v>9615</v>
      </c>
      <c r="I1250" s="21" t="s">
        <v>9620</v>
      </c>
      <c r="J1250" s="2" t="s">
        <v>9621</v>
      </c>
      <c r="K1250" s="2" t="s">
        <v>9622</v>
      </c>
      <c r="L1250" s="6" t="s">
        <v>1367</v>
      </c>
      <c r="M1250" s="21" t="s">
        <v>1368</v>
      </c>
      <c r="N1250" s="21" t="s">
        <v>1369</v>
      </c>
      <c r="O1250" s="5" t="s">
        <v>8671</v>
      </c>
      <c r="P1250" s="21" t="s">
        <v>22</v>
      </c>
      <c r="Q1250" t="s">
        <v>8672</v>
      </c>
    </row>
    <row r="1251" spans="1:33" ht="28.9">
      <c r="A1251" s="253" t="s">
        <v>9623</v>
      </c>
      <c r="B1251" s="402"/>
      <c r="C1251" s="21" t="s">
        <v>9564</v>
      </c>
      <c r="D1251" s="2" t="s">
        <v>9624</v>
      </c>
      <c r="E1251" s="2" t="s">
        <v>9625</v>
      </c>
      <c r="F1251" s="2" t="s">
        <v>9626</v>
      </c>
      <c r="G1251" s="21" t="s">
        <v>9627</v>
      </c>
      <c r="H1251" s="2" t="s">
        <v>9628</v>
      </c>
      <c r="I1251" s="21" t="s">
        <v>9629</v>
      </c>
      <c r="J1251" s="2" t="s">
        <v>9630</v>
      </c>
      <c r="K1251" s="2" t="s">
        <v>9631</v>
      </c>
      <c r="L1251" s="6" t="s">
        <v>1367</v>
      </c>
      <c r="M1251" s="21" t="s">
        <v>1368</v>
      </c>
      <c r="N1251" s="21" t="s">
        <v>1369</v>
      </c>
      <c r="O1251" s="5" t="s">
        <v>45</v>
      </c>
      <c r="P1251" s="21" t="s">
        <v>22</v>
      </c>
      <c r="Q1251" t="s">
        <v>8672</v>
      </c>
    </row>
    <row r="1252" spans="1:33" ht="28.9">
      <c r="A1252" s="253" t="s">
        <v>9632</v>
      </c>
      <c r="B1252" s="402"/>
      <c r="C1252" s="21" t="s">
        <v>9564</v>
      </c>
      <c r="D1252" s="2" t="s">
        <v>9633</v>
      </c>
      <c r="E1252" s="2" t="s">
        <v>9634</v>
      </c>
      <c r="F1252" s="2" t="s">
        <v>9389</v>
      </c>
      <c r="G1252" s="21" t="s">
        <v>9635</v>
      </c>
      <c r="H1252" s="2" t="s">
        <v>9187</v>
      </c>
      <c r="I1252" s="21" t="s">
        <v>9531</v>
      </c>
      <c r="J1252" s="2" t="s">
        <v>9636</v>
      </c>
      <c r="K1252" s="2" t="s">
        <v>9392</v>
      </c>
      <c r="L1252" s="6" t="s">
        <v>1367</v>
      </c>
      <c r="M1252" s="21" t="s">
        <v>1368</v>
      </c>
      <c r="N1252" s="21" t="s">
        <v>1369</v>
      </c>
      <c r="O1252" s="5" t="s">
        <v>60</v>
      </c>
      <c r="P1252" s="21" t="s">
        <v>22</v>
      </c>
      <c r="Q1252" t="s">
        <v>8672</v>
      </c>
    </row>
    <row r="1253" spans="1:33">
      <c r="A1253" s="253" t="s">
        <v>9637</v>
      </c>
      <c r="B1253" s="402"/>
      <c r="C1253" s="21" t="s">
        <v>9564</v>
      </c>
      <c r="D1253" s="2" t="s">
        <v>9638</v>
      </c>
      <c r="E1253" s="2" t="s">
        <v>9639</v>
      </c>
      <c r="F1253" s="2" t="s">
        <v>9640</v>
      </c>
      <c r="G1253" s="21" t="s">
        <v>9412</v>
      </c>
      <c r="H1253" s="2" t="s">
        <v>9641</v>
      </c>
      <c r="I1253" s="21" t="s">
        <v>9642</v>
      </c>
      <c r="J1253" s="2" t="s">
        <v>9643</v>
      </c>
      <c r="K1253" s="2" t="s">
        <v>9644</v>
      </c>
      <c r="L1253" s="6" t="s">
        <v>1367</v>
      </c>
      <c r="M1253" s="21" t="s">
        <v>1368</v>
      </c>
      <c r="N1253" s="21" t="s">
        <v>1369</v>
      </c>
      <c r="O1253" s="5" t="s">
        <v>8671</v>
      </c>
      <c r="P1253" s="21" t="s">
        <v>1371</v>
      </c>
      <c r="Q1253" t="s">
        <v>8672</v>
      </c>
    </row>
    <row r="1254" spans="1:33">
      <c r="A1254" s="253" t="s">
        <v>9645</v>
      </c>
      <c r="B1254" s="402"/>
      <c r="C1254" s="21" t="s">
        <v>9564</v>
      </c>
      <c r="D1254" s="2" t="s">
        <v>9646</v>
      </c>
      <c r="E1254" s="2" t="s">
        <v>9647</v>
      </c>
      <c r="F1254" s="2" t="s">
        <v>9648</v>
      </c>
      <c r="G1254" s="21" t="s">
        <v>9649</v>
      </c>
      <c r="H1254" s="2" t="s">
        <v>9650</v>
      </c>
      <c r="I1254" s="21" t="s">
        <v>9651</v>
      </c>
      <c r="J1254" s="2" t="s">
        <v>9485</v>
      </c>
      <c r="K1254" s="2" t="s">
        <v>9652</v>
      </c>
      <c r="L1254" s="6" t="s">
        <v>1367</v>
      </c>
      <c r="M1254" s="21" t="s">
        <v>1368</v>
      </c>
      <c r="N1254" s="21" t="s">
        <v>1369</v>
      </c>
      <c r="O1254" s="5" t="s">
        <v>9487</v>
      </c>
      <c r="P1254" s="21" t="s">
        <v>1371</v>
      </c>
      <c r="Q1254" t="s">
        <v>8672</v>
      </c>
    </row>
    <row r="1255" spans="1:33" ht="28.9">
      <c r="A1255" s="253" t="s">
        <v>9653</v>
      </c>
      <c r="B1255" s="402"/>
      <c r="C1255" s="21" t="s">
        <v>9564</v>
      </c>
      <c r="D1255" s="2" t="s">
        <v>9654</v>
      </c>
      <c r="E1255" s="2" t="s">
        <v>9655</v>
      </c>
      <c r="F1255" s="2" t="s">
        <v>9575</v>
      </c>
      <c r="G1255" s="21" t="s">
        <v>9656</v>
      </c>
      <c r="H1255" s="2" t="s">
        <v>9657</v>
      </c>
      <c r="I1255" s="21" t="s">
        <v>9658</v>
      </c>
      <c r="J1255" s="2" t="s">
        <v>9659</v>
      </c>
      <c r="K1255" s="2" t="s">
        <v>9660</v>
      </c>
      <c r="L1255" s="6" t="s">
        <v>1367</v>
      </c>
      <c r="M1255" s="21" t="s">
        <v>1368</v>
      </c>
      <c r="N1255" s="21" t="s">
        <v>1369</v>
      </c>
      <c r="O1255" s="5" t="s">
        <v>45</v>
      </c>
      <c r="P1255" s="21" t="s">
        <v>1371</v>
      </c>
      <c r="Q1255" t="s">
        <v>8672</v>
      </c>
    </row>
    <row r="1256" spans="1:33">
      <c r="A1256" s="253" t="s">
        <v>9661</v>
      </c>
      <c r="B1256" s="402"/>
      <c r="C1256" s="21" t="s">
        <v>9564</v>
      </c>
      <c r="D1256" s="2" t="s">
        <v>9662</v>
      </c>
      <c r="E1256" s="2" t="s">
        <v>9663</v>
      </c>
      <c r="F1256" s="2" t="s">
        <v>9373</v>
      </c>
      <c r="G1256" s="21" t="s">
        <v>9664</v>
      </c>
      <c r="H1256" s="2" t="s">
        <v>9665</v>
      </c>
      <c r="I1256" s="21" t="s">
        <v>9666</v>
      </c>
      <c r="J1256" s="2" t="s">
        <v>9667</v>
      </c>
      <c r="K1256" s="2" t="s">
        <v>9668</v>
      </c>
      <c r="L1256" s="6" t="s">
        <v>1367</v>
      </c>
      <c r="M1256" s="21" t="s">
        <v>1368</v>
      </c>
      <c r="N1256" s="21" t="s">
        <v>1369</v>
      </c>
      <c r="O1256" s="5" t="s">
        <v>8671</v>
      </c>
      <c r="P1256" s="21" t="s">
        <v>22</v>
      </c>
      <c r="Q1256" t="s">
        <v>8672</v>
      </c>
    </row>
    <row r="1257" spans="1:33" ht="28.9">
      <c r="A1257" s="253" t="s">
        <v>9669</v>
      </c>
      <c r="B1257" s="402"/>
      <c r="C1257" s="21" t="s">
        <v>9564</v>
      </c>
      <c r="D1257" s="2" t="s">
        <v>9670</v>
      </c>
      <c r="E1257" s="2" t="s">
        <v>9671</v>
      </c>
      <c r="F1257" s="2" t="s">
        <v>9672</v>
      </c>
      <c r="G1257" s="21" t="s">
        <v>9546</v>
      </c>
      <c r="H1257" s="2" t="s">
        <v>1442</v>
      </c>
      <c r="I1257" s="21" t="s">
        <v>9560</v>
      </c>
      <c r="J1257" s="2" t="s">
        <v>9429</v>
      </c>
      <c r="K1257" s="2" t="s">
        <v>9561</v>
      </c>
      <c r="L1257" s="6" t="s">
        <v>1367</v>
      </c>
      <c r="M1257" s="21" t="s">
        <v>1368</v>
      </c>
      <c r="N1257" s="21" t="s">
        <v>1369</v>
      </c>
      <c r="O1257" s="5" t="s">
        <v>9562</v>
      </c>
      <c r="P1257" s="21" t="s">
        <v>1371</v>
      </c>
      <c r="Q1257" t="s">
        <v>8672</v>
      </c>
    </row>
    <row r="1258" spans="1:33" ht="28.9">
      <c r="A1258" s="253" t="s">
        <v>9673</v>
      </c>
      <c r="B1258" s="402"/>
      <c r="C1258" s="21" t="s">
        <v>9564</v>
      </c>
      <c r="D1258" s="2" t="s">
        <v>9674</v>
      </c>
      <c r="E1258" s="2" t="s">
        <v>9675</v>
      </c>
      <c r="F1258" s="2" t="s">
        <v>9676</v>
      </c>
      <c r="G1258" s="21" t="s">
        <v>9677</v>
      </c>
      <c r="H1258" s="2" t="s">
        <v>9678</v>
      </c>
      <c r="I1258" s="21" t="s">
        <v>9679</v>
      </c>
      <c r="J1258" s="2" t="s">
        <v>9680</v>
      </c>
      <c r="K1258" s="2" t="s">
        <v>9681</v>
      </c>
      <c r="L1258" s="6" t="s">
        <v>1367</v>
      </c>
      <c r="M1258" s="21" t="s">
        <v>1368</v>
      </c>
      <c r="N1258" s="21" t="s">
        <v>1369</v>
      </c>
      <c r="O1258" s="5" t="s">
        <v>9682</v>
      </c>
      <c r="P1258" s="21" t="s">
        <v>1371</v>
      </c>
      <c r="Q1258" t="s">
        <v>8672</v>
      </c>
    </row>
    <row r="1259" spans="1:33">
      <c r="A1259" s="253" t="s">
        <v>9683</v>
      </c>
      <c r="B1259" s="402"/>
      <c r="C1259" s="21" t="s">
        <v>8149</v>
      </c>
      <c r="D1259" s="2" t="s">
        <v>9684</v>
      </c>
      <c r="E1259" s="2" t="s">
        <v>9685</v>
      </c>
      <c r="F1259" s="2" t="s">
        <v>9435</v>
      </c>
      <c r="G1259" s="21" t="s">
        <v>9686</v>
      </c>
      <c r="H1259" s="2" t="s">
        <v>9568</v>
      </c>
      <c r="I1259" s="21" t="s">
        <v>9687</v>
      </c>
      <c r="J1259" s="2" t="s">
        <v>4926</v>
      </c>
      <c r="K1259" s="2" t="s">
        <v>9570</v>
      </c>
      <c r="L1259" s="6" t="s">
        <v>1367</v>
      </c>
      <c r="M1259" s="21" t="s">
        <v>1368</v>
      </c>
      <c r="N1259" s="21" t="s">
        <v>1369</v>
      </c>
      <c r="O1259" s="5" t="s">
        <v>9571</v>
      </c>
      <c r="P1259" s="21" t="s">
        <v>22</v>
      </c>
      <c r="Q1259" t="s">
        <v>8672</v>
      </c>
    </row>
    <row r="1260" spans="1:33" ht="28.9">
      <c r="A1260" s="253" t="s">
        <v>9688</v>
      </c>
      <c r="B1260" s="402"/>
      <c r="C1260" s="21" t="s">
        <v>8149</v>
      </c>
      <c r="D1260" s="2" t="s">
        <v>9689</v>
      </c>
      <c r="E1260" s="2" t="s">
        <v>9690</v>
      </c>
      <c r="F1260" s="2" t="s">
        <v>9691</v>
      </c>
      <c r="G1260" s="21" t="s">
        <v>9692</v>
      </c>
      <c r="H1260" s="2" t="s">
        <v>3110</v>
      </c>
      <c r="I1260" s="21" t="s">
        <v>9693</v>
      </c>
      <c r="J1260" s="2" t="s">
        <v>9445</v>
      </c>
      <c r="K1260" s="2" t="s">
        <v>9694</v>
      </c>
      <c r="L1260" s="6" t="s">
        <v>1367</v>
      </c>
      <c r="M1260" s="21" t="s">
        <v>1368</v>
      </c>
      <c r="N1260" s="21" t="s">
        <v>1369</v>
      </c>
      <c r="O1260" s="5" t="s">
        <v>8671</v>
      </c>
      <c r="P1260" s="21" t="s">
        <v>22</v>
      </c>
      <c r="Q1260" t="s">
        <v>8672</v>
      </c>
    </row>
    <row r="1261" spans="1:33">
      <c r="A1261" s="253" t="s">
        <v>9695</v>
      </c>
      <c r="B1261" s="402"/>
      <c r="C1261" s="21" t="s">
        <v>8149</v>
      </c>
      <c r="D1261" s="2" t="s">
        <v>9696</v>
      </c>
      <c r="E1261" s="2" t="s">
        <v>9697</v>
      </c>
      <c r="F1261" s="2" t="s">
        <v>9698</v>
      </c>
      <c r="G1261" s="21" t="s">
        <v>9699</v>
      </c>
      <c r="H1261" s="2" t="s">
        <v>9700</v>
      </c>
      <c r="I1261" s="21" t="s">
        <v>9701</v>
      </c>
      <c r="J1261" s="2" t="s">
        <v>9454</v>
      </c>
      <c r="K1261" s="2" t="s">
        <v>9701</v>
      </c>
      <c r="L1261" s="6" t="s">
        <v>1367</v>
      </c>
      <c r="M1261" s="21" t="s">
        <v>1368</v>
      </c>
      <c r="N1261" s="21" t="s">
        <v>1369</v>
      </c>
      <c r="O1261" s="5" t="s">
        <v>45</v>
      </c>
      <c r="P1261" s="21" t="s">
        <v>22</v>
      </c>
      <c r="Q1261" t="s">
        <v>8672</v>
      </c>
      <c r="AG1261"/>
    </row>
    <row r="1262" spans="1:33">
      <c r="A1262" s="253" t="s">
        <v>9702</v>
      </c>
      <c r="B1262" s="402"/>
      <c r="C1262" s="21" t="s">
        <v>8149</v>
      </c>
      <c r="D1262" s="2" t="s">
        <v>9703</v>
      </c>
      <c r="E1262" s="2" t="s">
        <v>9704</v>
      </c>
      <c r="F1262" s="2" t="s">
        <v>4332</v>
      </c>
      <c r="G1262" s="21" t="s">
        <v>9459</v>
      </c>
      <c r="H1262" s="2" t="s">
        <v>9460</v>
      </c>
      <c r="I1262" s="21" t="s">
        <v>9705</v>
      </c>
      <c r="J1262" s="2" t="s">
        <v>9461</v>
      </c>
      <c r="K1262" s="2" t="s">
        <v>9701</v>
      </c>
      <c r="L1262" s="6" t="s">
        <v>1367</v>
      </c>
      <c r="M1262" s="21" t="s">
        <v>1368</v>
      </c>
      <c r="N1262" s="21" t="s">
        <v>4073</v>
      </c>
      <c r="O1262" s="5" t="s">
        <v>45</v>
      </c>
      <c r="P1262" s="21" t="s">
        <v>1371</v>
      </c>
      <c r="Q1262" t="s">
        <v>8672</v>
      </c>
      <c r="AG1262"/>
    </row>
    <row r="1263" spans="1:33" ht="28.9">
      <c r="A1263" s="253" t="s">
        <v>9706</v>
      </c>
      <c r="B1263" s="402"/>
      <c r="C1263" s="21" t="s">
        <v>8149</v>
      </c>
      <c r="D1263" s="2" t="s">
        <v>9707</v>
      </c>
      <c r="E1263" s="2" t="s">
        <v>9708</v>
      </c>
      <c r="F1263" s="2" t="s">
        <v>4332</v>
      </c>
      <c r="G1263" s="21" t="s">
        <v>9359</v>
      </c>
      <c r="H1263" s="2" t="s">
        <v>8696</v>
      </c>
      <c r="I1263" s="21" t="s">
        <v>9214</v>
      </c>
      <c r="J1263" s="2" t="s">
        <v>2597</v>
      </c>
      <c r="K1263" s="2" t="s">
        <v>2598</v>
      </c>
      <c r="L1263" s="6" t="s">
        <v>1367</v>
      </c>
      <c r="M1263" s="21" t="s">
        <v>1368</v>
      </c>
      <c r="N1263" s="21" t="s">
        <v>4073</v>
      </c>
      <c r="O1263" s="5" t="s">
        <v>8671</v>
      </c>
      <c r="P1263" s="21" t="s">
        <v>22</v>
      </c>
      <c r="Q1263" t="s">
        <v>8672</v>
      </c>
      <c r="AG1263"/>
    </row>
    <row r="1264" spans="1:33" ht="28.9">
      <c r="A1264" s="253" t="s">
        <v>9709</v>
      </c>
      <c r="B1264" s="402"/>
      <c r="C1264" s="21" t="s">
        <v>8149</v>
      </c>
      <c r="D1264" s="2" t="s">
        <v>9710</v>
      </c>
      <c r="E1264" s="2" t="s">
        <v>9711</v>
      </c>
      <c r="F1264" s="2" t="s">
        <v>4332</v>
      </c>
      <c r="G1264" s="21" t="s">
        <v>9712</v>
      </c>
      <c r="H1264" s="2" t="s">
        <v>9713</v>
      </c>
      <c r="I1264" s="21" t="s">
        <v>9714</v>
      </c>
      <c r="J1264" s="2" t="s">
        <v>9461</v>
      </c>
      <c r="K1264" s="2" t="s">
        <v>9715</v>
      </c>
      <c r="L1264" s="6" t="s">
        <v>1367</v>
      </c>
      <c r="M1264" s="21" t="s">
        <v>1368</v>
      </c>
      <c r="N1264" s="21" t="s">
        <v>4073</v>
      </c>
      <c r="O1264" s="5" t="s">
        <v>45</v>
      </c>
      <c r="P1264" s="21" t="s">
        <v>22</v>
      </c>
      <c r="Q1264" t="s">
        <v>8672</v>
      </c>
      <c r="AG1264"/>
    </row>
    <row r="1265" spans="1:33" ht="28.9">
      <c r="A1265" s="253" t="s">
        <v>9716</v>
      </c>
      <c r="B1265" s="402"/>
      <c r="C1265" s="21" t="s">
        <v>8149</v>
      </c>
      <c r="D1265" s="2" t="s">
        <v>9717</v>
      </c>
      <c r="E1265" s="2" t="s">
        <v>9718</v>
      </c>
      <c r="F1265" s="2" t="s">
        <v>4332</v>
      </c>
      <c r="G1265" s="21" t="s">
        <v>9719</v>
      </c>
      <c r="H1265" s="2" t="s">
        <v>9720</v>
      </c>
      <c r="I1265" s="21" t="s">
        <v>9721</v>
      </c>
      <c r="J1265" s="2" t="s">
        <v>9461</v>
      </c>
      <c r="K1265" s="2" t="s">
        <v>9722</v>
      </c>
      <c r="L1265" s="6" t="s">
        <v>1367</v>
      </c>
      <c r="M1265" s="21" t="s">
        <v>1368</v>
      </c>
      <c r="N1265" s="21" t="s">
        <v>4073</v>
      </c>
      <c r="O1265" s="5" t="s">
        <v>45</v>
      </c>
      <c r="P1265" s="21" t="s">
        <v>22</v>
      </c>
      <c r="Q1265" t="s">
        <v>8672</v>
      </c>
      <c r="AG1265"/>
    </row>
    <row r="1266" spans="1:33">
      <c r="A1266" s="253" t="s">
        <v>9723</v>
      </c>
      <c r="B1266" s="402"/>
      <c r="C1266" s="21" t="s">
        <v>8149</v>
      </c>
      <c r="D1266" s="2" t="s">
        <v>9724</v>
      </c>
      <c r="E1266" s="2" t="s">
        <v>9725</v>
      </c>
      <c r="F1266" s="2" t="s">
        <v>9726</v>
      </c>
      <c r="G1266" s="21" t="s">
        <v>9477</v>
      </c>
      <c r="H1266" s="2" t="s">
        <v>9478</v>
      </c>
      <c r="I1266" s="21" t="s">
        <v>9727</v>
      </c>
      <c r="J1266" s="2" t="s">
        <v>3172</v>
      </c>
      <c r="K1266" s="2" t="s">
        <v>9600</v>
      </c>
      <c r="L1266" s="6" t="s">
        <v>1367</v>
      </c>
      <c r="M1266" s="21" t="s">
        <v>1368</v>
      </c>
      <c r="N1266" s="21" t="s">
        <v>4073</v>
      </c>
      <c r="O1266" s="5" t="s">
        <v>8671</v>
      </c>
      <c r="P1266" s="21" t="s">
        <v>22</v>
      </c>
      <c r="Q1266" t="s">
        <v>8672</v>
      </c>
      <c r="AG1266"/>
    </row>
    <row r="1267" spans="1:33">
      <c r="A1267" s="253" t="s">
        <v>9728</v>
      </c>
      <c r="B1267" s="402"/>
      <c r="C1267" s="21" t="s">
        <v>8149</v>
      </c>
      <c r="D1267" s="2" t="s">
        <v>9729</v>
      </c>
      <c r="E1267" s="2" t="s">
        <v>9730</v>
      </c>
      <c r="F1267" s="2" t="s">
        <v>9726</v>
      </c>
      <c r="G1267" s="21" t="s">
        <v>9492</v>
      </c>
      <c r="H1267" s="2" t="s">
        <v>9493</v>
      </c>
      <c r="I1267" s="21" t="s">
        <v>9731</v>
      </c>
      <c r="J1267" s="2" t="s">
        <v>4425</v>
      </c>
      <c r="K1267" s="2" t="s">
        <v>9495</v>
      </c>
      <c r="L1267" s="6" t="s">
        <v>1367</v>
      </c>
      <c r="M1267" s="21" t="s">
        <v>1368</v>
      </c>
      <c r="N1267" s="21" t="s">
        <v>4073</v>
      </c>
      <c r="O1267" s="5" t="s">
        <v>8671</v>
      </c>
      <c r="P1267" s="21" t="s">
        <v>22</v>
      </c>
      <c r="Q1267" t="s">
        <v>8672</v>
      </c>
      <c r="AG1267"/>
    </row>
    <row r="1268" spans="1:33">
      <c r="A1268" s="253" t="s">
        <v>9732</v>
      </c>
      <c r="B1268" s="402"/>
      <c r="C1268" s="21" t="s">
        <v>8149</v>
      </c>
      <c r="D1268" s="2" t="s">
        <v>9733</v>
      </c>
      <c r="E1268" s="2" t="s">
        <v>9734</v>
      </c>
      <c r="F1268" s="2" t="s">
        <v>9499</v>
      </c>
      <c r="G1268" s="21" t="s">
        <v>9500</v>
      </c>
      <c r="H1268" s="2" t="s">
        <v>2672</v>
      </c>
      <c r="I1268" s="21" t="s">
        <v>9735</v>
      </c>
      <c r="J1268" s="2" t="s">
        <v>9736</v>
      </c>
      <c r="K1268" s="2" t="s">
        <v>9503</v>
      </c>
      <c r="L1268" s="6" t="s">
        <v>1367</v>
      </c>
      <c r="M1268" s="21" t="s">
        <v>1368</v>
      </c>
      <c r="N1268" s="21" t="s">
        <v>4073</v>
      </c>
      <c r="O1268" s="5" t="s">
        <v>9487</v>
      </c>
      <c r="P1268" s="21" t="s">
        <v>1371</v>
      </c>
      <c r="Q1268" t="s">
        <v>8672</v>
      </c>
      <c r="AG1268"/>
    </row>
    <row r="1269" spans="1:33">
      <c r="A1269" s="253" t="s">
        <v>9737</v>
      </c>
      <c r="B1269" s="402"/>
      <c r="C1269" s="21" t="s">
        <v>8149</v>
      </c>
      <c r="D1269" s="2" t="s">
        <v>9738</v>
      </c>
      <c r="E1269" s="2" t="s">
        <v>9739</v>
      </c>
      <c r="F1269" s="2" t="s">
        <v>9740</v>
      </c>
      <c r="G1269" s="21" t="s">
        <v>9741</v>
      </c>
      <c r="H1269" s="2" t="s">
        <v>9742</v>
      </c>
      <c r="I1269" s="21" t="s">
        <v>9743</v>
      </c>
      <c r="J1269" s="2" t="s">
        <v>9744</v>
      </c>
      <c r="K1269" s="2" t="s">
        <v>9540</v>
      </c>
      <c r="L1269" s="6" t="s">
        <v>1367</v>
      </c>
      <c r="M1269" s="21" t="s">
        <v>1368</v>
      </c>
      <c r="N1269" s="21" t="s">
        <v>4073</v>
      </c>
      <c r="O1269" s="5" t="s">
        <v>9541</v>
      </c>
      <c r="P1269" s="21" t="s">
        <v>22</v>
      </c>
      <c r="Q1269" t="s">
        <v>8672</v>
      </c>
      <c r="AG1269"/>
    </row>
    <row r="1270" spans="1:33" ht="28.9">
      <c r="A1270" s="253" t="s">
        <v>9745</v>
      </c>
      <c r="B1270" s="402"/>
      <c r="C1270" s="21" t="s">
        <v>8149</v>
      </c>
      <c r="D1270" s="2" t="s">
        <v>9746</v>
      </c>
      <c r="E1270" s="2" t="s">
        <v>9747</v>
      </c>
      <c r="F1270" s="2" t="s">
        <v>4332</v>
      </c>
      <c r="G1270" s="21" t="s">
        <v>9748</v>
      </c>
      <c r="H1270" s="2" t="s">
        <v>9749</v>
      </c>
      <c r="I1270" s="21" t="s">
        <v>9750</v>
      </c>
      <c r="J1270" s="2" t="s">
        <v>2597</v>
      </c>
      <c r="K1270" s="2" t="s">
        <v>9751</v>
      </c>
      <c r="L1270" s="6" t="s">
        <v>1367</v>
      </c>
      <c r="M1270" s="21" t="s">
        <v>1368</v>
      </c>
      <c r="N1270" s="21" t="s">
        <v>4073</v>
      </c>
      <c r="O1270" s="5" t="s">
        <v>45</v>
      </c>
      <c r="P1270" s="21" t="s">
        <v>22</v>
      </c>
      <c r="Q1270" t="s">
        <v>8672</v>
      </c>
      <c r="AG1270"/>
    </row>
    <row r="1271" spans="1:33">
      <c r="A1271" s="253" t="s">
        <v>9752</v>
      </c>
      <c r="B1271" s="402"/>
      <c r="C1271" s="21" t="s">
        <v>8149</v>
      </c>
      <c r="D1271" s="2" t="s">
        <v>9753</v>
      </c>
      <c r="E1271" s="2" t="s">
        <v>9754</v>
      </c>
      <c r="F1271" s="2" t="s">
        <v>9755</v>
      </c>
      <c r="G1271" s="21" t="s">
        <v>9756</v>
      </c>
      <c r="H1271" s="2" t="s">
        <v>9757</v>
      </c>
      <c r="I1271" s="21" t="s">
        <v>9758</v>
      </c>
      <c r="J1271" s="2" t="s">
        <v>9007</v>
      </c>
      <c r="K1271" s="2" t="s">
        <v>9759</v>
      </c>
      <c r="L1271" s="6" t="s">
        <v>1367</v>
      </c>
      <c r="M1271" s="21" t="s">
        <v>1368</v>
      </c>
      <c r="N1271" s="21" t="s">
        <v>4073</v>
      </c>
      <c r="O1271" s="5" t="s">
        <v>45</v>
      </c>
      <c r="P1271" s="21" t="s">
        <v>1371</v>
      </c>
      <c r="Q1271" t="s">
        <v>8672</v>
      </c>
      <c r="AG1271"/>
    </row>
    <row r="1272" spans="1:33">
      <c r="A1272" s="253" t="s">
        <v>9760</v>
      </c>
      <c r="B1272" s="402"/>
      <c r="C1272" s="21" t="s">
        <v>8149</v>
      </c>
      <c r="D1272" s="2" t="s">
        <v>9761</v>
      </c>
      <c r="E1272" s="2" t="s">
        <v>9762</v>
      </c>
      <c r="F1272" s="2" t="s">
        <v>9763</v>
      </c>
      <c r="G1272" s="21" t="s">
        <v>9374</v>
      </c>
      <c r="H1272" s="2" t="s">
        <v>9764</v>
      </c>
      <c r="I1272" s="21" t="s">
        <v>9765</v>
      </c>
      <c r="J1272" s="2" t="s">
        <v>6121</v>
      </c>
      <c r="K1272" s="2" t="s">
        <v>9512</v>
      </c>
      <c r="L1272" s="6" t="s">
        <v>1367</v>
      </c>
      <c r="M1272" s="21" t="s">
        <v>1368</v>
      </c>
      <c r="N1272" s="21" t="s">
        <v>4073</v>
      </c>
      <c r="O1272" s="5" t="s">
        <v>8671</v>
      </c>
      <c r="P1272" s="21" t="s">
        <v>22</v>
      </c>
      <c r="Q1272" t="s">
        <v>8672</v>
      </c>
      <c r="AG1272"/>
    </row>
    <row r="1273" spans="1:33">
      <c r="A1273" s="253" t="s">
        <v>9766</v>
      </c>
      <c r="B1273" s="402"/>
      <c r="C1273" s="21" t="s">
        <v>8149</v>
      </c>
      <c r="D1273" s="2" t="s">
        <v>9618</v>
      </c>
      <c r="E1273" s="2" t="s">
        <v>9767</v>
      </c>
      <c r="F1273" s="2" t="s">
        <v>9768</v>
      </c>
      <c r="G1273" s="21" t="s">
        <v>9769</v>
      </c>
      <c r="H1273" s="2" t="s">
        <v>9770</v>
      </c>
      <c r="I1273" s="21" t="s">
        <v>9771</v>
      </c>
      <c r="J1273" s="2" t="s">
        <v>9525</v>
      </c>
      <c r="K1273" s="2" t="s">
        <v>9622</v>
      </c>
      <c r="L1273" s="6" t="s">
        <v>1367</v>
      </c>
      <c r="M1273" s="21" t="s">
        <v>1368</v>
      </c>
      <c r="N1273" s="21" t="s">
        <v>4073</v>
      </c>
      <c r="O1273" s="5" t="s">
        <v>8671</v>
      </c>
      <c r="P1273" s="21" t="s">
        <v>22</v>
      </c>
      <c r="Q1273" t="s">
        <v>8672</v>
      </c>
      <c r="AG1273"/>
    </row>
    <row r="1274" spans="1:33" ht="28.9">
      <c r="A1274" s="253" t="s">
        <v>9772</v>
      </c>
      <c r="B1274" s="402"/>
      <c r="C1274" s="21" t="s">
        <v>8149</v>
      </c>
      <c r="D1274" s="2" t="s">
        <v>9624</v>
      </c>
      <c r="E1274" s="2" t="s">
        <v>9773</v>
      </c>
      <c r="F1274" s="2" t="s">
        <v>9774</v>
      </c>
      <c r="G1274" s="21" t="s">
        <v>9775</v>
      </c>
      <c r="H1274" s="2" t="s">
        <v>9776</v>
      </c>
      <c r="I1274" s="21" t="s">
        <v>9777</v>
      </c>
      <c r="J1274" s="2" t="s">
        <v>9778</v>
      </c>
      <c r="K1274" s="2" t="s">
        <v>9631</v>
      </c>
      <c r="L1274" s="6" t="s">
        <v>1367</v>
      </c>
      <c r="M1274" s="21" t="s">
        <v>1368</v>
      </c>
      <c r="N1274" s="21" t="s">
        <v>4073</v>
      </c>
      <c r="O1274" s="5" t="s">
        <v>45</v>
      </c>
      <c r="P1274" s="21" t="s">
        <v>22</v>
      </c>
      <c r="Q1274" t="s">
        <v>8672</v>
      </c>
      <c r="AG1274"/>
    </row>
    <row r="1275" spans="1:33" ht="28.9">
      <c r="A1275" s="253" t="s">
        <v>9779</v>
      </c>
      <c r="B1275" s="402"/>
      <c r="C1275" s="21" t="s">
        <v>8149</v>
      </c>
      <c r="D1275" s="2" t="s">
        <v>9633</v>
      </c>
      <c r="E1275" s="2" t="s">
        <v>9780</v>
      </c>
      <c r="F1275" s="2" t="s">
        <v>9389</v>
      </c>
      <c r="G1275" s="21" t="s">
        <v>9530</v>
      </c>
      <c r="H1275" s="2" t="s">
        <v>9187</v>
      </c>
      <c r="I1275" s="21" t="s">
        <v>9531</v>
      </c>
      <c r="J1275" s="2" t="s">
        <v>9109</v>
      </c>
      <c r="K1275" s="2" t="s">
        <v>9392</v>
      </c>
      <c r="L1275" s="6" t="s">
        <v>1367</v>
      </c>
      <c r="M1275" s="21" t="s">
        <v>1368</v>
      </c>
      <c r="N1275" s="21" t="s">
        <v>4073</v>
      </c>
      <c r="O1275" s="5" t="s">
        <v>60</v>
      </c>
      <c r="P1275" s="21" t="s">
        <v>22</v>
      </c>
      <c r="Q1275" t="s">
        <v>8672</v>
      </c>
      <c r="AG1275"/>
    </row>
    <row r="1276" spans="1:33">
      <c r="A1276" s="253" t="s">
        <v>9781</v>
      </c>
      <c r="B1276" s="402"/>
      <c r="C1276" s="21" t="s">
        <v>8149</v>
      </c>
      <c r="D1276" s="2" t="s">
        <v>9782</v>
      </c>
      <c r="E1276" s="2" t="s">
        <v>9783</v>
      </c>
      <c r="F1276" s="2" t="s">
        <v>9784</v>
      </c>
      <c r="G1276" s="21" t="s">
        <v>9785</v>
      </c>
      <c r="H1276" s="2" t="s">
        <v>9547</v>
      </c>
      <c r="I1276" s="21" t="s">
        <v>9548</v>
      </c>
      <c r="J1276" s="2" t="s">
        <v>7058</v>
      </c>
      <c r="K1276" s="2" t="s">
        <v>9549</v>
      </c>
      <c r="L1276" s="6" t="s">
        <v>1367</v>
      </c>
      <c r="M1276" s="21" t="s">
        <v>1368</v>
      </c>
      <c r="N1276" s="21" t="s">
        <v>4073</v>
      </c>
      <c r="O1276" s="5" t="s">
        <v>9487</v>
      </c>
      <c r="P1276" s="21" t="s">
        <v>1481</v>
      </c>
      <c r="Q1276" t="s">
        <v>8672</v>
      </c>
      <c r="AG1276"/>
    </row>
    <row r="1277" spans="1:33" ht="28.9">
      <c r="A1277" s="253" t="s">
        <v>9786</v>
      </c>
      <c r="B1277" s="402"/>
      <c r="C1277" s="21" t="s">
        <v>8149</v>
      </c>
      <c r="D1277" s="2" t="s">
        <v>9787</v>
      </c>
      <c r="E1277" s="2" t="s">
        <v>9788</v>
      </c>
      <c r="F1277" s="2" t="s">
        <v>9553</v>
      </c>
      <c r="G1277" s="21" t="s">
        <v>9554</v>
      </c>
      <c r="H1277" s="2" t="s">
        <v>9555</v>
      </c>
      <c r="I1277" s="21" t="s">
        <v>1798</v>
      </c>
      <c r="J1277" s="2" t="s">
        <v>9556</v>
      </c>
      <c r="K1277" s="2" t="s">
        <v>9557</v>
      </c>
      <c r="L1277" s="6" t="s">
        <v>1367</v>
      </c>
      <c r="M1277" s="21" t="s">
        <v>1368</v>
      </c>
      <c r="N1277" s="21" t="s">
        <v>4073</v>
      </c>
      <c r="O1277" s="5" t="s">
        <v>9487</v>
      </c>
      <c r="P1277" s="21" t="s">
        <v>1481</v>
      </c>
      <c r="Q1277" t="s">
        <v>8672</v>
      </c>
      <c r="AG1277"/>
    </row>
    <row r="1278" spans="1:33" ht="28.9">
      <c r="A1278" s="253" t="s">
        <v>9789</v>
      </c>
      <c r="B1278" s="402"/>
      <c r="C1278" s="21" t="s">
        <v>8149</v>
      </c>
      <c r="D1278" s="2" t="s">
        <v>9670</v>
      </c>
      <c r="E1278" s="2" t="s">
        <v>9671</v>
      </c>
      <c r="F1278" s="2" t="s">
        <v>9559</v>
      </c>
      <c r="G1278" s="21" t="s">
        <v>9546</v>
      </c>
      <c r="H1278" s="2" t="s">
        <v>1442</v>
      </c>
      <c r="I1278" s="21" t="s">
        <v>9560</v>
      </c>
      <c r="J1278" s="2" t="s">
        <v>9429</v>
      </c>
      <c r="K1278" s="2" t="s">
        <v>9561</v>
      </c>
      <c r="L1278" s="6" t="s">
        <v>1367</v>
      </c>
      <c r="M1278" s="21" t="s">
        <v>1368</v>
      </c>
      <c r="N1278" s="21" t="s">
        <v>4073</v>
      </c>
      <c r="O1278" s="5" t="s">
        <v>9562</v>
      </c>
      <c r="P1278" s="21" t="s">
        <v>1371</v>
      </c>
      <c r="Q1278" t="s">
        <v>8672</v>
      </c>
      <c r="AG1278"/>
    </row>
    <row r="1279" spans="1:33">
      <c r="A1279" s="253" t="s">
        <v>9790</v>
      </c>
      <c r="B1279" s="402"/>
      <c r="C1279" s="21" t="s">
        <v>8236</v>
      </c>
      <c r="D1279" s="2" t="s">
        <v>9791</v>
      </c>
      <c r="E1279" s="2" t="s">
        <v>9792</v>
      </c>
      <c r="F1279" s="2" t="s">
        <v>9123</v>
      </c>
      <c r="G1279" s="21" t="s">
        <v>9793</v>
      </c>
      <c r="H1279" s="2" t="s">
        <v>9794</v>
      </c>
      <c r="I1279" s="21" t="s">
        <v>9795</v>
      </c>
      <c r="J1279" s="2" t="s">
        <v>4926</v>
      </c>
      <c r="K1279" s="2" t="s">
        <v>9570</v>
      </c>
      <c r="L1279" s="6" t="s">
        <v>1367</v>
      </c>
      <c r="M1279" s="21" t="s">
        <v>1368</v>
      </c>
      <c r="N1279" s="21" t="s">
        <v>4073</v>
      </c>
      <c r="O1279" s="5" t="s">
        <v>9571</v>
      </c>
      <c r="P1279" s="21" t="s">
        <v>22</v>
      </c>
      <c r="Q1279" t="s">
        <v>8672</v>
      </c>
      <c r="AG1279"/>
    </row>
    <row r="1280" spans="1:33" ht="28.9">
      <c r="A1280" s="253" t="s">
        <v>9796</v>
      </c>
      <c r="B1280" s="402"/>
      <c r="C1280" s="21" t="s">
        <v>8236</v>
      </c>
      <c r="D1280" s="2" t="s">
        <v>9797</v>
      </c>
      <c r="E1280" s="2" t="s">
        <v>9798</v>
      </c>
      <c r="F1280" s="2" t="s">
        <v>9799</v>
      </c>
      <c r="G1280" s="21" t="s">
        <v>9546</v>
      </c>
      <c r="H1280" s="2" t="s">
        <v>3110</v>
      </c>
      <c r="I1280" s="21" t="s">
        <v>9800</v>
      </c>
      <c r="J1280" s="2" t="s">
        <v>9332</v>
      </c>
      <c r="K1280" s="2" t="s">
        <v>3326</v>
      </c>
      <c r="L1280" s="6" t="s">
        <v>1367</v>
      </c>
      <c r="M1280" s="21" t="s">
        <v>1368</v>
      </c>
      <c r="N1280" s="21" t="s">
        <v>4073</v>
      </c>
      <c r="O1280" s="5" t="s">
        <v>8671</v>
      </c>
      <c r="P1280" s="21" t="s">
        <v>22</v>
      </c>
      <c r="Q1280" t="s">
        <v>8672</v>
      </c>
      <c r="AG1280"/>
    </row>
    <row r="1281" spans="1:33">
      <c r="A1281" s="253" t="s">
        <v>9801</v>
      </c>
      <c r="B1281" s="402"/>
      <c r="C1281" s="21" t="s">
        <v>8236</v>
      </c>
      <c r="D1281" s="2" t="s">
        <v>9802</v>
      </c>
      <c r="E1281" s="2" t="s">
        <v>9803</v>
      </c>
      <c r="F1281" s="2" t="s">
        <v>9804</v>
      </c>
      <c r="G1281" s="21" t="s">
        <v>9805</v>
      </c>
      <c r="H1281" s="2" t="s">
        <v>9806</v>
      </c>
      <c r="I1281" s="21" t="s">
        <v>9807</v>
      </c>
      <c r="J1281" s="2" t="s">
        <v>9007</v>
      </c>
      <c r="K1281" s="2" t="s">
        <v>3711</v>
      </c>
      <c r="L1281" s="6" t="s">
        <v>1367</v>
      </c>
      <c r="M1281" s="21" t="s">
        <v>1368</v>
      </c>
      <c r="N1281" s="21" t="s">
        <v>4073</v>
      </c>
      <c r="O1281" s="5" t="s">
        <v>45</v>
      </c>
      <c r="P1281" s="21" t="s">
        <v>22</v>
      </c>
      <c r="Q1281" t="s">
        <v>8672</v>
      </c>
      <c r="AG1281"/>
    </row>
    <row r="1282" spans="1:33">
      <c r="A1282" s="253" t="s">
        <v>9808</v>
      </c>
      <c r="B1282" s="402"/>
      <c r="C1282" s="21" t="s">
        <v>8236</v>
      </c>
      <c r="D1282" s="2" t="s">
        <v>9809</v>
      </c>
      <c r="E1282" s="2" t="s">
        <v>9810</v>
      </c>
      <c r="F1282" s="2" t="s">
        <v>9811</v>
      </c>
      <c r="G1282" s="21" t="s">
        <v>9812</v>
      </c>
      <c r="H1282" s="2" t="s">
        <v>9813</v>
      </c>
      <c r="I1282" s="21" t="s">
        <v>9520</v>
      </c>
      <c r="J1282" s="2" t="s">
        <v>9007</v>
      </c>
      <c r="K1282" s="2" t="s">
        <v>9814</v>
      </c>
      <c r="L1282" s="6" t="s">
        <v>1367</v>
      </c>
      <c r="M1282" s="21" t="s">
        <v>1368</v>
      </c>
      <c r="N1282" s="21" t="s">
        <v>4073</v>
      </c>
      <c r="O1282" s="5" t="s">
        <v>45</v>
      </c>
      <c r="P1282" s="21" t="s">
        <v>22</v>
      </c>
      <c r="Q1282" t="s">
        <v>8672</v>
      </c>
      <c r="AG1282"/>
    </row>
    <row r="1283" spans="1:33" ht="28.9">
      <c r="A1283" s="253" t="s">
        <v>9815</v>
      </c>
      <c r="B1283" s="402"/>
      <c r="C1283" s="21" t="s">
        <v>8236</v>
      </c>
      <c r="D1283" s="2" t="s">
        <v>9816</v>
      </c>
      <c r="E1283" s="2" t="s">
        <v>9817</v>
      </c>
      <c r="F1283" s="2" t="s">
        <v>9818</v>
      </c>
      <c r="G1283" s="21" t="s">
        <v>9819</v>
      </c>
      <c r="H1283" s="2" t="s">
        <v>9820</v>
      </c>
      <c r="I1283" s="21" t="s">
        <v>9821</v>
      </c>
      <c r="J1283" s="2" t="s">
        <v>9007</v>
      </c>
      <c r="K1283" s="2" t="s">
        <v>9822</v>
      </c>
      <c r="L1283" s="6" t="s">
        <v>1367</v>
      </c>
      <c r="M1283" s="21" t="s">
        <v>1368</v>
      </c>
      <c r="N1283" s="21" t="s">
        <v>4073</v>
      </c>
      <c r="O1283" s="5" t="s">
        <v>45</v>
      </c>
      <c r="P1283" s="21" t="s">
        <v>22</v>
      </c>
      <c r="Q1283" t="s">
        <v>8672</v>
      </c>
      <c r="AG1283"/>
    </row>
    <row r="1284" spans="1:33" ht="28.9">
      <c r="A1284" s="253" t="s">
        <v>9823</v>
      </c>
      <c r="B1284" s="402"/>
      <c r="C1284" s="21" t="s">
        <v>8236</v>
      </c>
      <c r="D1284" s="2" t="s">
        <v>9824</v>
      </c>
      <c r="E1284" s="2" t="s">
        <v>9825</v>
      </c>
      <c r="F1284" s="2" t="s">
        <v>9826</v>
      </c>
      <c r="G1284" s="21" t="s">
        <v>9827</v>
      </c>
      <c r="H1284" s="2" t="s">
        <v>9720</v>
      </c>
      <c r="I1284" s="21" t="s">
        <v>9828</v>
      </c>
      <c r="J1284" s="2" t="s">
        <v>9007</v>
      </c>
      <c r="K1284" s="2" t="s">
        <v>9829</v>
      </c>
      <c r="L1284" s="6" t="s">
        <v>1367</v>
      </c>
      <c r="M1284" s="21" t="s">
        <v>1368</v>
      </c>
      <c r="N1284" s="21" t="s">
        <v>4073</v>
      </c>
      <c r="O1284" s="5" t="s">
        <v>45</v>
      </c>
      <c r="P1284" s="21" t="s">
        <v>22</v>
      </c>
      <c r="Q1284" t="s">
        <v>8672</v>
      </c>
      <c r="AG1284"/>
    </row>
    <row r="1285" spans="1:33" ht="28.9">
      <c r="A1285" s="253" t="s">
        <v>9830</v>
      </c>
      <c r="B1285" s="402"/>
      <c r="C1285" s="21" t="s">
        <v>8236</v>
      </c>
      <c r="D1285" s="2" t="s">
        <v>9831</v>
      </c>
      <c r="E1285" s="2" t="s">
        <v>9832</v>
      </c>
      <c r="F1285" s="2" t="s">
        <v>9236</v>
      </c>
      <c r="G1285" s="21" t="s">
        <v>9833</v>
      </c>
      <c r="H1285" s="2" t="s">
        <v>9834</v>
      </c>
      <c r="I1285" s="21" t="s">
        <v>9835</v>
      </c>
      <c r="J1285" s="2" t="s">
        <v>9007</v>
      </c>
      <c r="K1285" s="2" t="s">
        <v>9836</v>
      </c>
      <c r="L1285" s="6" t="s">
        <v>1367</v>
      </c>
      <c r="M1285" s="21" t="s">
        <v>1368</v>
      </c>
      <c r="N1285" s="21" t="s">
        <v>4073</v>
      </c>
      <c r="O1285" s="5" t="s">
        <v>8671</v>
      </c>
      <c r="P1285" s="21" t="s">
        <v>22</v>
      </c>
      <c r="Q1285" t="s">
        <v>8672</v>
      </c>
      <c r="AG1285"/>
    </row>
    <row r="1286" spans="1:33">
      <c r="A1286" s="253" t="s">
        <v>9837</v>
      </c>
      <c r="B1286" s="402"/>
      <c r="C1286" s="21" t="s">
        <v>8236</v>
      </c>
      <c r="D1286" s="2" t="s">
        <v>9838</v>
      </c>
      <c r="E1286" s="2" t="s">
        <v>9839</v>
      </c>
      <c r="F1286" s="2" t="s">
        <v>9024</v>
      </c>
      <c r="G1286" s="21" t="s">
        <v>9840</v>
      </c>
      <c r="H1286" s="2" t="s">
        <v>9841</v>
      </c>
      <c r="I1286" s="21" t="s">
        <v>9842</v>
      </c>
      <c r="J1286" s="2" t="s">
        <v>9843</v>
      </c>
      <c r="K1286" s="2" t="s">
        <v>9844</v>
      </c>
      <c r="L1286" s="6" t="s">
        <v>1367</v>
      </c>
      <c r="M1286" s="21" t="s">
        <v>1368</v>
      </c>
      <c r="N1286" s="21" t="s">
        <v>4073</v>
      </c>
      <c r="O1286" s="5" t="s">
        <v>9487</v>
      </c>
      <c r="P1286" s="21" t="s">
        <v>1371</v>
      </c>
      <c r="Q1286" t="s">
        <v>8672</v>
      </c>
      <c r="AG1286"/>
    </row>
    <row r="1287" spans="1:33">
      <c r="A1287" s="253" t="s">
        <v>9845</v>
      </c>
      <c r="B1287" s="402"/>
      <c r="C1287" s="21" t="s">
        <v>8236</v>
      </c>
      <c r="D1287" s="2" t="s">
        <v>9846</v>
      </c>
      <c r="E1287" s="2" t="s">
        <v>9847</v>
      </c>
      <c r="F1287" s="2" t="s">
        <v>9032</v>
      </c>
      <c r="G1287" s="21" t="s">
        <v>9848</v>
      </c>
      <c r="H1287" s="2" t="s">
        <v>9180</v>
      </c>
      <c r="I1287" s="21" t="s">
        <v>7057</v>
      </c>
      <c r="J1287" s="2" t="s">
        <v>9849</v>
      </c>
      <c r="K1287" s="2" t="s">
        <v>9540</v>
      </c>
      <c r="L1287" s="6" t="s">
        <v>1367</v>
      </c>
      <c r="M1287" s="21" t="s">
        <v>1368</v>
      </c>
      <c r="N1287" s="21" t="s">
        <v>4073</v>
      </c>
      <c r="O1287" s="5" t="s">
        <v>9487</v>
      </c>
      <c r="P1287" s="21" t="s">
        <v>1371</v>
      </c>
      <c r="Q1287" t="s">
        <v>8672</v>
      </c>
      <c r="AG1287"/>
    </row>
    <row r="1288" spans="1:33" ht="28.9">
      <c r="A1288" s="253" t="s">
        <v>9850</v>
      </c>
      <c r="B1288" s="402"/>
      <c r="C1288" s="21" t="s">
        <v>8236</v>
      </c>
      <c r="D1288" s="2" t="s">
        <v>9851</v>
      </c>
      <c r="E1288" s="2" t="s">
        <v>9852</v>
      </c>
      <c r="F1288" s="2" t="s">
        <v>9853</v>
      </c>
      <c r="G1288" s="21" t="s">
        <v>9854</v>
      </c>
      <c r="H1288" s="2" t="s">
        <v>9855</v>
      </c>
      <c r="I1288" s="21" t="s">
        <v>9856</v>
      </c>
      <c r="J1288" s="2" t="s">
        <v>9857</v>
      </c>
      <c r="K1288" s="2" t="s">
        <v>8661</v>
      </c>
      <c r="L1288" s="6" t="s">
        <v>1367</v>
      </c>
      <c r="M1288" s="21" t="s">
        <v>1368</v>
      </c>
      <c r="N1288" s="21" t="s">
        <v>4073</v>
      </c>
      <c r="O1288" s="5" t="s">
        <v>45</v>
      </c>
      <c r="P1288" s="21" t="s">
        <v>22</v>
      </c>
      <c r="Q1288" t="s">
        <v>8672</v>
      </c>
      <c r="AG1288"/>
    </row>
    <row r="1289" spans="1:33">
      <c r="A1289" s="253" t="s">
        <v>9858</v>
      </c>
      <c r="B1289" s="402"/>
      <c r="C1289" s="21" t="s">
        <v>8236</v>
      </c>
      <c r="D1289" s="2" t="s">
        <v>9859</v>
      </c>
      <c r="E1289" s="2" t="s">
        <v>9860</v>
      </c>
      <c r="F1289" s="2" t="s">
        <v>9861</v>
      </c>
      <c r="G1289" s="21" t="s">
        <v>9862</v>
      </c>
      <c r="H1289" s="2" t="s">
        <v>9863</v>
      </c>
      <c r="I1289" s="21" t="s">
        <v>9864</v>
      </c>
      <c r="J1289" s="2" t="s">
        <v>3172</v>
      </c>
      <c r="K1289" s="2" t="s">
        <v>9865</v>
      </c>
      <c r="L1289" s="6" t="s">
        <v>1367</v>
      </c>
      <c r="M1289" s="21" t="s">
        <v>1368</v>
      </c>
      <c r="N1289" s="21" t="s">
        <v>4073</v>
      </c>
      <c r="O1289" s="5" t="s">
        <v>45</v>
      </c>
      <c r="P1289" s="21" t="s">
        <v>22</v>
      </c>
      <c r="Q1289" t="s">
        <v>8672</v>
      </c>
      <c r="AG1289"/>
    </row>
    <row r="1290" spans="1:33">
      <c r="A1290" s="253" t="s">
        <v>9866</v>
      </c>
      <c r="B1290" s="402"/>
      <c r="C1290" s="21" t="s">
        <v>8236</v>
      </c>
      <c r="D1290" s="2" t="s">
        <v>9867</v>
      </c>
      <c r="E1290" s="2" t="s">
        <v>9868</v>
      </c>
      <c r="F1290" s="2" t="s">
        <v>9861</v>
      </c>
      <c r="G1290" s="21" t="s">
        <v>9869</v>
      </c>
      <c r="H1290" s="2" t="s">
        <v>9863</v>
      </c>
      <c r="I1290" s="21" t="s">
        <v>9870</v>
      </c>
      <c r="J1290" s="2" t="s">
        <v>3172</v>
      </c>
      <c r="K1290" s="2" t="s">
        <v>9871</v>
      </c>
      <c r="L1290" s="6" t="s">
        <v>1367</v>
      </c>
      <c r="M1290" s="21" t="s">
        <v>1368</v>
      </c>
      <c r="N1290" s="21" t="s">
        <v>4073</v>
      </c>
      <c r="O1290" s="5" t="s">
        <v>45</v>
      </c>
      <c r="P1290" s="21" t="s">
        <v>22</v>
      </c>
      <c r="Q1290" t="s">
        <v>8672</v>
      </c>
      <c r="AG1290"/>
    </row>
    <row r="1291" spans="1:33">
      <c r="A1291" s="253" t="s">
        <v>9872</v>
      </c>
      <c r="B1291" s="402"/>
      <c r="C1291" s="21" t="s">
        <v>8236</v>
      </c>
      <c r="D1291" s="2" t="s">
        <v>9873</v>
      </c>
      <c r="E1291" s="2" t="s">
        <v>9874</v>
      </c>
      <c r="F1291" s="2" t="s">
        <v>9875</v>
      </c>
      <c r="G1291" s="21" t="s">
        <v>9876</v>
      </c>
      <c r="H1291" s="2" t="s">
        <v>9877</v>
      </c>
      <c r="I1291" s="21" t="s">
        <v>9878</v>
      </c>
      <c r="J1291" s="2" t="s">
        <v>3172</v>
      </c>
      <c r="K1291" s="2" t="s">
        <v>9879</v>
      </c>
      <c r="L1291" s="6" t="s">
        <v>1367</v>
      </c>
      <c r="M1291" s="21" t="s">
        <v>1368</v>
      </c>
      <c r="N1291" s="21" t="s">
        <v>4073</v>
      </c>
      <c r="O1291" s="5" t="s">
        <v>45</v>
      </c>
      <c r="P1291" s="21" t="s">
        <v>22</v>
      </c>
      <c r="Q1291" t="s">
        <v>8672</v>
      </c>
      <c r="AG1291"/>
    </row>
    <row r="1292" spans="1:33">
      <c r="A1292" s="253" t="s">
        <v>9880</v>
      </c>
      <c r="B1292" s="402"/>
      <c r="C1292" s="21" t="s">
        <v>8236</v>
      </c>
      <c r="D1292" s="2" t="s">
        <v>9881</v>
      </c>
      <c r="E1292" s="2" t="s">
        <v>9882</v>
      </c>
      <c r="F1292" s="2" t="s">
        <v>9883</v>
      </c>
      <c r="G1292" s="21" t="s">
        <v>9884</v>
      </c>
      <c r="H1292" s="2" t="s">
        <v>9885</v>
      </c>
      <c r="I1292" s="21" t="s">
        <v>9886</v>
      </c>
      <c r="J1292" s="2" t="s">
        <v>3172</v>
      </c>
      <c r="K1292" s="2" t="s">
        <v>9887</v>
      </c>
      <c r="L1292" s="6" t="s">
        <v>1367</v>
      </c>
      <c r="M1292" s="21" t="s">
        <v>1368</v>
      </c>
      <c r="N1292" s="21" t="s">
        <v>4073</v>
      </c>
      <c r="O1292" s="5" t="s">
        <v>45</v>
      </c>
      <c r="P1292" s="21" t="s">
        <v>22</v>
      </c>
      <c r="Q1292" t="s">
        <v>8672</v>
      </c>
      <c r="AG1292"/>
    </row>
    <row r="1293" spans="1:33">
      <c r="A1293" s="253" t="s">
        <v>9888</v>
      </c>
      <c r="B1293" s="402"/>
      <c r="C1293" s="21" t="s">
        <v>8236</v>
      </c>
      <c r="D1293" s="2" t="s">
        <v>9889</v>
      </c>
      <c r="E1293" s="2" t="s">
        <v>9890</v>
      </c>
      <c r="F1293" s="2" t="s">
        <v>9883</v>
      </c>
      <c r="G1293" s="21" t="s">
        <v>9891</v>
      </c>
      <c r="H1293" s="2" t="s">
        <v>9885</v>
      </c>
      <c r="I1293" s="21" t="s">
        <v>9892</v>
      </c>
      <c r="J1293" s="2" t="s">
        <v>3172</v>
      </c>
      <c r="K1293" s="2" t="s">
        <v>9893</v>
      </c>
      <c r="L1293" s="6" t="s">
        <v>1367</v>
      </c>
      <c r="M1293" s="21" t="s">
        <v>1368</v>
      </c>
      <c r="N1293" s="21" t="s">
        <v>4073</v>
      </c>
      <c r="O1293" s="5" t="s">
        <v>45</v>
      </c>
      <c r="P1293" s="21" t="s">
        <v>22</v>
      </c>
      <c r="Q1293" t="s">
        <v>8672</v>
      </c>
      <c r="AG1293"/>
    </row>
    <row r="1294" spans="1:33" ht="28.9">
      <c r="A1294" s="253" t="s">
        <v>9894</v>
      </c>
      <c r="B1294" s="402"/>
      <c r="C1294" s="21" t="s">
        <v>8236</v>
      </c>
      <c r="D1294" s="2" t="s">
        <v>9895</v>
      </c>
      <c r="E1294" s="2" t="s">
        <v>9896</v>
      </c>
      <c r="F1294" s="2" t="s">
        <v>9897</v>
      </c>
      <c r="G1294" s="21" t="s">
        <v>9898</v>
      </c>
      <c r="H1294" s="2" t="s">
        <v>9899</v>
      </c>
      <c r="I1294" s="21" t="s">
        <v>9900</v>
      </c>
      <c r="J1294" s="2" t="s">
        <v>9901</v>
      </c>
      <c r="K1294" s="2" t="s">
        <v>9902</v>
      </c>
      <c r="L1294" s="6" t="s">
        <v>1367</v>
      </c>
      <c r="M1294" s="21" t="s">
        <v>1368</v>
      </c>
      <c r="N1294" s="21" t="s">
        <v>4073</v>
      </c>
      <c r="O1294" s="5" t="s">
        <v>8671</v>
      </c>
      <c r="P1294" s="21" t="s">
        <v>22</v>
      </c>
      <c r="Q1294" t="s">
        <v>8672</v>
      </c>
      <c r="AG1294"/>
    </row>
    <row r="1295" spans="1:33">
      <c r="A1295" s="253" t="s">
        <v>9903</v>
      </c>
      <c r="B1295" s="402"/>
      <c r="C1295" s="21" t="s">
        <v>8236</v>
      </c>
      <c r="D1295" s="2" t="s">
        <v>9904</v>
      </c>
      <c r="E1295" s="2" t="s">
        <v>9905</v>
      </c>
      <c r="F1295" s="2" t="s">
        <v>9169</v>
      </c>
      <c r="G1295" s="21" t="s">
        <v>9906</v>
      </c>
      <c r="H1295" s="2" t="s">
        <v>9907</v>
      </c>
      <c r="I1295" s="21" t="s">
        <v>9908</v>
      </c>
      <c r="J1295" s="2" t="s">
        <v>9909</v>
      </c>
      <c r="K1295" s="2" t="s">
        <v>9910</v>
      </c>
      <c r="L1295" s="6" t="s">
        <v>1367</v>
      </c>
      <c r="M1295" s="21" t="s">
        <v>1368</v>
      </c>
      <c r="N1295" s="21" t="s">
        <v>4073</v>
      </c>
      <c r="O1295" s="5" t="s">
        <v>9487</v>
      </c>
      <c r="P1295" s="21" t="s">
        <v>1371</v>
      </c>
      <c r="Q1295" t="s">
        <v>8672</v>
      </c>
      <c r="AG1295"/>
    </row>
    <row r="1296" spans="1:33">
      <c r="A1296" s="253" t="s">
        <v>9911</v>
      </c>
      <c r="B1296" s="402"/>
      <c r="C1296" s="21" t="s">
        <v>8236</v>
      </c>
      <c r="D1296" s="2" t="s">
        <v>9912</v>
      </c>
      <c r="E1296" s="2" t="s">
        <v>9913</v>
      </c>
      <c r="F1296" s="2" t="s">
        <v>9640</v>
      </c>
      <c r="G1296" s="21" t="s">
        <v>9914</v>
      </c>
      <c r="H1296" s="2" t="s">
        <v>9915</v>
      </c>
      <c r="I1296" s="21" t="s">
        <v>9750</v>
      </c>
      <c r="J1296" s="2" t="s">
        <v>9916</v>
      </c>
      <c r="K1296" s="2" t="s">
        <v>9917</v>
      </c>
      <c r="L1296" s="6" t="s">
        <v>1367</v>
      </c>
      <c r="M1296" s="21" t="s">
        <v>1368</v>
      </c>
      <c r="N1296" s="21" t="s">
        <v>4073</v>
      </c>
      <c r="O1296" s="5" t="s">
        <v>45</v>
      </c>
      <c r="P1296" s="21" t="s">
        <v>22</v>
      </c>
      <c r="Q1296" t="s">
        <v>8672</v>
      </c>
      <c r="AG1296"/>
    </row>
    <row r="1297" spans="1:33">
      <c r="A1297" s="253" t="s">
        <v>9918</v>
      </c>
      <c r="B1297" s="402"/>
      <c r="C1297" s="21" t="s">
        <v>8236</v>
      </c>
      <c r="D1297" s="2" t="s">
        <v>9633</v>
      </c>
      <c r="E1297" s="2" t="s">
        <v>9919</v>
      </c>
      <c r="F1297" s="2" t="s">
        <v>9187</v>
      </c>
      <c r="G1297" s="21" t="s">
        <v>9530</v>
      </c>
      <c r="H1297" s="2" t="s">
        <v>9920</v>
      </c>
      <c r="I1297" s="21" t="s">
        <v>9531</v>
      </c>
      <c r="J1297" s="2" t="s">
        <v>9109</v>
      </c>
      <c r="K1297" s="2" t="s">
        <v>9921</v>
      </c>
      <c r="L1297" s="6" t="s">
        <v>1367</v>
      </c>
      <c r="M1297" s="21" t="s">
        <v>1368</v>
      </c>
      <c r="N1297" s="21" t="s">
        <v>4073</v>
      </c>
      <c r="O1297" s="5" t="s">
        <v>60</v>
      </c>
      <c r="P1297" s="21" t="s">
        <v>22</v>
      </c>
      <c r="Q1297" t="s">
        <v>8672</v>
      </c>
      <c r="AG1297"/>
    </row>
    <row r="1298" spans="1:33">
      <c r="A1298" s="253" t="s">
        <v>9922</v>
      </c>
      <c r="B1298" s="402"/>
      <c r="C1298" s="21" t="s">
        <v>8236</v>
      </c>
      <c r="D1298" s="2" t="s">
        <v>9923</v>
      </c>
      <c r="E1298" s="2" t="s">
        <v>9924</v>
      </c>
      <c r="F1298" s="2" t="s">
        <v>3172</v>
      </c>
      <c r="G1298" s="21" t="s">
        <v>9374</v>
      </c>
      <c r="H1298" s="2" t="s">
        <v>9478</v>
      </c>
      <c r="I1298" s="21" t="s">
        <v>9925</v>
      </c>
      <c r="J1298" s="2" t="s">
        <v>9926</v>
      </c>
      <c r="K1298" s="2" t="s">
        <v>9526</v>
      </c>
      <c r="L1298" s="6" t="s">
        <v>1367</v>
      </c>
      <c r="M1298" s="21" t="s">
        <v>1368</v>
      </c>
      <c r="N1298" s="21" t="s">
        <v>4073</v>
      </c>
      <c r="O1298" s="5" t="s">
        <v>8671</v>
      </c>
      <c r="P1298" s="21" t="s">
        <v>22</v>
      </c>
      <c r="Q1298" t="s">
        <v>8672</v>
      </c>
      <c r="AG1298"/>
    </row>
    <row r="1299" spans="1:33">
      <c r="A1299" s="253" t="s">
        <v>9927</v>
      </c>
      <c r="B1299" s="402"/>
      <c r="C1299" s="21" t="s">
        <v>8236</v>
      </c>
      <c r="D1299" s="2" t="s">
        <v>9928</v>
      </c>
      <c r="E1299" s="2" t="s">
        <v>9929</v>
      </c>
      <c r="F1299" s="2" t="s">
        <v>9930</v>
      </c>
      <c r="G1299" s="21" t="s">
        <v>9931</v>
      </c>
      <c r="H1299" s="2" t="s">
        <v>9899</v>
      </c>
      <c r="I1299" s="21" t="s">
        <v>9932</v>
      </c>
      <c r="J1299" s="2" t="s">
        <v>9933</v>
      </c>
      <c r="K1299" s="2" t="s">
        <v>9934</v>
      </c>
      <c r="L1299" s="6" t="s">
        <v>1367</v>
      </c>
      <c r="M1299" s="21" t="s">
        <v>1368</v>
      </c>
      <c r="N1299" s="21" t="s">
        <v>4073</v>
      </c>
      <c r="O1299" s="5" t="s">
        <v>45</v>
      </c>
      <c r="P1299" s="21" t="s">
        <v>22</v>
      </c>
      <c r="Q1299" t="s">
        <v>8672</v>
      </c>
      <c r="AG1299"/>
    </row>
    <row r="1300" spans="1:33">
      <c r="A1300" s="253" t="s">
        <v>9935</v>
      </c>
      <c r="B1300" s="402"/>
      <c r="C1300" s="21" t="s">
        <v>8236</v>
      </c>
      <c r="D1300" s="2" t="s">
        <v>9936</v>
      </c>
      <c r="E1300" s="2" t="s">
        <v>9937</v>
      </c>
      <c r="F1300" s="2" t="s">
        <v>9938</v>
      </c>
      <c r="G1300" s="21" t="s">
        <v>9041</v>
      </c>
      <c r="H1300" s="2" t="s">
        <v>8966</v>
      </c>
      <c r="I1300" s="21" t="s">
        <v>9939</v>
      </c>
      <c r="J1300" s="2" t="s">
        <v>9940</v>
      </c>
      <c r="K1300" s="2" t="s">
        <v>9941</v>
      </c>
      <c r="L1300" s="6" t="s">
        <v>1367</v>
      </c>
      <c r="M1300" s="21" t="s">
        <v>1368</v>
      </c>
      <c r="N1300" s="21" t="s">
        <v>4073</v>
      </c>
      <c r="O1300" s="5" t="s">
        <v>45</v>
      </c>
      <c r="P1300" s="21" t="s">
        <v>1371</v>
      </c>
      <c r="Q1300" t="s">
        <v>8672</v>
      </c>
      <c r="AG1300"/>
    </row>
    <row r="1301" spans="1:33">
      <c r="A1301" s="253" t="s">
        <v>9942</v>
      </c>
      <c r="B1301" s="402"/>
      <c r="C1301" s="21" t="s">
        <v>8236</v>
      </c>
      <c r="D1301" s="2" t="s">
        <v>9943</v>
      </c>
      <c r="E1301" s="2" t="s">
        <v>9944</v>
      </c>
      <c r="F1301" s="2" t="s">
        <v>9945</v>
      </c>
      <c r="G1301" s="21" t="s">
        <v>9946</v>
      </c>
      <c r="H1301" s="2" t="s">
        <v>9555</v>
      </c>
      <c r="I1301" s="21" t="s">
        <v>1798</v>
      </c>
      <c r="J1301" s="2" t="s">
        <v>9556</v>
      </c>
      <c r="K1301" s="2" t="s">
        <v>9947</v>
      </c>
      <c r="L1301" s="6" t="s">
        <v>1367</v>
      </c>
      <c r="M1301" s="21" t="s">
        <v>1368</v>
      </c>
      <c r="N1301" s="21" t="s">
        <v>4073</v>
      </c>
      <c r="O1301" s="5" t="s">
        <v>9487</v>
      </c>
      <c r="P1301" s="21" t="s">
        <v>1481</v>
      </c>
      <c r="Q1301" t="s">
        <v>8672</v>
      </c>
      <c r="AG1301"/>
    </row>
    <row r="1302" spans="1:33" ht="28.9">
      <c r="A1302" s="253" t="s">
        <v>9948</v>
      </c>
      <c r="B1302" s="402"/>
      <c r="C1302" s="21" t="s">
        <v>8236</v>
      </c>
      <c r="D1302" s="2" t="s">
        <v>9670</v>
      </c>
      <c r="E1302" s="2" t="s">
        <v>9949</v>
      </c>
      <c r="F1302" s="2" t="s">
        <v>9559</v>
      </c>
      <c r="G1302" s="21" t="s">
        <v>9546</v>
      </c>
      <c r="H1302" s="2" t="s">
        <v>1442</v>
      </c>
      <c r="I1302" s="21" t="s">
        <v>9560</v>
      </c>
      <c r="J1302" s="2" t="s">
        <v>9429</v>
      </c>
      <c r="K1302" s="2" t="s">
        <v>9561</v>
      </c>
      <c r="L1302" s="6" t="s">
        <v>1367</v>
      </c>
      <c r="M1302" s="21" t="s">
        <v>1368</v>
      </c>
      <c r="N1302" s="21" t="s">
        <v>4073</v>
      </c>
      <c r="O1302" s="5" t="s">
        <v>9562</v>
      </c>
      <c r="P1302" s="21" t="s">
        <v>1371</v>
      </c>
      <c r="Q1302" t="s">
        <v>8672</v>
      </c>
      <c r="AG1302"/>
    </row>
    <row r="1303" spans="1:33">
      <c r="A1303" s="253" t="s">
        <v>9950</v>
      </c>
      <c r="B1303" s="402"/>
      <c r="C1303" s="21" t="s">
        <v>8663</v>
      </c>
      <c r="D1303" s="2" t="s">
        <v>9951</v>
      </c>
      <c r="E1303" s="2" t="s">
        <v>9952</v>
      </c>
      <c r="F1303" s="2" t="s">
        <v>9123</v>
      </c>
      <c r="G1303" s="21" t="s">
        <v>9953</v>
      </c>
      <c r="H1303" s="2" t="s">
        <v>9794</v>
      </c>
      <c r="I1303" s="21" t="s">
        <v>9795</v>
      </c>
      <c r="J1303" s="2" t="s">
        <v>4926</v>
      </c>
      <c r="K1303" s="2" t="s">
        <v>9570</v>
      </c>
      <c r="L1303" s="6" t="s">
        <v>1367</v>
      </c>
      <c r="M1303" s="21" t="s">
        <v>1368</v>
      </c>
      <c r="N1303" s="21" t="s">
        <v>4073</v>
      </c>
      <c r="O1303" s="5" t="s">
        <v>9571</v>
      </c>
      <c r="P1303" s="21" t="s">
        <v>22</v>
      </c>
      <c r="Q1303" t="s">
        <v>8672</v>
      </c>
      <c r="AG1303"/>
    </row>
    <row r="1304" spans="1:33">
      <c r="A1304" s="253" t="s">
        <v>9954</v>
      </c>
      <c r="B1304" s="402"/>
      <c r="C1304" s="21" t="s">
        <v>8663</v>
      </c>
      <c r="D1304" s="2" t="s">
        <v>9955</v>
      </c>
      <c r="E1304" s="2" t="s">
        <v>9956</v>
      </c>
      <c r="F1304" s="2" t="s">
        <v>9957</v>
      </c>
      <c r="G1304" s="21" t="s">
        <v>9958</v>
      </c>
      <c r="H1304" s="2" t="s">
        <v>9959</v>
      </c>
      <c r="I1304" s="21" t="s">
        <v>9960</v>
      </c>
      <c r="J1304" s="2" t="s">
        <v>9961</v>
      </c>
      <c r="K1304" s="2" t="s">
        <v>9960</v>
      </c>
      <c r="L1304" s="6" t="s">
        <v>1367</v>
      </c>
      <c r="M1304" s="21" t="s">
        <v>1368</v>
      </c>
      <c r="N1304" s="21" t="s">
        <v>4073</v>
      </c>
      <c r="O1304" s="5" t="s">
        <v>45</v>
      </c>
      <c r="P1304" s="21" t="s">
        <v>22</v>
      </c>
      <c r="Q1304" t="s">
        <v>8672</v>
      </c>
      <c r="AG1304"/>
    </row>
    <row r="1305" spans="1:33">
      <c r="A1305" s="253" t="s">
        <v>9962</v>
      </c>
      <c r="B1305" s="402"/>
      <c r="C1305" s="21" t="s">
        <v>8663</v>
      </c>
      <c r="D1305" s="2" t="s">
        <v>9904</v>
      </c>
      <c r="E1305" s="2" t="s">
        <v>9963</v>
      </c>
      <c r="F1305" s="2" t="s">
        <v>9169</v>
      </c>
      <c r="G1305" s="21" t="s">
        <v>9906</v>
      </c>
      <c r="H1305" s="2" t="s">
        <v>9964</v>
      </c>
      <c r="I1305" s="21" t="s">
        <v>9908</v>
      </c>
      <c r="J1305" s="2" t="s">
        <v>9909</v>
      </c>
      <c r="K1305" s="2" t="s">
        <v>9910</v>
      </c>
      <c r="L1305" s="6" t="s">
        <v>1367</v>
      </c>
      <c r="M1305" s="21" t="s">
        <v>1368</v>
      </c>
      <c r="N1305" s="21" t="s">
        <v>4073</v>
      </c>
      <c r="O1305" s="5" t="s">
        <v>9487</v>
      </c>
      <c r="P1305" s="21" t="s">
        <v>1371</v>
      </c>
      <c r="Q1305" t="s">
        <v>8672</v>
      </c>
      <c r="AG1305"/>
    </row>
    <row r="1306" spans="1:33">
      <c r="A1306" s="253" t="s">
        <v>9965</v>
      </c>
      <c r="B1306" s="402"/>
      <c r="C1306" s="21" t="s">
        <v>8663</v>
      </c>
      <c r="D1306" s="2" t="s">
        <v>9966</v>
      </c>
      <c r="E1306" s="2" t="s">
        <v>9967</v>
      </c>
      <c r="F1306" s="2" t="s">
        <v>9968</v>
      </c>
      <c r="G1306" s="21" t="s">
        <v>9969</v>
      </c>
      <c r="H1306" s="2" t="s">
        <v>9970</v>
      </c>
      <c r="I1306" s="21" t="s">
        <v>9750</v>
      </c>
      <c r="J1306" s="2" t="s">
        <v>9971</v>
      </c>
      <c r="K1306" s="2" t="s">
        <v>9917</v>
      </c>
      <c r="L1306" s="6" t="s">
        <v>1367</v>
      </c>
      <c r="M1306" s="21" t="s">
        <v>1368</v>
      </c>
      <c r="N1306" s="21" t="s">
        <v>4073</v>
      </c>
      <c r="O1306" s="5" t="s">
        <v>45</v>
      </c>
      <c r="P1306" s="21" t="s">
        <v>22</v>
      </c>
      <c r="Q1306" t="s">
        <v>8672</v>
      </c>
      <c r="AG1306"/>
    </row>
    <row r="1307" spans="1:33">
      <c r="A1307" s="253" t="s">
        <v>9972</v>
      </c>
      <c r="B1307" s="402"/>
      <c r="C1307" s="21" t="s">
        <v>8663</v>
      </c>
      <c r="D1307" s="2" t="s">
        <v>9973</v>
      </c>
      <c r="E1307" s="2" t="s">
        <v>9974</v>
      </c>
      <c r="F1307" s="2" t="s">
        <v>9975</v>
      </c>
      <c r="G1307" s="21" t="s">
        <v>9508</v>
      </c>
      <c r="H1307" s="2" t="s">
        <v>9290</v>
      </c>
      <c r="I1307" s="21" t="s">
        <v>9976</v>
      </c>
      <c r="J1307" s="2" t="s">
        <v>9292</v>
      </c>
      <c r="K1307" s="2" t="s">
        <v>9977</v>
      </c>
      <c r="L1307" s="6" t="s">
        <v>1367</v>
      </c>
      <c r="M1307" s="21" t="s">
        <v>1368</v>
      </c>
      <c r="N1307" s="21" t="s">
        <v>4073</v>
      </c>
      <c r="O1307" s="5" t="s">
        <v>9487</v>
      </c>
      <c r="P1307" s="21" t="s">
        <v>1371</v>
      </c>
      <c r="Q1307" t="s">
        <v>8672</v>
      </c>
      <c r="AG1307"/>
    </row>
    <row r="1308" spans="1:33">
      <c r="A1308" s="253" t="s">
        <v>9978</v>
      </c>
      <c r="B1308" s="402"/>
      <c r="C1308" s="21" t="s">
        <v>8663</v>
      </c>
      <c r="D1308" s="2" t="s">
        <v>9979</v>
      </c>
      <c r="E1308" s="2" t="s">
        <v>9980</v>
      </c>
      <c r="F1308" s="2" t="s">
        <v>9968</v>
      </c>
      <c r="G1308" s="21" t="s">
        <v>9981</v>
      </c>
      <c r="H1308" s="2" t="s">
        <v>9713</v>
      </c>
      <c r="I1308" s="21" t="s">
        <v>9982</v>
      </c>
      <c r="J1308" s="2" t="s">
        <v>9461</v>
      </c>
      <c r="K1308" s="2" t="s">
        <v>9983</v>
      </c>
      <c r="L1308" s="6" t="s">
        <v>1367</v>
      </c>
      <c r="M1308" s="21" t="s">
        <v>1368</v>
      </c>
      <c r="N1308" s="21" t="s">
        <v>4073</v>
      </c>
      <c r="O1308" s="5" t="s">
        <v>45</v>
      </c>
      <c r="P1308" s="21" t="s">
        <v>22</v>
      </c>
      <c r="Q1308" t="s">
        <v>8672</v>
      </c>
      <c r="AG1308"/>
    </row>
    <row r="1309" spans="1:33">
      <c r="A1309" s="253" t="s">
        <v>9984</v>
      </c>
      <c r="B1309" s="402"/>
      <c r="C1309" s="21" t="s">
        <v>8663</v>
      </c>
      <c r="D1309" s="2" t="s">
        <v>9985</v>
      </c>
      <c r="E1309" s="2" t="s">
        <v>9986</v>
      </c>
      <c r="F1309" s="2" t="s">
        <v>9968</v>
      </c>
      <c r="G1309" s="21" t="s">
        <v>9987</v>
      </c>
      <c r="H1309" s="2" t="s">
        <v>9720</v>
      </c>
      <c r="I1309" s="21" t="s">
        <v>9988</v>
      </c>
      <c r="J1309" s="2" t="s">
        <v>9461</v>
      </c>
      <c r="K1309" s="2" t="s">
        <v>9989</v>
      </c>
      <c r="L1309" s="6" t="s">
        <v>1367</v>
      </c>
      <c r="M1309" s="21" t="s">
        <v>1368</v>
      </c>
      <c r="N1309" s="21" t="s">
        <v>4073</v>
      </c>
      <c r="O1309" s="5" t="s">
        <v>45</v>
      </c>
      <c r="P1309" s="21" t="s">
        <v>22</v>
      </c>
      <c r="Q1309" t="s">
        <v>8672</v>
      </c>
      <c r="AG1309"/>
    </row>
    <row r="1310" spans="1:33" ht="28.9">
      <c r="A1310" s="253" t="s">
        <v>9990</v>
      </c>
      <c r="B1310" s="402"/>
      <c r="C1310" s="21" t="s">
        <v>8663</v>
      </c>
      <c r="D1310" s="2" t="s">
        <v>9991</v>
      </c>
      <c r="E1310" s="2" t="s">
        <v>9992</v>
      </c>
      <c r="F1310" s="2" t="s">
        <v>9993</v>
      </c>
      <c r="G1310" s="21" t="s">
        <v>9994</v>
      </c>
      <c r="H1310" s="2" t="s">
        <v>9995</v>
      </c>
      <c r="I1310" s="21" t="s">
        <v>9996</v>
      </c>
      <c r="J1310" s="2" t="s">
        <v>9461</v>
      </c>
      <c r="K1310" s="2" t="s">
        <v>9997</v>
      </c>
      <c r="L1310" s="6" t="s">
        <v>1367</v>
      </c>
      <c r="M1310" s="21" t="s">
        <v>1368</v>
      </c>
      <c r="N1310" s="21" t="s">
        <v>4073</v>
      </c>
      <c r="O1310" s="5" t="s">
        <v>45</v>
      </c>
      <c r="P1310" s="21" t="s">
        <v>1371</v>
      </c>
      <c r="Q1310" t="s">
        <v>8672</v>
      </c>
      <c r="AG1310"/>
    </row>
    <row r="1311" spans="1:33">
      <c r="A1311" s="253" t="s">
        <v>9998</v>
      </c>
      <c r="B1311" s="402"/>
      <c r="C1311" s="21" t="s">
        <v>8663</v>
      </c>
      <c r="D1311" s="2" t="s">
        <v>9999</v>
      </c>
      <c r="E1311" s="2" t="s">
        <v>10000</v>
      </c>
      <c r="F1311" s="2" t="s">
        <v>9968</v>
      </c>
      <c r="G1311" s="21" t="s">
        <v>10001</v>
      </c>
      <c r="H1311" s="2" t="s">
        <v>10002</v>
      </c>
      <c r="I1311" s="21" t="s">
        <v>10003</v>
      </c>
      <c r="J1311" s="2" t="s">
        <v>2597</v>
      </c>
      <c r="K1311" s="2" t="s">
        <v>9917</v>
      </c>
      <c r="L1311" s="6" t="s">
        <v>1367</v>
      </c>
      <c r="M1311" s="21" t="s">
        <v>1368</v>
      </c>
      <c r="N1311" s="21" t="s">
        <v>4073</v>
      </c>
      <c r="O1311" s="5" t="s">
        <v>45</v>
      </c>
      <c r="P1311" s="21" t="s">
        <v>22</v>
      </c>
      <c r="Q1311" t="s">
        <v>8672</v>
      </c>
      <c r="AG1311"/>
    </row>
    <row r="1312" spans="1:33">
      <c r="A1312" s="253" t="s">
        <v>10004</v>
      </c>
      <c r="B1312" s="402"/>
      <c r="C1312" s="21" t="s">
        <v>8663</v>
      </c>
      <c r="D1312" s="2" t="s">
        <v>10005</v>
      </c>
      <c r="E1312" s="2" t="s">
        <v>10006</v>
      </c>
      <c r="F1312" s="2" t="s">
        <v>10007</v>
      </c>
      <c r="G1312" s="21" t="s">
        <v>10008</v>
      </c>
      <c r="H1312" s="2" t="s">
        <v>10009</v>
      </c>
      <c r="I1312" s="21" t="s">
        <v>10010</v>
      </c>
      <c r="J1312" s="2" t="s">
        <v>9971</v>
      </c>
      <c r="K1312" s="2" t="s">
        <v>10011</v>
      </c>
      <c r="L1312" s="6" t="s">
        <v>1367</v>
      </c>
      <c r="M1312" s="21" t="s">
        <v>1368</v>
      </c>
      <c r="N1312" s="21" t="s">
        <v>4073</v>
      </c>
      <c r="O1312" s="5" t="s">
        <v>9541</v>
      </c>
      <c r="P1312" s="21" t="s">
        <v>22</v>
      </c>
      <c r="Q1312" t="s">
        <v>8672</v>
      </c>
      <c r="AG1312"/>
    </row>
    <row r="1313" spans="1:33">
      <c r="A1313" s="253" t="s">
        <v>10012</v>
      </c>
      <c r="B1313" s="402"/>
      <c r="C1313" s="21" t="s">
        <v>8663</v>
      </c>
      <c r="D1313" s="2" t="s">
        <v>10013</v>
      </c>
      <c r="E1313" s="2" t="s">
        <v>10014</v>
      </c>
      <c r="F1313" s="2" t="s">
        <v>10015</v>
      </c>
      <c r="G1313" s="21" t="s">
        <v>10016</v>
      </c>
      <c r="H1313" s="2" t="s">
        <v>10017</v>
      </c>
      <c r="I1313" s="21" t="s">
        <v>10018</v>
      </c>
      <c r="J1313" s="2" t="s">
        <v>10019</v>
      </c>
      <c r="K1313" s="2" t="s">
        <v>9540</v>
      </c>
      <c r="L1313" s="6" t="s">
        <v>1367</v>
      </c>
      <c r="M1313" s="21" t="s">
        <v>1368</v>
      </c>
      <c r="N1313" s="21" t="s">
        <v>4073</v>
      </c>
      <c r="O1313" s="5" t="s">
        <v>9541</v>
      </c>
      <c r="P1313" s="21" t="s">
        <v>22</v>
      </c>
      <c r="Q1313" t="s">
        <v>8672</v>
      </c>
      <c r="AG1313"/>
    </row>
    <row r="1314" spans="1:33">
      <c r="A1314" s="253" t="s">
        <v>10020</v>
      </c>
      <c r="B1314" s="402"/>
      <c r="C1314" s="21" t="s">
        <v>8663</v>
      </c>
      <c r="D1314" s="2" t="s">
        <v>9746</v>
      </c>
      <c r="E1314" s="2" t="s">
        <v>10021</v>
      </c>
      <c r="F1314" s="2" t="s">
        <v>9968</v>
      </c>
      <c r="G1314" s="21" t="s">
        <v>10022</v>
      </c>
      <c r="H1314" s="2" t="s">
        <v>9915</v>
      </c>
      <c r="I1314" s="21" t="s">
        <v>9750</v>
      </c>
      <c r="J1314" s="2" t="s">
        <v>10023</v>
      </c>
      <c r="K1314" s="2" t="s">
        <v>9917</v>
      </c>
      <c r="L1314" s="6" t="s">
        <v>1367</v>
      </c>
      <c r="M1314" s="21" t="s">
        <v>1368</v>
      </c>
      <c r="N1314" s="21" t="s">
        <v>4073</v>
      </c>
      <c r="O1314" s="5" t="s">
        <v>45</v>
      </c>
      <c r="P1314" s="21" t="s">
        <v>22</v>
      </c>
      <c r="Q1314" t="s">
        <v>8672</v>
      </c>
      <c r="AG1314"/>
    </row>
    <row r="1315" spans="1:33">
      <c r="A1315" s="253" t="s">
        <v>10024</v>
      </c>
      <c r="B1315" s="402"/>
      <c r="C1315" s="21" t="s">
        <v>8663</v>
      </c>
      <c r="D1315" s="2" t="s">
        <v>10025</v>
      </c>
      <c r="E1315" s="2" t="s">
        <v>10026</v>
      </c>
      <c r="F1315" s="2" t="s">
        <v>10027</v>
      </c>
      <c r="G1315" s="21" t="s">
        <v>10028</v>
      </c>
      <c r="H1315" s="2" t="s">
        <v>10029</v>
      </c>
      <c r="I1315" s="21" t="s">
        <v>9630</v>
      </c>
      <c r="J1315" s="2" t="s">
        <v>9461</v>
      </c>
      <c r="K1315" s="2" t="s">
        <v>10030</v>
      </c>
      <c r="L1315" s="6" t="s">
        <v>1367</v>
      </c>
      <c r="M1315" s="21" t="s">
        <v>1368</v>
      </c>
      <c r="N1315" s="21" t="s">
        <v>4073</v>
      </c>
      <c r="O1315" s="5" t="s">
        <v>9541</v>
      </c>
      <c r="P1315" s="21" t="s">
        <v>22</v>
      </c>
      <c r="Q1315" t="s">
        <v>8672</v>
      </c>
      <c r="AG1315"/>
    </row>
    <row r="1316" spans="1:33">
      <c r="A1316" s="253" t="s">
        <v>10031</v>
      </c>
      <c r="B1316" s="402"/>
      <c r="C1316" s="21" t="s">
        <v>8663</v>
      </c>
      <c r="D1316" s="2" t="s">
        <v>10032</v>
      </c>
      <c r="E1316" s="2" t="s">
        <v>10033</v>
      </c>
      <c r="F1316" s="2" t="s">
        <v>9626</v>
      </c>
      <c r="G1316" s="21" t="s">
        <v>10034</v>
      </c>
      <c r="H1316" s="2" t="s">
        <v>10035</v>
      </c>
      <c r="I1316" s="21" t="s">
        <v>10036</v>
      </c>
      <c r="J1316" s="2" t="s">
        <v>9461</v>
      </c>
      <c r="K1316" s="2" t="s">
        <v>10037</v>
      </c>
      <c r="L1316" s="6" t="s">
        <v>1367</v>
      </c>
      <c r="M1316" s="21" t="s">
        <v>1368</v>
      </c>
      <c r="N1316" s="21" t="s">
        <v>4073</v>
      </c>
      <c r="O1316" s="5" t="s">
        <v>9541</v>
      </c>
      <c r="P1316" s="21" t="s">
        <v>22</v>
      </c>
      <c r="Q1316" t="s">
        <v>8672</v>
      </c>
      <c r="AG1316"/>
    </row>
    <row r="1317" spans="1:33">
      <c r="A1317" s="253" t="s">
        <v>10038</v>
      </c>
      <c r="B1317" s="402"/>
      <c r="C1317" s="21" t="s">
        <v>8663</v>
      </c>
      <c r="D1317" s="2" t="s">
        <v>10039</v>
      </c>
      <c r="E1317" s="2" t="s">
        <v>10040</v>
      </c>
      <c r="F1317" s="2" t="s">
        <v>10041</v>
      </c>
      <c r="G1317" s="21" t="s">
        <v>10042</v>
      </c>
      <c r="H1317" s="2" t="s">
        <v>10043</v>
      </c>
      <c r="I1317" s="21" t="s">
        <v>10044</v>
      </c>
      <c r="J1317" s="2" t="s">
        <v>9461</v>
      </c>
      <c r="K1317" s="2" t="s">
        <v>10045</v>
      </c>
      <c r="L1317" s="6" t="s">
        <v>1367</v>
      </c>
      <c r="M1317" s="21" t="s">
        <v>1368</v>
      </c>
      <c r="N1317" s="21" t="s">
        <v>4073</v>
      </c>
      <c r="O1317" s="5" t="s">
        <v>45</v>
      </c>
      <c r="P1317" s="21" t="s">
        <v>1371</v>
      </c>
      <c r="Q1317" t="s">
        <v>8672</v>
      </c>
      <c r="AG1317"/>
    </row>
    <row r="1318" spans="1:33">
      <c r="A1318" s="253" t="s">
        <v>10046</v>
      </c>
      <c r="B1318" s="402"/>
      <c r="C1318" s="21" t="s">
        <v>8663</v>
      </c>
      <c r="D1318" s="2" t="s">
        <v>10047</v>
      </c>
      <c r="E1318" s="2" t="s">
        <v>10048</v>
      </c>
      <c r="F1318" s="2" t="s">
        <v>10049</v>
      </c>
      <c r="G1318" s="21" t="s">
        <v>9898</v>
      </c>
      <c r="H1318" s="2" t="s">
        <v>10050</v>
      </c>
      <c r="I1318" s="21" t="s">
        <v>9900</v>
      </c>
      <c r="J1318" s="2" t="s">
        <v>3172</v>
      </c>
      <c r="K1318" s="2" t="s">
        <v>10051</v>
      </c>
      <c r="L1318" s="6" t="s">
        <v>1367</v>
      </c>
      <c r="M1318" s="21" t="s">
        <v>1368</v>
      </c>
      <c r="N1318" s="21" t="s">
        <v>4073</v>
      </c>
      <c r="O1318" s="5" t="s">
        <v>8671</v>
      </c>
      <c r="P1318" s="21" t="s">
        <v>22</v>
      </c>
      <c r="Q1318" t="s">
        <v>8672</v>
      </c>
      <c r="AG1318"/>
    </row>
    <row r="1319" spans="1:33">
      <c r="A1319" s="253" t="s">
        <v>10052</v>
      </c>
      <c r="B1319" s="402"/>
      <c r="C1319" s="21" t="s">
        <v>8663</v>
      </c>
      <c r="D1319" s="2" t="s">
        <v>10053</v>
      </c>
      <c r="E1319" s="2" t="s">
        <v>10054</v>
      </c>
      <c r="F1319" s="2" t="s">
        <v>10055</v>
      </c>
      <c r="G1319" s="21" t="s">
        <v>4588</v>
      </c>
      <c r="H1319" s="2" t="s">
        <v>9422</v>
      </c>
      <c r="I1319" s="21" t="s">
        <v>2597</v>
      </c>
      <c r="J1319" s="2" t="s">
        <v>9360</v>
      </c>
      <c r="K1319" s="2" t="s">
        <v>10056</v>
      </c>
      <c r="L1319" s="6" t="s">
        <v>1367</v>
      </c>
      <c r="M1319" s="21" t="s">
        <v>1368</v>
      </c>
      <c r="N1319" s="21" t="s">
        <v>4073</v>
      </c>
      <c r="O1319" s="5" t="s">
        <v>9487</v>
      </c>
      <c r="P1319" s="21" t="s">
        <v>1481</v>
      </c>
      <c r="Q1319" t="s">
        <v>8672</v>
      </c>
      <c r="AG1319"/>
    </row>
    <row r="1320" spans="1:33">
      <c r="A1320" s="253" t="s">
        <v>10057</v>
      </c>
      <c r="B1320" s="402"/>
      <c r="C1320" s="21" t="s">
        <v>8663</v>
      </c>
      <c r="D1320" s="2" t="s">
        <v>9633</v>
      </c>
      <c r="E1320" s="2" t="s">
        <v>10058</v>
      </c>
      <c r="F1320" s="2" t="s">
        <v>9187</v>
      </c>
      <c r="G1320" s="21" t="s">
        <v>9546</v>
      </c>
      <c r="H1320" s="2" t="s">
        <v>9920</v>
      </c>
      <c r="I1320" s="21" t="s">
        <v>9531</v>
      </c>
      <c r="J1320" s="2" t="s">
        <v>9109</v>
      </c>
      <c r="K1320" s="2" t="s">
        <v>9921</v>
      </c>
      <c r="L1320" s="6" t="s">
        <v>1367</v>
      </c>
      <c r="M1320" s="21" t="s">
        <v>1368</v>
      </c>
      <c r="N1320" s="21" t="s">
        <v>4073</v>
      </c>
      <c r="O1320" s="5" t="s">
        <v>60</v>
      </c>
      <c r="P1320" s="21" t="s">
        <v>22</v>
      </c>
      <c r="Q1320" t="s">
        <v>8672</v>
      </c>
      <c r="AG1320"/>
    </row>
    <row r="1321" spans="1:33">
      <c r="A1321" s="253" t="s">
        <v>10059</v>
      </c>
      <c r="B1321" s="402"/>
      <c r="C1321" s="21" t="s">
        <v>8663</v>
      </c>
      <c r="D1321" s="2" t="s">
        <v>10060</v>
      </c>
      <c r="E1321" s="2" t="s">
        <v>10061</v>
      </c>
      <c r="F1321" s="2" t="s">
        <v>10062</v>
      </c>
      <c r="G1321" s="21" t="s">
        <v>10063</v>
      </c>
      <c r="H1321" s="2" t="s">
        <v>10064</v>
      </c>
      <c r="I1321" s="21" t="s">
        <v>10065</v>
      </c>
      <c r="J1321" s="2" t="s">
        <v>10066</v>
      </c>
      <c r="K1321" s="2" t="s">
        <v>4385</v>
      </c>
      <c r="L1321" s="6" t="s">
        <v>1367</v>
      </c>
      <c r="M1321" s="21" t="s">
        <v>1368</v>
      </c>
      <c r="N1321" s="21" t="s">
        <v>4073</v>
      </c>
      <c r="O1321" s="5" t="s">
        <v>45</v>
      </c>
      <c r="P1321" s="21" t="s">
        <v>22</v>
      </c>
      <c r="Q1321" t="s">
        <v>8672</v>
      </c>
      <c r="AG1321"/>
    </row>
    <row r="1322" spans="1:33">
      <c r="A1322" s="253" t="s">
        <v>10067</v>
      </c>
      <c r="B1322" s="402"/>
      <c r="C1322" s="21" t="s">
        <v>8663</v>
      </c>
      <c r="D1322" s="2" t="s">
        <v>9943</v>
      </c>
      <c r="E1322" s="2" t="s">
        <v>10068</v>
      </c>
      <c r="F1322" s="2" t="s">
        <v>10049</v>
      </c>
      <c r="G1322" s="21" t="s">
        <v>10069</v>
      </c>
      <c r="H1322" s="2" t="s">
        <v>10070</v>
      </c>
      <c r="I1322" s="21" t="s">
        <v>1798</v>
      </c>
      <c r="J1322" s="2" t="s">
        <v>9556</v>
      </c>
      <c r="K1322" s="2" t="s">
        <v>9947</v>
      </c>
      <c r="L1322" s="6" t="s">
        <v>1367</v>
      </c>
      <c r="M1322" s="21" t="s">
        <v>1368</v>
      </c>
      <c r="N1322" s="21" t="s">
        <v>4073</v>
      </c>
      <c r="O1322" s="5" t="s">
        <v>9487</v>
      </c>
      <c r="P1322" s="21" t="s">
        <v>1481</v>
      </c>
      <c r="Q1322" t="s">
        <v>8672</v>
      </c>
      <c r="AG1322"/>
    </row>
    <row r="1323" spans="1:33">
      <c r="A1323" s="253" t="s">
        <v>10071</v>
      </c>
      <c r="B1323" s="402"/>
      <c r="C1323" s="21" t="s">
        <v>8663</v>
      </c>
      <c r="D1323" s="2" t="s">
        <v>10072</v>
      </c>
      <c r="E1323" s="2" t="s">
        <v>10073</v>
      </c>
      <c r="F1323" s="2" t="s">
        <v>10049</v>
      </c>
      <c r="G1323" s="21" t="s">
        <v>10074</v>
      </c>
      <c r="H1323" s="2" t="s">
        <v>10050</v>
      </c>
      <c r="I1323" s="21" t="s">
        <v>10075</v>
      </c>
      <c r="J1323" s="2" t="s">
        <v>6121</v>
      </c>
      <c r="K1323" s="2" t="s">
        <v>9512</v>
      </c>
      <c r="L1323" s="6" t="s">
        <v>1367</v>
      </c>
      <c r="M1323" s="21" t="s">
        <v>1368</v>
      </c>
      <c r="N1323" s="21" t="s">
        <v>4073</v>
      </c>
      <c r="O1323" s="5" t="s">
        <v>8671</v>
      </c>
      <c r="P1323" s="21" t="s">
        <v>22</v>
      </c>
      <c r="Q1323" t="s">
        <v>8672</v>
      </c>
      <c r="AG1323"/>
    </row>
    <row r="1324" spans="1:33">
      <c r="A1324" s="253" t="s">
        <v>10076</v>
      </c>
      <c r="B1324" s="402"/>
      <c r="C1324" s="21" t="s">
        <v>8663</v>
      </c>
      <c r="D1324" s="2" t="s">
        <v>10077</v>
      </c>
      <c r="E1324" s="2" t="s">
        <v>10078</v>
      </c>
      <c r="F1324" s="2" t="s">
        <v>10079</v>
      </c>
      <c r="G1324" s="21" t="s">
        <v>10080</v>
      </c>
      <c r="H1324" s="2" t="s">
        <v>10081</v>
      </c>
      <c r="I1324" s="21" t="s">
        <v>10082</v>
      </c>
      <c r="J1324" s="2" t="s">
        <v>10083</v>
      </c>
      <c r="K1324" s="2" t="s">
        <v>9540</v>
      </c>
      <c r="L1324" s="6" t="s">
        <v>1367</v>
      </c>
      <c r="M1324" s="21" t="s">
        <v>1368</v>
      </c>
      <c r="N1324" s="21" t="s">
        <v>4073</v>
      </c>
      <c r="O1324" s="5" t="s">
        <v>45</v>
      </c>
      <c r="P1324" s="21" t="s">
        <v>1371</v>
      </c>
      <c r="Q1324" t="s">
        <v>8672</v>
      </c>
      <c r="AG1324"/>
    </row>
    <row r="1325" spans="1:33">
      <c r="A1325" s="253" t="s">
        <v>10084</v>
      </c>
      <c r="B1325" s="402"/>
      <c r="C1325" s="21" t="s">
        <v>8663</v>
      </c>
      <c r="D1325" s="2" t="s">
        <v>10085</v>
      </c>
      <c r="E1325" s="2" t="s">
        <v>10086</v>
      </c>
      <c r="F1325" s="2" t="s">
        <v>10087</v>
      </c>
      <c r="G1325" s="21" t="s">
        <v>10088</v>
      </c>
      <c r="H1325" s="2" t="s">
        <v>10089</v>
      </c>
      <c r="I1325" s="21" t="s">
        <v>10010</v>
      </c>
      <c r="J1325" s="2" t="s">
        <v>9971</v>
      </c>
      <c r="K1325" s="2" t="s">
        <v>10011</v>
      </c>
      <c r="L1325" s="6" t="s">
        <v>1367</v>
      </c>
      <c r="M1325" s="21" t="s">
        <v>1368</v>
      </c>
      <c r="N1325" s="21" t="s">
        <v>4073</v>
      </c>
      <c r="O1325" s="5" t="s">
        <v>9541</v>
      </c>
      <c r="P1325" s="21" t="s">
        <v>22</v>
      </c>
      <c r="Q1325" t="s">
        <v>8672</v>
      </c>
      <c r="AG1325"/>
    </row>
    <row r="1326" spans="1:33" ht="28.9">
      <c r="A1326" s="253" t="s">
        <v>10090</v>
      </c>
      <c r="B1326" s="402"/>
      <c r="C1326" s="21" t="s">
        <v>8663</v>
      </c>
      <c r="D1326" s="2" t="s">
        <v>9670</v>
      </c>
      <c r="E1326" s="2" t="s">
        <v>9949</v>
      </c>
      <c r="F1326" s="2" t="s">
        <v>9559</v>
      </c>
      <c r="G1326" s="21" t="s">
        <v>9546</v>
      </c>
      <c r="H1326" s="2" t="s">
        <v>1442</v>
      </c>
      <c r="I1326" s="21" t="s">
        <v>9560</v>
      </c>
      <c r="J1326" s="2" t="s">
        <v>9429</v>
      </c>
      <c r="K1326" s="2" t="s">
        <v>9561</v>
      </c>
      <c r="L1326" s="6" t="s">
        <v>1367</v>
      </c>
      <c r="M1326" s="21" t="s">
        <v>1368</v>
      </c>
      <c r="N1326" s="21" t="s">
        <v>4073</v>
      </c>
      <c r="O1326" s="5" t="s">
        <v>9562</v>
      </c>
      <c r="P1326" s="21" t="s">
        <v>1371</v>
      </c>
      <c r="Q1326" t="s">
        <v>8672</v>
      </c>
    </row>
    <row r="1327" spans="1:33">
      <c r="AG1327" s="62"/>
    </row>
    <row r="1328" spans="1:33" s="55" customFormat="1">
      <c r="A1328" s="249"/>
      <c r="C1328" s="62"/>
      <c r="D1328" s="54"/>
      <c r="E1328" s="54"/>
      <c r="F1328" s="54"/>
      <c r="G1328" s="54"/>
      <c r="H1328" s="54"/>
      <c r="I1328" s="54"/>
      <c r="J1328" s="54"/>
      <c r="K1328" s="54"/>
      <c r="L1328" s="71"/>
      <c r="M1328" s="62"/>
      <c r="P1328" s="62"/>
      <c r="Q1328" s="62"/>
      <c r="R1328" s="302"/>
      <c r="W1328" s="71"/>
      <c r="X1328" s="71"/>
      <c r="AG1328" s="21"/>
    </row>
    <row r="1329" spans="1:24">
      <c r="W1329" s="71"/>
      <c r="X1329" s="71"/>
    </row>
    <row r="1330" spans="1:24" ht="28.9">
      <c r="A1330" s="246" t="s">
        <v>10091</v>
      </c>
      <c r="B1330" s="401" t="s">
        <v>10092</v>
      </c>
      <c r="C1330" s="65" t="s">
        <v>10093</v>
      </c>
      <c r="D1330" s="65" t="s">
        <v>10094</v>
      </c>
      <c r="E1330" s="65" t="s">
        <v>10095</v>
      </c>
      <c r="F1330" s="65" t="s">
        <v>10096</v>
      </c>
      <c r="G1330" s="65" t="s">
        <v>10097</v>
      </c>
      <c r="H1330" s="65" t="s">
        <v>10098</v>
      </c>
      <c r="I1330" s="65" t="s">
        <v>10099</v>
      </c>
      <c r="J1330" s="65" t="s">
        <v>10100</v>
      </c>
      <c r="K1330" s="65" t="s">
        <v>10101</v>
      </c>
      <c r="L1330" s="6" t="s">
        <v>1367</v>
      </c>
      <c r="M1330" s="21" t="s">
        <v>1368</v>
      </c>
      <c r="N1330" s="21" t="s">
        <v>1369</v>
      </c>
      <c r="O1330" s="64"/>
      <c r="P1330" s="65" t="s">
        <v>22</v>
      </c>
      <c r="Q1330" s="64"/>
      <c r="R1330" s="64"/>
      <c r="S1330" s="52"/>
      <c r="T1330" s="52"/>
    </row>
    <row r="1331" spans="1:24" ht="28.9">
      <c r="A1331" s="246" t="s">
        <v>10102</v>
      </c>
      <c r="B1331" s="401"/>
      <c r="C1331" s="65" t="s">
        <v>10093</v>
      </c>
      <c r="D1331" s="65" t="s">
        <v>10103</v>
      </c>
      <c r="E1331" s="65" t="s">
        <v>10104</v>
      </c>
      <c r="F1331" s="65" t="s">
        <v>10105</v>
      </c>
      <c r="G1331" s="65" t="s">
        <v>10106</v>
      </c>
      <c r="H1331" s="65" t="s">
        <v>8833</v>
      </c>
      <c r="I1331" s="65" t="s">
        <v>10107</v>
      </c>
      <c r="J1331" s="65" t="s">
        <v>10108</v>
      </c>
      <c r="K1331" s="65" t="s">
        <v>10109</v>
      </c>
      <c r="L1331" s="6" t="s">
        <v>1367</v>
      </c>
      <c r="M1331" s="21" t="s">
        <v>1368</v>
      </c>
      <c r="N1331" s="21" t="s">
        <v>1369</v>
      </c>
      <c r="O1331" s="64"/>
      <c r="P1331" s="65" t="s">
        <v>22</v>
      </c>
      <c r="Q1331" s="64"/>
      <c r="R1331" s="64"/>
      <c r="S1331" s="52"/>
      <c r="T1331" s="52"/>
    </row>
    <row r="1332" spans="1:24" ht="28.9">
      <c r="A1332" s="246" t="s">
        <v>10110</v>
      </c>
      <c r="B1332" s="401"/>
      <c r="C1332" s="65" t="s">
        <v>10093</v>
      </c>
      <c r="D1332" s="65" t="s">
        <v>10111</v>
      </c>
      <c r="E1332" s="65" t="s">
        <v>10112</v>
      </c>
      <c r="F1332" s="65" t="s">
        <v>10113</v>
      </c>
      <c r="G1332" s="65" t="s">
        <v>10114</v>
      </c>
      <c r="H1332" s="65" t="s">
        <v>10115</v>
      </c>
      <c r="I1332" s="65" t="s">
        <v>10116</v>
      </c>
      <c r="J1332" s="65" t="s">
        <v>10117</v>
      </c>
      <c r="K1332" s="65" t="s">
        <v>10118</v>
      </c>
      <c r="L1332" s="6" t="s">
        <v>1367</v>
      </c>
      <c r="M1332" s="21" t="s">
        <v>1368</v>
      </c>
      <c r="N1332" s="21" t="s">
        <v>1369</v>
      </c>
      <c r="O1332" s="64"/>
      <c r="P1332" s="65" t="s">
        <v>22</v>
      </c>
      <c r="Q1332" s="64"/>
      <c r="R1332" s="64"/>
      <c r="S1332" s="52"/>
      <c r="T1332" s="52"/>
    </row>
    <row r="1333" spans="1:24" ht="28.9">
      <c r="A1333" s="246" t="s">
        <v>10119</v>
      </c>
      <c r="B1333" s="401"/>
      <c r="C1333" s="65" t="s">
        <v>10093</v>
      </c>
      <c r="D1333" s="65" t="s">
        <v>10120</v>
      </c>
      <c r="E1333" s="65" t="s">
        <v>10121</v>
      </c>
      <c r="F1333" s="65" t="s">
        <v>10122</v>
      </c>
      <c r="G1333" s="65" t="s">
        <v>10123</v>
      </c>
      <c r="H1333" s="65" t="s">
        <v>10124</v>
      </c>
      <c r="I1333" s="65" t="s">
        <v>10125</v>
      </c>
      <c r="J1333" s="65" t="s">
        <v>10126</v>
      </c>
      <c r="K1333" s="65" t="s">
        <v>10127</v>
      </c>
      <c r="L1333" s="6" t="s">
        <v>1367</v>
      </c>
      <c r="M1333" s="21" t="s">
        <v>1368</v>
      </c>
      <c r="N1333" s="21" t="s">
        <v>1369</v>
      </c>
      <c r="O1333" s="64"/>
      <c r="P1333" s="65" t="s">
        <v>22</v>
      </c>
      <c r="Q1333" s="64"/>
      <c r="R1333" s="64"/>
      <c r="S1333" s="52"/>
      <c r="T1333" s="52"/>
    </row>
    <row r="1334" spans="1:24" ht="28.9">
      <c r="A1334" s="246" t="s">
        <v>10128</v>
      </c>
      <c r="B1334" s="401"/>
      <c r="C1334" s="65" t="s">
        <v>10093</v>
      </c>
      <c r="D1334" s="65" t="s">
        <v>10129</v>
      </c>
      <c r="E1334" s="65" t="s">
        <v>10130</v>
      </c>
      <c r="F1334" s="65" t="s">
        <v>10131</v>
      </c>
      <c r="G1334" s="65" t="s">
        <v>10132</v>
      </c>
      <c r="H1334" s="65" t="s">
        <v>10133</v>
      </c>
      <c r="I1334" s="65" t="s">
        <v>10134</v>
      </c>
      <c r="J1334" s="65" t="s">
        <v>10135</v>
      </c>
      <c r="K1334" s="65" t="s">
        <v>10136</v>
      </c>
      <c r="L1334" s="6" t="s">
        <v>1367</v>
      </c>
      <c r="M1334" s="21" t="s">
        <v>1368</v>
      </c>
      <c r="N1334" s="21" t="s">
        <v>1369</v>
      </c>
      <c r="O1334" s="64"/>
      <c r="P1334" s="65" t="s">
        <v>22</v>
      </c>
      <c r="Q1334" s="64"/>
      <c r="R1334" s="64"/>
      <c r="S1334" s="52"/>
      <c r="T1334" s="52"/>
    </row>
    <row r="1335" spans="1:24" ht="28.9">
      <c r="A1335" s="246" t="s">
        <v>10137</v>
      </c>
      <c r="B1335" s="401"/>
      <c r="C1335" s="65" t="s">
        <v>10093</v>
      </c>
      <c r="D1335" s="65" t="s">
        <v>10138</v>
      </c>
      <c r="E1335" s="65" t="s">
        <v>10139</v>
      </c>
      <c r="F1335" s="65" t="s">
        <v>10140</v>
      </c>
      <c r="G1335" s="65" t="s">
        <v>10141</v>
      </c>
      <c r="H1335" s="65" t="s">
        <v>10142</v>
      </c>
      <c r="I1335" s="65" t="s">
        <v>10143</v>
      </c>
      <c r="J1335" s="65" t="s">
        <v>10144</v>
      </c>
      <c r="K1335" s="65" t="s">
        <v>10145</v>
      </c>
      <c r="L1335" s="6" t="s">
        <v>1367</v>
      </c>
      <c r="M1335" s="21" t="s">
        <v>1368</v>
      </c>
      <c r="N1335" s="21" t="s">
        <v>1369</v>
      </c>
      <c r="O1335" s="64"/>
      <c r="P1335" s="65" t="s">
        <v>22</v>
      </c>
      <c r="Q1335" s="64"/>
      <c r="R1335" s="64"/>
      <c r="S1335" s="52"/>
      <c r="T1335" s="52"/>
    </row>
    <row r="1336" spans="1:24" ht="28.9">
      <c r="A1336" s="246" t="s">
        <v>10146</v>
      </c>
      <c r="B1336" s="401"/>
      <c r="C1336" s="65" t="s">
        <v>10093</v>
      </c>
      <c r="D1336" s="65" t="s">
        <v>10147</v>
      </c>
      <c r="E1336" s="65" t="s">
        <v>10148</v>
      </c>
      <c r="F1336" s="65" t="s">
        <v>10140</v>
      </c>
      <c r="G1336" s="65" t="s">
        <v>10149</v>
      </c>
      <c r="H1336" s="65" t="s">
        <v>8732</v>
      </c>
      <c r="I1336" s="65" t="s">
        <v>10150</v>
      </c>
      <c r="J1336" s="65" t="s">
        <v>10151</v>
      </c>
      <c r="K1336" s="65" t="s">
        <v>10152</v>
      </c>
      <c r="L1336" s="6" t="s">
        <v>1367</v>
      </c>
      <c r="M1336" s="21" t="s">
        <v>1368</v>
      </c>
      <c r="N1336" s="21" t="s">
        <v>1369</v>
      </c>
      <c r="O1336" s="64"/>
      <c r="P1336" s="65" t="s">
        <v>22</v>
      </c>
      <c r="Q1336" s="64"/>
      <c r="R1336" s="64"/>
      <c r="S1336" s="52"/>
      <c r="T1336" s="52"/>
    </row>
    <row r="1337" spans="1:24" ht="28.9">
      <c r="A1337" s="246" t="s">
        <v>10153</v>
      </c>
      <c r="B1337" s="401"/>
      <c r="C1337" s="65" t="s">
        <v>10093</v>
      </c>
      <c r="D1337" s="65" t="s">
        <v>10154</v>
      </c>
      <c r="E1337" s="65" t="s">
        <v>10155</v>
      </c>
      <c r="F1337" s="65" t="s">
        <v>10113</v>
      </c>
      <c r="G1337" s="65" t="s">
        <v>10156</v>
      </c>
      <c r="H1337" s="65" t="s">
        <v>10157</v>
      </c>
      <c r="I1337" s="65" t="s">
        <v>10158</v>
      </c>
      <c r="J1337" s="65" t="s">
        <v>10159</v>
      </c>
      <c r="K1337" s="65" t="s">
        <v>5533</v>
      </c>
      <c r="L1337" s="6" t="s">
        <v>1367</v>
      </c>
      <c r="M1337" s="21" t="s">
        <v>1368</v>
      </c>
      <c r="N1337" s="21" t="s">
        <v>1369</v>
      </c>
      <c r="O1337" s="64"/>
      <c r="P1337" s="65" t="s">
        <v>22</v>
      </c>
      <c r="Q1337" s="64"/>
      <c r="R1337" s="64"/>
      <c r="S1337" s="52"/>
      <c r="T1337" s="52"/>
    </row>
    <row r="1338" spans="1:24" ht="28.9">
      <c r="A1338" s="246" t="s">
        <v>10160</v>
      </c>
      <c r="B1338" s="401"/>
      <c r="C1338" s="65" t="s">
        <v>10093</v>
      </c>
      <c r="D1338" s="65" t="s">
        <v>10161</v>
      </c>
      <c r="E1338" s="65" t="s">
        <v>10162</v>
      </c>
      <c r="F1338" s="65" t="s">
        <v>10163</v>
      </c>
      <c r="G1338" s="65" t="s">
        <v>10164</v>
      </c>
      <c r="H1338" s="65" t="s">
        <v>10165</v>
      </c>
      <c r="I1338" s="65" t="s">
        <v>10166</v>
      </c>
      <c r="J1338" s="65" t="s">
        <v>10167</v>
      </c>
      <c r="K1338" s="65" t="s">
        <v>10168</v>
      </c>
      <c r="L1338" s="6" t="s">
        <v>1367</v>
      </c>
      <c r="M1338" s="21" t="s">
        <v>1368</v>
      </c>
      <c r="N1338" s="21" t="s">
        <v>1369</v>
      </c>
      <c r="O1338" s="64"/>
      <c r="P1338" s="65" t="s">
        <v>22</v>
      </c>
      <c r="Q1338" s="64"/>
      <c r="R1338" s="64"/>
      <c r="S1338" s="52"/>
      <c r="T1338" s="52"/>
    </row>
    <row r="1339" spans="1:24" ht="72">
      <c r="A1339" s="246" t="s">
        <v>10169</v>
      </c>
      <c r="B1339" s="401"/>
      <c r="C1339" s="65" t="s">
        <v>10170</v>
      </c>
      <c r="D1339" s="65" t="s">
        <v>10171</v>
      </c>
      <c r="E1339" s="65" t="s">
        <v>10172</v>
      </c>
      <c r="F1339" s="65" t="s">
        <v>10173</v>
      </c>
      <c r="G1339" s="65" t="s">
        <v>10174</v>
      </c>
      <c r="H1339" s="65" t="s">
        <v>10175</v>
      </c>
      <c r="I1339" s="65" t="s">
        <v>10176</v>
      </c>
      <c r="J1339" s="65" t="s">
        <v>10177</v>
      </c>
      <c r="K1339" s="65" t="s">
        <v>10178</v>
      </c>
      <c r="L1339" s="6" t="s">
        <v>1367</v>
      </c>
      <c r="M1339" s="21" t="s">
        <v>1368</v>
      </c>
      <c r="N1339" s="21" t="s">
        <v>1369</v>
      </c>
      <c r="O1339" s="64"/>
      <c r="P1339" s="65" t="s">
        <v>22</v>
      </c>
      <c r="Q1339" s="64"/>
      <c r="R1339" s="64"/>
      <c r="S1339" s="52"/>
      <c r="T1339" s="52"/>
    </row>
    <row r="1340" spans="1:24" ht="43.15">
      <c r="A1340" s="246" t="s">
        <v>10179</v>
      </c>
      <c r="B1340" s="401"/>
      <c r="C1340" s="65" t="s">
        <v>10170</v>
      </c>
      <c r="D1340" s="65" t="s">
        <v>10180</v>
      </c>
      <c r="E1340" s="65" t="s">
        <v>10181</v>
      </c>
      <c r="F1340" s="65" t="s">
        <v>10182</v>
      </c>
      <c r="G1340" s="65" t="s">
        <v>10183</v>
      </c>
      <c r="H1340" s="65" t="s">
        <v>10184</v>
      </c>
      <c r="I1340" s="65" t="s">
        <v>10185</v>
      </c>
      <c r="J1340" s="65" t="s">
        <v>10186</v>
      </c>
      <c r="K1340" s="65" t="s">
        <v>10185</v>
      </c>
      <c r="L1340" s="6" t="s">
        <v>1367</v>
      </c>
      <c r="M1340" s="21" t="s">
        <v>1368</v>
      </c>
      <c r="N1340" s="21" t="s">
        <v>1369</v>
      </c>
      <c r="O1340" s="64"/>
      <c r="P1340" s="65" t="s">
        <v>22</v>
      </c>
      <c r="Q1340" s="64"/>
      <c r="R1340" s="64"/>
      <c r="S1340" s="52"/>
      <c r="T1340" s="52"/>
    </row>
    <row r="1341" spans="1:24" ht="43.15">
      <c r="A1341" s="246" t="s">
        <v>10187</v>
      </c>
      <c r="B1341" s="401"/>
      <c r="C1341" s="65" t="s">
        <v>10170</v>
      </c>
      <c r="D1341" s="65" t="s">
        <v>10188</v>
      </c>
      <c r="E1341" s="65" t="s">
        <v>10189</v>
      </c>
      <c r="F1341" s="65" t="s">
        <v>10190</v>
      </c>
      <c r="G1341" s="65" t="s">
        <v>10191</v>
      </c>
      <c r="H1341" s="65" t="s">
        <v>10192</v>
      </c>
      <c r="I1341" s="65" t="s">
        <v>10193</v>
      </c>
      <c r="J1341" s="65" t="s">
        <v>10194</v>
      </c>
      <c r="K1341" s="65" t="s">
        <v>10195</v>
      </c>
      <c r="L1341" s="6" t="s">
        <v>1367</v>
      </c>
      <c r="M1341" s="21" t="s">
        <v>1368</v>
      </c>
      <c r="N1341" s="21" t="s">
        <v>1369</v>
      </c>
      <c r="O1341" s="64"/>
      <c r="P1341" s="65" t="s">
        <v>1371</v>
      </c>
      <c r="Q1341" s="64"/>
      <c r="R1341" s="64"/>
      <c r="S1341" s="52"/>
      <c r="T1341" s="52"/>
    </row>
    <row r="1342" spans="1:24" ht="43.15">
      <c r="A1342" s="246" t="s">
        <v>10196</v>
      </c>
      <c r="B1342" s="401"/>
      <c r="C1342" s="65" t="s">
        <v>10170</v>
      </c>
      <c r="D1342" s="65" t="s">
        <v>10197</v>
      </c>
      <c r="E1342" s="65" t="s">
        <v>10198</v>
      </c>
      <c r="F1342" s="65" t="s">
        <v>10190</v>
      </c>
      <c r="G1342" s="65" t="s">
        <v>10199</v>
      </c>
      <c r="H1342" s="65" t="s">
        <v>10200</v>
      </c>
      <c r="I1342" s="65" t="s">
        <v>10201</v>
      </c>
      <c r="J1342" s="65" t="s">
        <v>10202</v>
      </c>
      <c r="K1342" s="65" t="s">
        <v>10203</v>
      </c>
      <c r="L1342" s="6" t="s">
        <v>1367</v>
      </c>
      <c r="M1342" s="21" t="s">
        <v>1368</v>
      </c>
      <c r="N1342" s="21" t="s">
        <v>1369</v>
      </c>
      <c r="O1342" s="64"/>
      <c r="P1342" s="65" t="s">
        <v>1371</v>
      </c>
      <c r="Q1342" s="64"/>
      <c r="R1342" s="64"/>
      <c r="S1342" s="52"/>
      <c r="T1342" s="52"/>
    </row>
    <row r="1343" spans="1:24" ht="28.9">
      <c r="A1343" s="246" t="s">
        <v>10204</v>
      </c>
      <c r="B1343" s="401"/>
      <c r="C1343" s="65" t="s">
        <v>10170</v>
      </c>
      <c r="D1343" s="65" t="s">
        <v>10205</v>
      </c>
      <c r="E1343" s="65" t="s">
        <v>10206</v>
      </c>
      <c r="F1343" s="65" t="s">
        <v>10207</v>
      </c>
      <c r="G1343" s="65" t="s">
        <v>10208</v>
      </c>
      <c r="H1343" s="65" t="s">
        <v>10209</v>
      </c>
      <c r="I1343" s="65" t="s">
        <v>10210</v>
      </c>
      <c r="J1343" s="65" t="s">
        <v>10211</v>
      </c>
      <c r="K1343" s="65" t="s">
        <v>10212</v>
      </c>
      <c r="L1343" s="6" t="s">
        <v>1367</v>
      </c>
      <c r="M1343" s="21" t="s">
        <v>1368</v>
      </c>
      <c r="N1343" s="21" t="s">
        <v>1369</v>
      </c>
      <c r="O1343" s="64"/>
      <c r="P1343" s="65" t="s">
        <v>22</v>
      </c>
      <c r="Q1343" s="64"/>
      <c r="R1343" s="64"/>
      <c r="S1343" s="52"/>
      <c r="T1343" s="52"/>
    </row>
    <row r="1344" spans="1:24" ht="43.15">
      <c r="A1344" s="246" t="s">
        <v>10213</v>
      </c>
      <c r="B1344" s="401"/>
      <c r="C1344" s="65" t="s">
        <v>10170</v>
      </c>
      <c r="D1344" s="65" t="s">
        <v>10214</v>
      </c>
      <c r="E1344" s="65" t="s">
        <v>10215</v>
      </c>
      <c r="F1344" s="65" t="s">
        <v>10216</v>
      </c>
      <c r="G1344" s="65" t="s">
        <v>10217</v>
      </c>
      <c r="H1344" s="65" t="s">
        <v>10218</v>
      </c>
      <c r="I1344" s="65" t="s">
        <v>10219</v>
      </c>
      <c r="J1344" s="65" t="s">
        <v>10220</v>
      </c>
      <c r="K1344" s="65" t="s">
        <v>10221</v>
      </c>
      <c r="L1344" s="6" t="s">
        <v>1367</v>
      </c>
      <c r="M1344" s="21" t="s">
        <v>1368</v>
      </c>
      <c r="N1344" s="21" t="s">
        <v>1369</v>
      </c>
      <c r="O1344" s="64"/>
      <c r="P1344" s="65" t="s">
        <v>22</v>
      </c>
      <c r="Q1344" s="64"/>
      <c r="R1344" s="64"/>
      <c r="S1344" s="52"/>
      <c r="T1344" s="52"/>
    </row>
    <row r="1345" spans="1:20" ht="28.9">
      <c r="A1345" s="246" t="s">
        <v>10222</v>
      </c>
      <c r="B1345" s="401"/>
      <c r="C1345" s="65" t="s">
        <v>10170</v>
      </c>
      <c r="D1345" s="65" t="s">
        <v>10223</v>
      </c>
      <c r="E1345" s="65" t="s">
        <v>10224</v>
      </c>
      <c r="F1345" s="65" t="s">
        <v>10225</v>
      </c>
      <c r="G1345" s="65" t="s">
        <v>10226</v>
      </c>
      <c r="H1345" s="65" t="s">
        <v>10184</v>
      </c>
      <c r="I1345" s="65" t="s">
        <v>10227</v>
      </c>
      <c r="J1345" s="65" t="s">
        <v>10220</v>
      </c>
      <c r="K1345" s="65" t="s">
        <v>10221</v>
      </c>
      <c r="L1345" s="6" t="s">
        <v>1367</v>
      </c>
      <c r="M1345" s="21" t="s">
        <v>1368</v>
      </c>
      <c r="N1345" s="21" t="s">
        <v>1369</v>
      </c>
      <c r="O1345" s="64"/>
      <c r="P1345" s="65" t="s">
        <v>22</v>
      </c>
      <c r="Q1345" s="64"/>
      <c r="R1345" s="64"/>
      <c r="S1345" s="52"/>
      <c r="T1345" s="52"/>
    </row>
    <row r="1346" spans="1:20" ht="28.9">
      <c r="A1346" s="246" t="s">
        <v>10228</v>
      </c>
      <c r="B1346" s="401"/>
      <c r="C1346" s="65" t="s">
        <v>10170</v>
      </c>
      <c r="D1346" s="65" t="s">
        <v>10229</v>
      </c>
      <c r="E1346" s="65" t="s">
        <v>10230</v>
      </c>
      <c r="F1346" s="65" t="s">
        <v>10231</v>
      </c>
      <c r="G1346" s="65" t="s">
        <v>10232</v>
      </c>
      <c r="H1346" s="65" t="s">
        <v>10233</v>
      </c>
      <c r="I1346" s="65" t="s">
        <v>3422</v>
      </c>
      <c r="J1346" s="65" t="s">
        <v>1843</v>
      </c>
      <c r="K1346" s="65" t="s">
        <v>2630</v>
      </c>
      <c r="L1346" s="6" t="s">
        <v>1367</v>
      </c>
      <c r="M1346" s="21" t="s">
        <v>1368</v>
      </c>
      <c r="N1346" s="21" t="s">
        <v>1369</v>
      </c>
      <c r="O1346" s="64"/>
      <c r="P1346" s="65" t="s">
        <v>1371</v>
      </c>
      <c r="Q1346" s="64"/>
      <c r="R1346" s="64"/>
      <c r="S1346" s="52"/>
      <c r="T1346" s="52"/>
    </row>
    <row r="1347" spans="1:20" ht="28.9">
      <c r="A1347" s="246" t="s">
        <v>10234</v>
      </c>
      <c r="B1347" s="401"/>
      <c r="C1347" s="65" t="s">
        <v>10170</v>
      </c>
      <c r="D1347" s="65" t="s">
        <v>10235</v>
      </c>
      <c r="E1347" s="65" t="s">
        <v>10236</v>
      </c>
      <c r="F1347" s="65" t="s">
        <v>10237</v>
      </c>
      <c r="G1347" s="65" t="s">
        <v>10238</v>
      </c>
      <c r="H1347" s="65" t="s">
        <v>10239</v>
      </c>
      <c r="I1347" s="65" t="s">
        <v>10240</v>
      </c>
      <c r="J1347" s="65" t="s">
        <v>10241</v>
      </c>
      <c r="K1347" s="65" t="s">
        <v>10242</v>
      </c>
      <c r="L1347" s="6" t="s">
        <v>1367</v>
      </c>
      <c r="M1347" s="21" t="s">
        <v>1368</v>
      </c>
      <c r="N1347" s="21" t="s">
        <v>1369</v>
      </c>
      <c r="O1347" s="64"/>
      <c r="P1347" s="65" t="s">
        <v>1371</v>
      </c>
      <c r="Q1347" s="64"/>
      <c r="R1347" s="64"/>
      <c r="S1347" s="52"/>
      <c r="T1347" s="52"/>
    </row>
    <row r="1348" spans="1:20" ht="43.15">
      <c r="A1348" s="246" t="s">
        <v>10243</v>
      </c>
      <c r="B1348" s="401"/>
      <c r="C1348" s="65" t="s">
        <v>10170</v>
      </c>
      <c r="D1348" s="65" t="s">
        <v>10244</v>
      </c>
      <c r="E1348" s="65" t="s">
        <v>10245</v>
      </c>
      <c r="F1348" s="65" t="s">
        <v>10246</v>
      </c>
      <c r="G1348" s="65" t="s">
        <v>10247</v>
      </c>
      <c r="H1348" s="65" t="s">
        <v>10248</v>
      </c>
      <c r="I1348" s="65" t="s">
        <v>10249</v>
      </c>
      <c r="J1348" s="65" t="s">
        <v>9526</v>
      </c>
      <c r="K1348" s="65" t="s">
        <v>10250</v>
      </c>
      <c r="L1348" s="6" t="s">
        <v>1367</v>
      </c>
      <c r="M1348" s="21" t="s">
        <v>1368</v>
      </c>
      <c r="N1348" s="21" t="s">
        <v>1369</v>
      </c>
      <c r="O1348" s="64"/>
      <c r="P1348" s="65" t="s">
        <v>22</v>
      </c>
      <c r="Q1348" s="64"/>
      <c r="R1348" s="64"/>
      <c r="S1348" s="52"/>
      <c r="T1348" s="52"/>
    </row>
    <row r="1349" spans="1:20" ht="43.15">
      <c r="A1349" s="246" t="s">
        <v>10251</v>
      </c>
      <c r="B1349" s="401"/>
      <c r="C1349" s="65" t="s">
        <v>10170</v>
      </c>
      <c r="D1349" s="65" t="s">
        <v>10252</v>
      </c>
      <c r="E1349" s="65" t="s">
        <v>10253</v>
      </c>
      <c r="F1349" s="65" t="s">
        <v>10254</v>
      </c>
      <c r="G1349" s="65" t="s">
        <v>10255</v>
      </c>
      <c r="H1349" s="65" t="s">
        <v>10256</v>
      </c>
      <c r="I1349" s="65" t="s">
        <v>10257</v>
      </c>
      <c r="J1349" s="65" t="s">
        <v>10258</v>
      </c>
      <c r="K1349" s="65" t="s">
        <v>10259</v>
      </c>
      <c r="L1349" s="6" t="s">
        <v>1367</v>
      </c>
      <c r="M1349" s="21" t="s">
        <v>1368</v>
      </c>
      <c r="N1349" s="21" t="s">
        <v>1369</v>
      </c>
      <c r="O1349" s="64"/>
      <c r="P1349" s="65" t="s">
        <v>22</v>
      </c>
      <c r="Q1349" s="64"/>
      <c r="R1349" s="64"/>
      <c r="S1349" s="52"/>
      <c r="T1349" s="52"/>
    </row>
    <row r="1350" spans="1:20" ht="57.6">
      <c r="A1350" s="246" t="s">
        <v>10260</v>
      </c>
      <c r="B1350" s="401"/>
      <c r="C1350" s="65" t="s">
        <v>10261</v>
      </c>
      <c r="D1350" s="65" t="s">
        <v>10262</v>
      </c>
      <c r="E1350" s="65" t="s">
        <v>10263</v>
      </c>
      <c r="F1350" s="65" t="s">
        <v>10264</v>
      </c>
      <c r="G1350" s="65" t="s">
        <v>10265</v>
      </c>
      <c r="H1350" s="65" t="s">
        <v>10266</v>
      </c>
      <c r="I1350" s="65" t="s">
        <v>10267</v>
      </c>
      <c r="J1350" s="65" t="s">
        <v>10268</v>
      </c>
      <c r="K1350" s="65" t="s">
        <v>2598</v>
      </c>
      <c r="L1350" s="6" t="s">
        <v>1367</v>
      </c>
      <c r="M1350" s="21" t="s">
        <v>1368</v>
      </c>
      <c r="N1350" s="21" t="s">
        <v>1369</v>
      </c>
      <c r="O1350" s="64"/>
      <c r="P1350" s="65" t="s">
        <v>22</v>
      </c>
      <c r="Q1350" s="64"/>
      <c r="R1350" s="64"/>
      <c r="S1350" s="52"/>
      <c r="T1350" s="52"/>
    </row>
    <row r="1351" spans="1:20" ht="57.6">
      <c r="A1351" s="246" t="s">
        <v>10269</v>
      </c>
      <c r="B1351" s="401"/>
      <c r="C1351" s="65" t="s">
        <v>10261</v>
      </c>
      <c r="D1351" s="65" t="s">
        <v>10270</v>
      </c>
      <c r="E1351" s="65" t="s">
        <v>10271</v>
      </c>
      <c r="F1351" s="65" t="s">
        <v>10272</v>
      </c>
      <c r="G1351" s="65" t="s">
        <v>10273</v>
      </c>
      <c r="H1351" s="65" t="s">
        <v>10274</v>
      </c>
      <c r="I1351" s="65" t="s">
        <v>10267</v>
      </c>
      <c r="J1351" s="65" t="s">
        <v>10268</v>
      </c>
      <c r="K1351" s="65" t="s">
        <v>2598</v>
      </c>
      <c r="L1351" s="6" t="s">
        <v>1367</v>
      </c>
      <c r="M1351" s="21" t="s">
        <v>1368</v>
      </c>
      <c r="N1351" s="21" t="s">
        <v>1369</v>
      </c>
      <c r="O1351" s="64"/>
      <c r="P1351" s="65" t="s">
        <v>22</v>
      </c>
      <c r="Q1351" s="64"/>
      <c r="R1351" s="64"/>
      <c r="S1351" s="52"/>
      <c r="T1351" s="52"/>
    </row>
    <row r="1352" spans="1:20" ht="57.6">
      <c r="A1352" s="246" t="s">
        <v>10275</v>
      </c>
      <c r="B1352" s="401"/>
      <c r="C1352" s="65" t="s">
        <v>10261</v>
      </c>
      <c r="D1352" s="65" t="s">
        <v>10276</v>
      </c>
      <c r="E1352" s="65" t="s">
        <v>10277</v>
      </c>
      <c r="F1352" s="65" t="s">
        <v>10272</v>
      </c>
      <c r="G1352" s="65" t="s">
        <v>10278</v>
      </c>
      <c r="H1352" s="65" t="s">
        <v>10279</v>
      </c>
      <c r="I1352" s="65" t="s">
        <v>10267</v>
      </c>
      <c r="J1352" s="65" t="s">
        <v>10268</v>
      </c>
      <c r="K1352" s="65" t="s">
        <v>2598</v>
      </c>
      <c r="L1352" s="6" t="s">
        <v>1367</v>
      </c>
      <c r="M1352" s="21" t="s">
        <v>1368</v>
      </c>
      <c r="N1352" s="21" t="s">
        <v>1369</v>
      </c>
      <c r="O1352" s="64"/>
      <c r="P1352" s="65" t="s">
        <v>22</v>
      </c>
      <c r="Q1352" s="64"/>
      <c r="R1352" s="64"/>
      <c r="S1352" s="52"/>
      <c r="T1352" s="52"/>
    </row>
    <row r="1353" spans="1:20" ht="28.9">
      <c r="A1353" s="246" t="s">
        <v>10280</v>
      </c>
      <c r="B1353" s="401"/>
      <c r="C1353" s="65" t="s">
        <v>10261</v>
      </c>
      <c r="D1353" s="65" t="s">
        <v>10281</v>
      </c>
      <c r="E1353" s="65" t="s">
        <v>10282</v>
      </c>
      <c r="F1353" s="65" t="s">
        <v>10272</v>
      </c>
      <c r="G1353" s="65" t="s">
        <v>10283</v>
      </c>
      <c r="H1353" s="65" t="s">
        <v>10284</v>
      </c>
      <c r="I1353" s="65" t="s">
        <v>10267</v>
      </c>
      <c r="J1353" s="65" t="s">
        <v>10268</v>
      </c>
      <c r="K1353" s="65" t="s">
        <v>2598</v>
      </c>
      <c r="L1353" s="6" t="s">
        <v>1367</v>
      </c>
      <c r="M1353" s="21" t="s">
        <v>1368</v>
      </c>
      <c r="N1353" s="21" t="s">
        <v>1369</v>
      </c>
      <c r="O1353" s="64"/>
      <c r="P1353" s="65" t="s">
        <v>22</v>
      </c>
      <c r="Q1353" s="64"/>
      <c r="R1353" s="64"/>
      <c r="S1353" s="52"/>
      <c r="T1353" s="52"/>
    </row>
    <row r="1354" spans="1:20" ht="28.9">
      <c r="A1354" s="246" t="s">
        <v>10285</v>
      </c>
      <c r="B1354" s="401"/>
      <c r="C1354" s="65" t="s">
        <v>10261</v>
      </c>
      <c r="D1354" s="65" t="s">
        <v>10286</v>
      </c>
      <c r="E1354" s="65" t="s">
        <v>10287</v>
      </c>
      <c r="F1354" s="65" t="s">
        <v>10272</v>
      </c>
      <c r="G1354" s="65" t="s">
        <v>10288</v>
      </c>
      <c r="H1354" s="65" t="s">
        <v>10289</v>
      </c>
      <c r="I1354" s="65" t="s">
        <v>10267</v>
      </c>
      <c r="J1354" s="65" t="s">
        <v>10268</v>
      </c>
      <c r="K1354" s="65" t="s">
        <v>2598</v>
      </c>
      <c r="L1354" s="6" t="s">
        <v>1367</v>
      </c>
      <c r="M1354" s="21" t="s">
        <v>1368</v>
      </c>
      <c r="N1354" s="21" t="s">
        <v>1369</v>
      </c>
      <c r="O1354" s="64"/>
      <c r="P1354" s="65" t="s">
        <v>1371</v>
      </c>
      <c r="Q1354" s="64"/>
      <c r="R1354" s="64"/>
      <c r="S1354" s="52"/>
      <c r="T1354" s="52"/>
    </row>
    <row r="1355" spans="1:20" ht="28.9">
      <c r="A1355" s="246" t="s">
        <v>10290</v>
      </c>
      <c r="B1355" s="401"/>
      <c r="C1355" s="65" t="s">
        <v>10261</v>
      </c>
      <c r="D1355" s="65" t="s">
        <v>10291</v>
      </c>
      <c r="E1355" s="65" t="s">
        <v>10292</v>
      </c>
      <c r="F1355" s="65" t="s">
        <v>10272</v>
      </c>
      <c r="G1355" s="65" t="s">
        <v>10293</v>
      </c>
      <c r="H1355" s="65" t="s">
        <v>10294</v>
      </c>
      <c r="I1355" s="65" t="s">
        <v>10267</v>
      </c>
      <c r="J1355" s="65" t="s">
        <v>10268</v>
      </c>
      <c r="K1355" s="65" t="s">
        <v>2598</v>
      </c>
      <c r="L1355" s="6" t="s">
        <v>1367</v>
      </c>
      <c r="M1355" s="21" t="s">
        <v>1368</v>
      </c>
      <c r="N1355" s="21" t="s">
        <v>1369</v>
      </c>
      <c r="O1355" s="64"/>
      <c r="P1355" s="65" t="s">
        <v>22</v>
      </c>
      <c r="Q1355" s="64"/>
      <c r="R1355" s="64"/>
      <c r="S1355" s="52"/>
      <c r="T1355" s="52"/>
    </row>
    <row r="1356" spans="1:20" ht="28.9">
      <c r="A1356" s="246" t="s">
        <v>10295</v>
      </c>
      <c r="B1356" s="401"/>
      <c r="C1356" s="65" t="s">
        <v>10261</v>
      </c>
      <c r="D1356" s="65" t="s">
        <v>10296</v>
      </c>
      <c r="E1356" s="65" t="s">
        <v>10297</v>
      </c>
      <c r="F1356" s="65" t="s">
        <v>10272</v>
      </c>
      <c r="G1356" s="65" t="s">
        <v>10298</v>
      </c>
      <c r="H1356" s="65" t="s">
        <v>10299</v>
      </c>
      <c r="I1356" s="65" t="s">
        <v>10267</v>
      </c>
      <c r="J1356" s="65" t="s">
        <v>10268</v>
      </c>
      <c r="K1356" s="65" t="s">
        <v>2598</v>
      </c>
      <c r="L1356" s="6" t="s">
        <v>1367</v>
      </c>
      <c r="M1356" s="21" t="s">
        <v>1368</v>
      </c>
      <c r="N1356" s="21" t="s">
        <v>1369</v>
      </c>
      <c r="O1356" s="64"/>
      <c r="P1356" s="65" t="s">
        <v>22</v>
      </c>
      <c r="Q1356" s="64"/>
      <c r="R1356" s="64"/>
      <c r="S1356" s="52"/>
      <c r="T1356" s="52"/>
    </row>
    <row r="1357" spans="1:20" ht="43.15">
      <c r="A1357" s="246" t="s">
        <v>10300</v>
      </c>
      <c r="B1357" s="401"/>
      <c r="C1357" s="65" t="s">
        <v>10261</v>
      </c>
      <c r="D1357" s="65" t="s">
        <v>10301</v>
      </c>
      <c r="E1357" s="65" t="s">
        <v>10302</v>
      </c>
      <c r="F1357" s="65" t="s">
        <v>10303</v>
      </c>
      <c r="G1357" s="65" t="s">
        <v>10304</v>
      </c>
      <c r="H1357" s="65" t="s">
        <v>10305</v>
      </c>
      <c r="I1357" s="65" t="s">
        <v>10267</v>
      </c>
      <c r="J1357" s="65" t="s">
        <v>10268</v>
      </c>
      <c r="K1357" s="65" t="s">
        <v>2598</v>
      </c>
      <c r="L1357" s="6" t="s">
        <v>1367</v>
      </c>
      <c r="M1357" s="21" t="s">
        <v>1368</v>
      </c>
      <c r="N1357" s="21" t="s">
        <v>1369</v>
      </c>
      <c r="O1357" s="64"/>
      <c r="P1357" s="65" t="s">
        <v>1371</v>
      </c>
      <c r="Q1357" s="64"/>
      <c r="R1357" s="64"/>
      <c r="S1357" s="52"/>
      <c r="T1357" s="52"/>
    </row>
    <row r="1358" spans="1:20" ht="43.15">
      <c r="A1358" s="246" t="s">
        <v>10306</v>
      </c>
      <c r="B1358" s="401"/>
      <c r="C1358" s="65" t="s">
        <v>10261</v>
      </c>
      <c r="D1358" s="65" t="s">
        <v>10307</v>
      </c>
      <c r="E1358" s="65" t="s">
        <v>10308</v>
      </c>
      <c r="F1358" s="65" t="s">
        <v>10309</v>
      </c>
      <c r="G1358" s="65" t="s">
        <v>10310</v>
      </c>
      <c r="H1358" s="65" t="s">
        <v>10311</v>
      </c>
      <c r="I1358" s="65" t="s">
        <v>10267</v>
      </c>
      <c r="J1358" s="65" t="s">
        <v>10268</v>
      </c>
      <c r="K1358" s="65" t="s">
        <v>2598</v>
      </c>
      <c r="L1358" s="6" t="s">
        <v>1367</v>
      </c>
      <c r="M1358" s="21" t="s">
        <v>1368</v>
      </c>
      <c r="N1358" s="21" t="s">
        <v>1369</v>
      </c>
      <c r="O1358" s="64"/>
      <c r="P1358" s="65" t="s">
        <v>1371</v>
      </c>
      <c r="Q1358" s="64"/>
      <c r="R1358" s="64"/>
      <c r="S1358" s="52"/>
      <c r="T1358" s="52"/>
    </row>
    <row r="1359" spans="1:20" ht="28.9">
      <c r="A1359" s="246" t="s">
        <v>10312</v>
      </c>
      <c r="B1359" s="401"/>
      <c r="C1359" s="65" t="s">
        <v>10261</v>
      </c>
      <c r="D1359" s="65" t="s">
        <v>10313</v>
      </c>
      <c r="E1359" s="65" t="s">
        <v>10314</v>
      </c>
      <c r="F1359" s="65" t="s">
        <v>10272</v>
      </c>
      <c r="G1359" s="65" t="s">
        <v>10315</v>
      </c>
      <c r="H1359" s="65" t="s">
        <v>10316</v>
      </c>
      <c r="I1359" s="65" t="s">
        <v>10178</v>
      </c>
      <c r="J1359" s="65" t="s">
        <v>10317</v>
      </c>
      <c r="K1359" s="65" t="s">
        <v>10178</v>
      </c>
      <c r="L1359" s="6" t="s">
        <v>1367</v>
      </c>
      <c r="M1359" s="21" t="s">
        <v>1368</v>
      </c>
      <c r="N1359" s="21" t="s">
        <v>1369</v>
      </c>
      <c r="O1359" s="64"/>
      <c r="P1359" s="65" t="s">
        <v>1371</v>
      </c>
      <c r="Q1359" s="64"/>
      <c r="R1359" s="64"/>
      <c r="S1359" s="52"/>
      <c r="T1359" s="52"/>
    </row>
    <row r="1360" spans="1:20" ht="43.15">
      <c r="A1360" s="246" t="s">
        <v>10318</v>
      </c>
      <c r="B1360" s="401"/>
      <c r="C1360" s="65" t="s">
        <v>10261</v>
      </c>
      <c r="D1360" s="65" t="s">
        <v>10319</v>
      </c>
      <c r="E1360" s="65" t="s">
        <v>10320</v>
      </c>
      <c r="F1360" s="65" t="s">
        <v>3246</v>
      </c>
      <c r="G1360" s="65" t="s">
        <v>10321</v>
      </c>
      <c r="H1360" s="65" t="s">
        <v>10209</v>
      </c>
      <c r="I1360" s="65" t="s">
        <v>10322</v>
      </c>
      <c r="J1360" s="65" t="s">
        <v>10323</v>
      </c>
      <c r="K1360" s="65" t="s">
        <v>10324</v>
      </c>
      <c r="L1360" s="6" t="s">
        <v>1367</v>
      </c>
      <c r="M1360" s="21" t="s">
        <v>1368</v>
      </c>
      <c r="N1360" s="21" t="s">
        <v>1369</v>
      </c>
      <c r="O1360" s="64"/>
      <c r="P1360" s="65" t="s">
        <v>1371</v>
      </c>
      <c r="Q1360" s="64"/>
      <c r="R1360" s="64"/>
      <c r="S1360" s="52"/>
      <c r="T1360" s="52"/>
    </row>
    <row r="1361" spans="1:20" ht="28.9">
      <c r="A1361" s="246" t="s">
        <v>10325</v>
      </c>
      <c r="B1361" s="401"/>
      <c r="C1361" s="65" t="s">
        <v>10326</v>
      </c>
      <c r="D1361" s="65" t="s">
        <v>10327</v>
      </c>
      <c r="E1361" s="65" t="s">
        <v>10328</v>
      </c>
      <c r="F1361" s="65" t="s">
        <v>10329</v>
      </c>
      <c r="G1361" s="65" t="s">
        <v>10330</v>
      </c>
      <c r="H1361" s="65" t="s">
        <v>10331</v>
      </c>
      <c r="I1361" s="65" t="s">
        <v>10332</v>
      </c>
      <c r="J1361" s="65" t="s">
        <v>10333</v>
      </c>
      <c r="K1361" s="65" t="s">
        <v>10332</v>
      </c>
      <c r="L1361" s="6" t="s">
        <v>1367</v>
      </c>
      <c r="M1361" s="21" t="s">
        <v>1368</v>
      </c>
      <c r="N1361" s="21" t="s">
        <v>1369</v>
      </c>
      <c r="O1361" s="64"/>
      <c r="P1361" s="65" t="s">
        <v>22</v>
      </c>
      <c r="Q1361" s="64"/>
      <c r="R1361" s="64"/>
      <c r="S1361" s="52"/>
      <c r="T1361" s="52"/>
    </row>
    <row r="1362" spans="1:20" ht="28.9">
      <c r="A1362" s="246" t="s">
        <v>10334</v>
      </c>
      <c r="B1362" s="401"/>
      <c r="C1362" s="65" t="s">
        <v>10326</v>
      </c>
      <c r="D1362" s="65" t="s">
        <v>10335</v>
      </c>
      <c r="E1362" s="65" t="s">
        <v>10336</v>
      </c>
      <c r="F1362" s="65" t="s">
        <v>10337</v>
      </c>
      <c r="G1362" s="65" t="s">
        <v>10338</v>
      </c>
      <c r="H1362" s="65" t="s">
        <v>10339</v>
      </c>
      <c r="I1362" s="65" t="s">
        <v>10340</v>
      </c>
      <c r="J1362" s="65" t="s">
        <v>10341</v>
      </c>
      <c r="K1362" s="65" t="s">
        <v>10340</v>
      </c>
      <c r="L1362" s="6" t="s">
        <v>1367</v>
      </c>
      <c r="M1362" s="21" t="s">
        <v>1368</v>
      </c>
      <c r="N1362" s="21" t="s">
        <v>1369</v>
      </c>
      <c r="O1362" s="64"/>
      <c r="P1362" s="65" t="s">
        <v>22</v>
      </c>
      <c r="Q1362" s="64"/>
      <c r="R1362" s="64"/>
      <c r="S1362" s="52"/>
      <c r="T1362" s="52"/>
    </row>
    <row r="1363" spans="1:20" ht="28.9">
      <c r="A1363" s="246" t="s">
        <v>10342</v>
      </c>
      <c r="B1363" s="401"/>
      <c r="C1363" s="65" t="s">
        <v>10326</v>
      </c>
      <c r="D1363" s="65" t="s">
        <v>2718</v>
      </c>
      <c r="E1363" s="65" t="s">
        <v>10343</v>
      </c>
      <c r="F1363" s="65" t="s">
        <v>10344</v>
      </c>
      <c r="G1363" s="65" t="s">
        <v>4439</v>
      </c>
      <c r="H1363" s="65" t="s">
        <v>10345</v>
      </c>
      <c r="I1363" s="65" t="s">
        <v>7415</v>
      </c>
      <c r="J1363" s="65" t="s">
        <v>10346</v>
      </c>
      <c r="K1363" s="65" t="s">
        <v>10347</v>
      </c>
      <c r="L1363" s="6" t="s">
        <v>1367</v>
      </c>
      <c r="M1363" s="21" t="s">
        <v>1368</v>
      </c>
      <c r="N1363" s="21" t="s">
        <v>1369</v>
      </c>
      <c r="O1363" s="64"/>
      <c r="P1363" s="65" t="s">
        <v>22</v>
      </c>
      <c r="Q1363" s="64"/>
      <c r="R1363" s="64"/>
      <c r="S1363" s="52"/>
      <c r="T1363" s="52"/>
    </row>
    <row r="1364" spans="1:20">
      <c r="A1364" s="246" t="s">
        <v>10348</v>
      </c>
      <c r="B1364" s="401"/>
      <c r="C1364" s="65" t="s">
        <v>10326</v>
      </c>
      <c r="D1364" s="65" t="s">
        <v>10349</v>
      </c>
      <c r="E1364" s="65" t="s">
        <v>10350</v>
      </c>
      <c r="F1364" s="65" t="s">
        <v>10351</v>
      </c>
      <c r="G1364" s="65" t="s">
        <v>10352</v>
      </c>
      <c r="H1364" s="65" t="s">
        <v>10353</v>
      </c>
      <c r="I1364" s="65" t="s">
        <v>10354</v>
      </c>
      <c r="J1364" s="65" t="s">
        <v>10355</v>
      </c>
      <c r="K1364" s="65" t="s">
        <v>10354</v>
      </c>
      <c r="L1364" s="6" t="s">
        <v>1367</v>
      </c>
      <c r="M1364" s="21" t="s">
        <v>1368</v>
      </c>
      <c r="N1364" s="21" t="s">
        <v>1369</v>
      </c>
      <c r="O1364" s="64"/>
      <c r="P1364" s="65" t="s">
        <v>22</v>
      </c>
      <c r="Q1364" s="64"/>
      <c r="R1364" s="64"/>
      <c r="S1364" s="52"/>
      <c r="T1364" s="52"/>
    </row>
    <row r="1365" spans="1:20" ht="28.9">
      <c r="A1365" s="246" t="s">
        <v>10356</v>
      </c>
      <c r="B1365" s="401"/>
      <c r="C1365" s="65" t="s">
        <v>10326</v>
      </c>
      <c r="D1365" s="65" t="s">
        <v>10357</v>
      </c>
      <c r="E1365" s="65" t="s">
        <v>10358</v>
      </c>
      <c r="F1365" s="65" t="s">
        <v>10254</v>
      </c>
      <c r="G1365" s="65" t="s">
        <v>10359</v>
      </c>
      <c r="H1365" s="65" t="s">
        <v>10360</v>
      </c>
      <c r="I1365" s="65" t="s">
        <v>10361</v>
      </c>
      <c r="J1365" s="65" t="s">
        <v>10362</v>
      </c>
      <c r="K1365" s="65" t="s">
        <v>10363</v>
      </c>
      <c r="L1365" s="6" t="s">
        <v>1367</v>
      </c>
      <c r="M1365" s="21" t="s">
        <v>1368</v>
      </c>
      <c r="N1365" s="21" t="s">
        <v>1369</v>
      </c>
      <c r="O1365" s="64"/>
      <c r="P1365" s="65" t="s">
        <v>22</v>
      </c>
      <c r="Q1365" s="64"/>
      <c r="R1365" s="64"/>
      <c r="S1365" s="52"/>
      <c r="T1365" s="52"/>
    </row>
    <row r="1366" spans="1:20">
      <c r="A1366" s="246" t="s">
        <v>10364</v>
      </c>
      <c r="B1366" s="401"/>
      <c r="C1366" s="65" t="s">
        <v>10326</v>
      </c>
      <c r="D1366" s="65" t="s">
        <v>10365</v>
      </c>
      <c r="E1366" s="65" t="s">
        <v>10366</v>
      </c>
      <c r="F1366" s="65" t="s">
        <v>10367</v>
      </c>
      <c r="G1366" s="65" t="s">
        <v>10368</v>
      </c>
      <c r="H1366" s="65" t="s">
        <v>10345</v>
      </c>
      <c r="I1366" s="65" t="s">
        <v>1796</v>
      </c>
      <c r="J1366" s="65" t="s">
        <v>10369</v>
      </c>
      <c r="K1366" s="65" t="s">
        <v>1796</v>
      </c>
      <c r="L1366" s="6" t="s">
        <v>1367</v>
      </c>
      <c r="M1366" s="21" t="s">
        <v>1368</v>
      </c>
      <c r="N1366" s="21" t="s">
        <v>1369</v>
      </c>
      <c r="O1366" s="64"/>
      <c r="P1366" s="65" t="s">
        <v>1371</v>
      </c>
      <c r="Q1366" s="64"/>
      <c r="R1366" s="64"/>
      <c r="S1366" s="52"/>
      <c r="T1366" s="52"/>
    </row>
    <row r="1367" spans="1:20">
      <c r="A1367" s="246" t="s">
        <v>10370</v>
      </c>
      <c r="B1367" s="401"/>
      <c r="C1367" s="65" t="s">
        <v>10326</v>
      </c>
      <c r="D1367" s="65" t="s">
        <v>10371</v>
      </c>
      <c r="E1367" s="65" t="s">
        <v>10372</v>
      </c>
      <c r="F1367" s="65" t="s">
        <v>10254</v>
      </c>
      <c r="G1367" s="65" t="s">
        <v>10373</v>
      </c>
      <c r="H1367" s="65" t="s">
        <v>10374</v>
      </c>
      <c r="I1367" s="65" t="s">
        <v>10375</v>
      </c>
      <c r="J1367" s="65" t="s">
        <v>10355</v>
      </c>
      <c r="K1367" s="65" t="s">
        <v>10376</v>
      </c>
      <c r="L1367" s="6" t="s">
        <v>1367</v>
      </c>
      <c r="M1367" s="21" t="s">
        <v>1368</v>
      </c>
      <c r="N1367" s="21" t="s">
        <v>1369</v>
      </c>
      <c r="O1367" s="64"/>
      <c r="P1367" s="65" t="s">
        <v>22</v>
      </c>
      <c r="Q1367" s="64"/>
      <c r="R1367" s="64"/>
      <c r="S1367" s="52"/>
      <c r="T1367" s="52"/>
    </row>
    <row r="1368" spans="1:20">
      <c r="A1368" s="246" t="s">
        <v>10377</v>
      </c>
      <c r="B1368" s="401"/>
      <c r="C1368" s="65" t="s">
        <v>10326</v>
      </c>
      <c r="D1368" s="65" t="s">
        <v>10378</v>
      </c>
      <c r="E1368" s="65" t="s">
        <v>10379</v>
      </c>
      <c r="F1368" s="65" t="s">
        <v>10367</v>
      </c>
      <c r="G1368" s="65" t="s">
        <v>10380</v>
      </c>
      <c r="H1368" s="65" t="s">
        <v>10381</v>
      </c>
      <c r="I1368" s="65" t="s">
        <v>10382</v>
      </c>
      <c r="J1368" s="65" t="s">
        <v>9909</v>
      </c>
      <c r="K1368" s="65" t="s">
        <v>10354</v>
      </c>
      <c r="L1368" s="6" t="s">
        <v>1367</v>
      </c>
      <c r="M1368" s="21" t="s">
        <v>1368</v>
      </c>
      <c r="N1368" s="21" t="s">
        <v>1369</v>
      </c>
      <c r="O1368" s="64"/>
      <c r="P1368" s="65" t="s">
        <v>1371</v>
      </c>
      <c r="Q1368" s="64"/>
      <c r="R1368" s="64"/>
      <c r="S1368" s="52"/>
      <c r="T1368" s="52"/>
    </row>
    <row r="1369" spans="1:20" ht="28.9">
      <c r="A1369" s="246" t="s">
        <v>10383</v>
      </c>
      <c r="B1369" s="401"/>
      <c r="C1369" s="65" t="s">
        <v>10326</v>
      </c>
      <c r="D1369" s="65" t="s">
        <v>10384</v>
      </c>
      <c r="E1369" s="65" t="s">
        <v>10385</v>
      </c>
      <c r="F1369" s="65" t="s">
        <v>10351</v>
      </c>
      <c r="G1369" s="65" t="s">
        <v>10386</v>
      </c>
      <c r="H1369" s="65" t="s">
        <v>10345</v>
      </c>
      <c r="I1369" s="65" t="s">
        <v>10387</v>
      </c>
      <c r="J1369" s="65" t="s">
        <v>10388</v>
      </c>
      <c r="K1369" s="65" t="s">
        <v>10389</v>
      </c>
      <c r="L1369" s="6" t="s">
        <v>1367</v>
      </c>
      <c r="M1369" s="21" t="s">
        <v>1368</v>
      </c>
      <c r="N1369" s="21" t="s">
        <v>1369</v>
      </c>
      <c r="O1369" s="64"/>
      <c r="P1369" s="65" t="s">
        <v>22</v>
      </c>
      <c r="Q1369" s="64"/>
      <c r="R1369" s="64"/>
      <c r="S1369" s="52"/>
      <c r="T1369" s="52"/>
    </row>
    <row r="1370" spans="1:20" ht="28.9">
      <c r="A1370" s="246" t="s">
        <v>10390</v>
      </c>
      <c r="B1370" s="401"/>
      <c r="C1370" s="65" t="s">
        <v>10391</v>
      </c>
      <c r="D1370" s="65" t="s">
        <v>10392</v>
      </c>
      <c r="E1370" s="65" t="s">
        <v>10393</v>
      </c>
      <c r="F1370" s="65" t="s">
        <v>10394</v>
      </c>
      <c r="G1370" s="65" t="s">
        <v>10395</v>
      </c>
      <c r="H1370" s="65" t="s">
        <v>10396</v>
      </c>
      <c r="I1370" s="65" t="s">
        <v>7415</v>
      </c>
      <c r="J1370" s="65" t="s">
        <v>10397</v>
      </c>
      <c r="K1370" s="65" t="s">
        <v>10347</v>
      </c>
      <c r="L1370" s="6" t="s">
        <v>1367</v>
      </c>
      <c r="M1370" s="21" t="s">
        <v>1368</v>
      </c>
      <c r="N1370" s="21" t="s">
        <v>1369</v>
      </c>
      <c r="O1370" s="64"/>
      <c r="P1370" s="65" t="s">
        <v>22</v>
      </c>
      <c r="Q1370" s="64"/>
      <c r="R1370" s="64"/>
      <c r="S1370" s="52"/>
      <c r="T1370" s="52"/>
    </row>
    <row r="1371" spans="1:20" ht="28.9">
      <c r="A1371" s="246" t="s">
        <v>10398</v>
      </c>
      <c r="B1371" s="401"/>
      <c r="C1371" s="65" t="s">
        <v>10391</v>
      </c>
      <c r="D1371" s="65" t="s">
        <v>10399</v>
      </c>
      <c r="E1371" s="65" t="s">
        <v>10400</v>
      </c>
      <c r="F1371" s="65" t="s">
        <v>10401</v>
      </c>
      <c r="G1371" s="65" t="s">
        <v>10402</v>
      </c>
      <c r="H1371" s="65" t="s">
        <v>10403</v>
      </c>
      <c r="I1371" s="65" t="s">
        <v>10404</v>
      </c>
      <c r="J1371" s="65" t="s">
        <v>10405</v>
      </c>
      <c r="K1371" s="65" t="s">
        <v>10406</v>
      </c>
      <c r="L1371" s="6" t="s">
        <v>1367</v>
      </c>
      <c r="M1371" s="21" t="s">
        <v>1368</v>
      </c>
      <c r="N1371" s="21" t="s">
        <v>1369</v>
      </c>
      <c r="O1371" s="64"/>
      <c r="P1371" s="65" t="s">
        <v>22</v>
      </c>
      <c r="Q1371" s="64"/>
      <c r="R1371" s="64"/>
      <c r="S1371" s="52"/>
      <c r="T1371" s="52"/>
    </row>
    <row r="1372" spans="1:20" ht="28.9">
      <c r="A1372" s="246" t="s">
        <v>10407</v>
      </c>
      <c r="B1372" s="401"/>
      <c r="C1372" s="65" t="s">
        <v>10391</v>
      </c>
      <c r="D1372" s="65" t="s">
        <v>10408</v>
      </c>
      <c r="E1372" s="65" t="s">
        <v>10409</v>
      </c>
      <c r="F1372" s="65" t="s">
        <v>10410</v>
      </c>
      <c r="G1372" s="65" t="s">
        <v>10411</v>
      </c>
      <c r="H1372" s="65" t="s">
        <v>10412</v>
      </c>
      <c r="I1372" s="65" t="s">
        <v>10413</v>
      </c>
      <c r="J1372" s="65" t="s">
        <v>10414</v>
      </c>
      <c r="K1372" s="65" t="s">
        <v>10415</v>
      </c>
      <c r="L1372" s="6" t="s">
        <v>1367</v>
      </c>
      <c r="M1372" s="21" t="s">
        <v>1368</v>
      </c>
      <c r="N1372" s="21" t="s">
        <v>1369</v>
      </c>
      <c r="O1372" s="64"/>
      <c r="P1372" s="65" t="s">
        <v>22</v>
      </c>
      <c r="Q1372" s="64"/>
      <c r="R1372" s="64"/>
      <c r="S1372" s="52"/>
      <c r="T1372" s="52"/>
    </row>
    <row r="1373" spans="1:20" ht="28.9">
      <c r="A1373" s="246" t="s">
        <v>10416</v>
      </c>
      <c r="B1373" s="401"/>
      <c r="C1373" s="65" t="s">
        <v>10391</v>
      </c>
      <c r="D1373" s="65" t="s">
        <v>10417</v>
      </c>
      <c r="E1373" s="65" t="s">
        <v>10418</v>
      </c>
      <c r="F1373" s="65" t="s">
        <v>10401</v>
      </c>
      <c r="G1373" s="65" t="s">
        <v>10419</v>
      </c>
      <c r="H1373" s="65" t="s">
        <v>10420</v>
      </c>
      <c r="I1373" s="65" t="s">
        <v>10421</v>
      </c>
      <c r="J1373" s="65" t="s">
        <v>10422</v>
      </c>
      <c r="K1373" s="65" t="s">
        <v>10423</v>
      </c>
      <c r="L1373" s="6" t="s">
        <v>1367</v>
      </c>
      <c r="M1373" s="21" t="s">
        <v>1368</v>
      </c>
      <c r="N1373" s="21" t="s">
        <v>1369</v>
      </c>
      <c r="O1373" s="64"/>
      <c r="P1373" s="65" t="s">
        <v>22</v>
      </c>
      <c r="Q1373" s="64"/>
      <c r="R1373" s="64"/>
      <c r="S1373" s="52"/>
      <c r="T1373" s="52"/>
    </row>
    <row r="1374" spans="1:20" ht="28.9">
      <c r="A1374" s="246" t="s">
        <v>10424</v>
      </c>
      <c r="B1374" s="401"/>
      <c r="C1374" s="65" t="s">
        <v>10391</v>
      </c>
      <c r="D1374" s="65" t="s">
        <v>10425</v>
      </c>
      <c r="E1374" s="65" t="s">
        <v>10426</v>
      </c>
      <c r="F1374" s="65" t="s">
        <v>10401</v>
      </c>
      <c r="G1374" s="65" t="s">
        <v>10427</v>
      </c>
      <c r="H1374" s="65" t="s">
        <v>10428</v>
      </c>
      <c r="I1374" s="65" t="s">
        <v>10429</v>
      </c>
      <c r="J1374" s="65" t="s">
        <v>10430</v>
      </c>
      <c r="K1374" s="65" t="s">
        <v>10431</v>
      </c>
      <c r="L1374" s="6" t="s">
        <v>1367</v>
      </c>
      <c r="M1374" s="21" t="s">
        <v>1368</v>
      </c>
      <c r="N1374" s="21" t="s">
        <v>1369</v>
      </c>
      <c r="O1374" s="64"/>
      <c r="P1374" s="65" t="s">
        <v>22</v>
      </c>
      <c r="Q1374" s="64"/>
      <c r="R1374" s="64"/>
      <c r="S1374" s="52"/>
      <c r="T1374" s="52"/>
    </row>
    <row r="1375" spans="1:20" ht="28.9">
      <c r="A1375" s="246" t="s">
        <v>10432</v>
      </c>
      <c r="B1375" s="401"/>
      <c r="C1375" s="65" t="s">
        <v>10391</v>
      </c>
      <c r="D1375" s="65" t="s">
        <v>10433</v>
      </c>
      <c r="E1375" s="65" t="s">
        <v>10434</v>
      </c>
      <c r="F1375" s="65" t="s">
        <v>10435</v>
      </c>
      <c r="G1375" s="65" t="s">
        <v>10436</v>
      </c>
      <c r="H1375" s="65" t="s">
        <v>10412</v>
      </c>
      <c r="I1375" s="65" t="s">
        <v>10437</v>
      </c>
      <c r="J1375" s="65" t="s">
        <v>10438</v>
      </c>
      <c r="K1375" s="65" t="s">
        <v>10439</v>
      </c>
      <c r="L1375" s="6" t="s">
        <v>1367</v>
      </c>
      <c r="M1375" s="21" t="s">
        <v>1368</v>
      </c>
      <c r="N1375" s="21" t="s">
        <v>1369</v>
      </c>
      <c r="O1375" s="64"/>
      <c r="P1375" s="65" t="s">
        <v>1371</v>
      </c>
      <c r="Q1375" s="64"/>
      <c r="R1375" s="64"/>
      <c r="S1375" s="52"/>
      <c r="T1375" s="52"/>
    </row>
    <row r="1376" spans="1:20" ht="28.9">
      <c r="A1376" s="224" t="s">
        <v>10440</v>
      </c>
      <c r="B1376" s="401"/>
      <c r="C1376" s="65" t="s">
        <v>10441</v>
      </c>
      <c r="D1376" s="65" t="s">
        <v>10442</v>
      </c>
      <c r="E1376" s="65" t="s">
        <v>10443</v>
      </c>
      <c r="F1376" s="65" t="s">
        <v>10444</v>
      </c>
      <c r="G1376" s="65" t="s">
        <v>10445</v>
      </c>
      <c r="H1376" s="65" t="s">
        <v>8833</v>
      </c>
      <c r="I1376" s="65" t="s">
        <v>10446</v>
      </c>
      <c r="J1376" s="65" t="s">
        <v>10447</v>
      </c>
      <c r="K1376" s="65" t="s">
        <v>3326</v>
      </c>
      <c r="L1376" s="6" t="s">
        <v>1367</v>
      </c>
      <c r="M1376" s="21" t="s">
        <v>1368</v>
      </c>
      <c r="N1376" s="21" t="s">
        <v>1369</v>
      </c>
      <c r="O1376" s="64"/>
      <c r="P1376" s="65" t="s">
        <v>22</v>
      </c>
      <c r="Q1376" s="64"/>
      <c r="R1376" s="64"/>
      <c r="S1376" s="52"/>
      <c r="T1376" s="52"/>
    </row>
    <row r="1377" spans="1:33" ht="28.9">
      <c r="A1377" s="224" t="s">
        <v>10448</v>
      </c>
      <c r="B1377" s="401"/>
      <c r="C1377" s="65" t="s">
        <v>10441</v>
      </c>
      <c r="D1377" s="65" t="s">
        <v>10449</v>
      </c>
      <c r="E1377" s="65" t="s">
        <v>10450</v>
      </c>
      <c r="F1377" s="65" t="s">
        <v>10451</v>
      </c>
      <c r="G1377" s="65" t="s">
        <v>10452</v>
      </c>
      <c r="H1377" s="65" t="s">
        <v>10453</v>
      </c>
      <c r="I1377" s="65" t="s">
        <v>10454</v>
      </c>
      <c r="J1377" s="65" t="s">
        <v>10455</v>
      </c>
      <c r="K1377" s="65" t="s">
        <v>3326</v>
      </c>
      <c r="L1377" s="6" t="s">
        <v>1367</v>
      </c>
      <c r="M1377" s="21" t="s">
        <v>1368</v>
      </c>
      <c r="N1377" s="21" t="s">
        <v>1369</v>
      </c>
      <c r="O1377" s="64"/>
      <c r="P1377" s="65" t="s">
        <v>22</v>
      </c>
      <c r="Q1377" s="64"/>
      <c r="R1377" s="64"/>
      <c r="S1377" s="52"/>
      <c r="T1377" s="52"/>
    </row>
    <row r="1378" spans="1:33">
      <c r="AG1378" s="62"/>
    </row>
    <row r="1379" spans="1:33" s="55" customFormat="1">
      <c r="A1379" s="249"/>
      <c r="C1379" s="62"/>
      <c r="D1379" s="54"/>
      <c r="E1379" s="54"/>
      <c r="F1379" s="54"/>
      <c r="G1379" s="54"/>
      <c r="H1379" s="54"/>
      <c r="I1379" s="54"/>
      <c r="J1379" s="54"/>
      <c r="K1379" s="54"/>
      <c r="L1379" s="71"/>
      <c r="M1379" s="62"/>
      <c r="P1379" s="62"/>
      <c r="Q1379" s="62"/>
      <c r="R1379" s="302"/>
      <c r="W1379" s="71"/>
      <c r="X1379" s="71"/>
      <c r="AG1379" s="21"/>
    </row>
    <row r="1381" spans="1:33" ht="57.6">
      <c r="A1381" s="253" t="s">
        <v>10456</v>
      </c>
      <c r="B1381" s="403" t="s">
        <v>10457</v>
      </c>
      <c r="C1381" s="76"/>
      <c r="D1381" s="65" t="s">
        <v>10458</v>
      </c>
      <c r="E1381" s="65" t="s">
        <v>10459</v>
      </c>
      <c r="F1381" s="65" t="s">
        <v>10460</v>
      </c>
      <c r="G1381" s="65" t="s">
        <v>10461</v>
      </c>
      <c r="H1381" s="65" t="s">
        <v>10462</v>
      </c>
      <c r="I1381" s="65" t="s">
        <v>10463</v>
      </c>
      <c r="J1381" s="65" t="s">
        <v>10464</v>
      </c>
      <c r="K1381" s="65" t="s">
        <v>10465</v>
      </c>
      <c r="L1381" s="6" t="s">
        <v>1367</v>
      </c>
      <c r="M1381" s="21" t="s">
        <v>1368</v>
      </c>
      <c r="N1381" s="21" t="s">
        <v>1369</v>
      </c>
      <c r="O1381" s="52"/>
      <c r="P1381" s="76" t="s">
        <v>22</v>
      </c>
      <c r="W1381" s="71"/>
      <c r="X1381" s="71"/>
    </row>
    <row r="1382" spans="1:33" ht="57.6">
      <c r="A1382" s="253" t="s">
        <v>10466</v>
      </c>
      <c r="B1382" s="403"/>
      <c r="C1382" s="76"/>
      <c r="D1382" s="65" t="s">
        <v>10467</v>
      </c>
      <c r="E1382" s="65" t="s">
        <v>10468</v>
      </c>
      <c r="F1382" s="65" t="s">
        <v>10469</v>
      </c>
      <c r="G1382" s="65" t="s">
        <v>10470</v>
      </c>
      <c r="H1382" s="65" t="s">
        <v>10471</v>
      </c>
      <c r="I1382" s="65" t="s">
        <v>10472</v>
      </c>
      <c r="J1382" s="65" t="s">
        <v>10473</v>
      </c>
      <c r="K1382" s="65" t="s">
        <v>10474</v>
      </c>
      <c r="L1382" s="6" t="s">
        <v>1367</v>
      </c>
      <c r="M1382" s="21" t="s">
        <v>1368</v>
      </c>
      <c r="N1382" s="21" t="s">
        <v>1369</v>
      </c>
      <c r="O1382" s="52"/>
      <c r="P1382" s="76" t="s">
        <v>22</v>
      </c>
    </row>
    <row r="1383" spans="1:33" ht="72">
      <c r="A1383" s="253" t="s">
        <v>10475</v>
      </c>
      <c r="B1383" s="403"/>
      <c r="C1383" s="76"/>
      <c r="D1383" s="65" t="s">
        <v>10476</v>
      </c>
      <c r="E1383" s="65" t="s">
        <v>10477</v>
      </c>
      <c r="F1383" s="65" t="s">
        <v>10478</v>
      </c>
      <c r="G1383" s="65" t="s">
        <v>10479</v>
      </c>
      <c r="H1383" s="65" t="s">
        <v>10480</v>
      </c>
      <c r="I1383" s="65" t="s">
        <v>10481</v>
      </c>
      <c r="J1383" s="65" t="s">
        <v>10482</v>
      </c>
      <c r="K1383" s="65" t="s">
        <v>10483</v>
      </c>
      <c r="L1383" s="6" t="s">
        <v>1367</v>
      </c>
      <c r="M1383" s="21" t="s">
        <v>1368</v>
      </c>
      <c r="N1383" s="21" t="s">
        <v>1369</v>
      </c>
      <c r="O1383" s="52"/>
      <c r="P1383" s="76" t="s">
        <v>22</v>
      </c>
    </row>
    <row r="1384" spans="1:33" ht="43.15">
      <c r="A1384" s="253" t="s">
        <v>10484</v>
      </c>
      <c r="B1384" s="403"/>
      <c r="C1384" s="76"/>
      <c r="D1384" s="65" t="s">
        <v>10485</v>
      </c>
      <c r="E1384" s="65" t="s">
        <v>10486</v>
      </c>
      <c r="F1384" s="65" t="s">
        <v>10487</v>
      </c>
      <c r="G1384" s="65" t="s">
        <v>10488</v>
      </c>
      <c r="H1384" s="65" t="s">
        <v>10489</v>
      </c>
      <c r="I1384" s="65" t="s">
        <v>10490</v>
      </c>
      <c r="J1384" s="65" t="s">
        <v>10491</v>
      </c>
      <c r="K1384" s="65" t="s">
        <v>10492</v>
      </c>
      <c r="L1384" s="6" t="s">
        <v>1367</v>
      </c>
      <c r="M1384" s="21" t="s">
        <v>1368</v>
      </c>
      <c r="N1384" s="21" t="s">
        <v>1369</v>
      </c>
      <c r="O1384" s="52"/>
      <c r="P1384" s="76" t="s">
        <v>22</v>
      </c>
    </row>
    <row r="1385" spans="1:33" ht="43.15">
      <c r="A1385" s="253" t="s">
        <v>10493</v>
      </c>
      <c r="B1385" s="403"/>
      <c r="C1385" s="76"/>
      <c r="D1385" s="65" t="s">
        <v>10494</v>
      </c>
      <c r="E1385" s="65" t="s">
        <v>10495</v>
      </c>
      <c r="F1385" s="65" t="s">
        <v>10496</v>
      </c>
      <c r="G1385" s="65" t="s">
        <v>10497</v>
      </c>
      <c r="H1385" s="65" t="s">
        <v>10498</v>
      </c>
      <c r="I1385" s="65" t="s">
        <v>10499</v>
      </c>
      <c r="J1385" s="65" t="s">
        <v>10500</v>
      </c>
      <c r="K1385" s="65" t="s">
        <v>10501</v>
      </c>
      <c r="L1385" s="6" t="s">
        <v>1367</v>
      </c>
      <c r="M1385" s="21" t="s">
        <v>1368</v>
      </c>
      <c r="N1385" s="21" t="s">
        <v>1369</v>
      </c>
      <c r="O1385" s="52"/>
      <c r="P1385" s="76" t="s">
        <v>22</v>
      </c>
    </row>
    <row r="1386" spans="1:33" ht="43.15">
      <c r="A1386" s="253" t="s">
        <v>10502</v>
      </c>
      <c r="B1386" s="403"/>
      <c r="C1386" s="76"/>
      <c r="D1386" s="65" t="s">
        <v>10503</v>
      </c>
      <c r="E1386" s="65" t="s">
        <v>10504</v>
      </c>
      <c r="F1386" s="65" t="s">
        <v>10496</v>
      </c>
      <c r="G1386" s="65" t="s">
        <v>10505</v>
      </c>
      <c r="H1386" s="65" t="s">
        <v>10498</v>
      </c>
      <c r="I1386" s="65" t="s">
        <v>10506</v>
      </c>
      <c r="J1386" s="65" t="s">
        <v>10507</v>
      </c>
      <c r="K1386" s="65" t="s">
        <v>10508</v>
      </c>
      <c r="L1386" s="6" t="s">
        <v>1367</v>
      </c>
      <c r="M1386" s="21" t="s">
        <v>1368</v>
      </c>
      <c r="N1386" s="21" t="s">
        <v>1369</v>
      </c>
      <c r="O1386" s="52"/>
      <c r="P1386" s="76" t="s">
        <v>1371</v>
      </c>
    </row>
    <row r="1387" spans="1:33" ht="86.45">
      <c r="A1387" s="253" t="s">
        <v>10509</v>
      </c>
      <c r="B1387" s="403"/>
      <c r="C1387" s="76"/>
      <c r="D1387" s="65" t="s">
        <v>10510</v>
      </c>
      <c r="E1387" s="65" t="s">
        <v>10511</v>
      </c>
      <c r="F1387" s="65" t="s">
        <v>10512</v>
      </c>
      <c r="G1387" s="65" t="s">
        <v>10513</v>
      </c>
      <c r="H1387" s="65" t="s">
        <v>10514</v>
      </c>
      <c r="I1387" s="65" t="s">
        <v>10515</v>
      </c>
      <c r="J1387" s="65" t="s">
        <v>10516</v>
      </c>
      <c r="K1387" s="65" t="s">
        <v>10517</v>
      </c>
      <c r="L1387" s="6" t="s">
        <v>1367</v>
      </c>
      <c r="M1387" s="21" t="s">
        <v>1368</v>
      </c>
      <c r="N1387" s="21" t="s">
        <v>1369</v>
      </c>
      <c r="O1387" s="52"/>
      <c r="P1387" s="76" t="s">
        <v>22</v>
      </c>
    </row>
    <row r="1388" spans="1:33" ht="57.6">
      <c r="A1388" s="253" t="s">
        <v>10518</v>
      </c>
      <c r="B1388" s="403"/>
      <c r="C1388" s="76"/>
      <c r="D1388" s="65" t="s">
        <v>10519</v>
      </c>
      <c r="E1388" s="65" t="s">
        <v>10520</v>
      </c>
      <c r="F1388" s="65" t="s">
        <v>10521</v>
      </c>
      <c r="G1388" s="65" t="s">
        <v>10522</v>
      </c>
      <c r="H1388" s="65" t="s">
        <v>10523</v>
      </c>
      <c r="I1388" s="65" t="s">
        <v>10524</v>
      </c>
      <c r="J1388" s="65" t="s">
        <v>8898</v>
      </c>
      <c r="K1388" s="65" t="s">
        <v>10525</v>
      </c>
      <c r="L1388" s="6" t="s">
        <v>1367</v>
      </c>
      <c r="M1388" s="21" t="s">
        <v>1368</v>
      </c>
      <c r="N1388" s="21" t="s">
        <v>1369</v>
      </c>
      <c r="O1388" s="52"/>
      <c r="P1388" s="76" t="s">
        <v>1371</v>
      </c>
    </row>
    <row r="1389" spans="1:33" ht="57.6">
      <c r="A1389" s="253" t="s">
        <v>10526</v>
      </c>
      <c r="B1389" s="403"/>
      <c r="C1389" s="76"/>
      <c r="D1389" s="65" t="s">
        <v>10527</v>
      </c>
      <c r="E1389" s="65" t="s">
        <v>10528</v>
      </c>
      <c r="F1389" s="65" t="s">
        <v>10529</v>
      </c>
      <c r="G1389" s="65" t="s">
        <v>10530</v>
      </c>
      <c r="H1389" s="65" t="s">
        <v>10498</v>
      </c>
      <c r="I1389" s="65" t="s">
        <v>10531</v>
      </c>
      <c r="J1389" s="65" t="s">
        <v>10532</v>
      </c>
      <c r="K1389" s="65" t="s">
        <v>10533</v>
      </c>
      <c r="L1389" s="6" t="s">
        <v>1367</v>
      </c>
      <c r="M1389" s="21" t="s">
        <v>1368</v>
      </c>
      <c r="N1389" s="21" t="s">
        <v>1369</v>
      </c>
      <c r="O1389" s="52"/>
      <c r="P1389" s="76" t="s">
        <v>22</v>
      </c>
    </row>
    <row r="1390" spans="1:33" ht="57.6">
      <c r="A1390" s="253" t="s">
        <v>10534</v>
      </c>
      <c r="B1390" s="403"/>
      <c r="C1390" s="76"/>
      <c r="D1390" s="65" t="s">
        <v>10535</v>
      </c>
      <c r="E1390" s="65" t="s">
        <v>10536</v>
      </c>
      <c r="F1390" s="65" t="s">
        <v>10537</v>
      </c>
      <c r="G1390" s="65" t="s">
        <v>10538</v>
      </c>
      <c r="H1390" s="65" t="s">
        <v>10539</v>
      </c>
      <c r="I1390" s="65" t="s">
        <v>10540</v>
      </c>
      <c r="J1390" s="65" t="s">
        <v>10541</v>
      </c>
      <c r="K1390" s="65" t="s">
        <v>10542</v>
      </c>
      <c r="L1390" s="6" t="s">
        <v>1367</v>
      </c>
      <c r="M1390" s="21" t="s">
        <v>1368</v>
      </c>
      <c r="N1390" s="21" t="s">
        <v>1369</v>
      </c>
      <c r="O1390" s="52"/>
      <c r="P1390" s="76" t="s">
        <v>22</v>
      </c>
    </row>
    <row r="1391" spans="1:33" ht="57.6">
      <c r="A1391" s="253" t="s">
        <v>10543</v>
      </c>
      <c r="B1391" s="403"/>
      <c r="C1391" s="76"/>
      <c r="D1391" s="65" t="s">
        <v>10544</v>
      </c>
      <c r="E1391" s="65" t="s">
        <v>10545</v>
      </c>
      <c r="F1391" s="65" t="s">
        <v>10529</v>
      </c>
      <c r="G1391" s="65" t="s">
        <v>10546</v>
      </c>
      <c r="H1391" s="65" t="s">
        <v>10547</v>
      </c>
      <c r="I1391" s="65" t="s">
        <v>10548</v>
      </c>
      <c r="J1391" s="65" t="s">
        <v>10549</v>
      </c>
      <c r="K1391" s="65" t="s">
        <v>10550</v>
      </c>
      <c r="L1391" s="6" t="s">
        <v>1367</v>
      </c>
      <c r="M1391" s="21" t="s">
        <v>1368</v>
      </c>
      <c r="N1391" s="21" t="s">
        <v>1369</v>
      </c>
      <c r="O1391" s="52"/>
      <c r="P1391" s="76" t="s">
        <v>22</v>
      </c>
    </row>
    <row r="1392" spans="1:33" ht="86.45">
      <c r="A1392" s="253" t="s">
        <v>10551</v>
      </c>
      <c r="B1392" s="403"/>
      <c r="C1392" s="76"/>
      <c r="D1392" s="65" t="s">
        <v>10552</v>
      </c>
      <c r="E1392" s="65" t="s">
        <v>10553</v>
      </c>
      <c r="F1392" s="65" t="s">
        <v>10554</v>
      </c>
      <c r="G1392" s="65" t="s">
        <v>10555</v>
      </c>
      <c r="H1392" s="65" t="s">
        <v>10556</v>
      </c>
      <c r="I1392" s="65" t="s">
        <v>10557</v>
      </c>
      <c r="J1392" s="65" t="s">
        <v>10558</v>
      </c>
      <c r="K1392" s="65" t="s">
        <v>10559</v>
      </c>
      <c r="L1392" s="6" t="s">
        <v>1367</v>
      </c>
      <c r="M1392" s="21" t="s">
        <v>1368</v>
      </c>
      <c r="N1392" s="21" t="s">
        <v>1369</v>
      </c>
      <c r="O1392" s="52"/>
      <c r="P1392" s="76" t="s">
        <v>22</v>
      </c>
    </row>
    <row r="1393" spans="1:16" ht="57.6">
      <c r="A1393" s="253" t="s">
        <v>10560</v>
      </c>
      <c r="B1393" s="403"/>
      <c r="C1393" s="76"/>
      <c r="D1393" s="65" t="s">
        <v>10561</v>
      </c>
      <c r="E1393" s="65" t="s">
        <v>10562</v>
      </c>
      <c r="F1393" s="65" t="s">
        <v>10563</v>
      </c>
      <c r="G1393" s="65" t="s">
        <v>10564</v>
      </c>
      <c r="H1393" s="65" t="s">
        <v>10565</v>
      </c>
      <c r="I1393" s="65" t="s">
        <v>10566</v>
      </c>
      <c r="J1393" s="65" t="s">
        <v>10567</v>
      </c>
      <c r="K1393" s="65" t="s">
        <v>10568</v>
      </c>
      <c r="L1393" s="6" t="s">
        <v>1367</v>
      </c>
      <c r="M1393" s="21" t="s">
        <v>1368</v>
      </c>
      <c r="N1393" s="21" t="s">
        <v>1369</v>
      </c>
      <c r="O1393" s="52"/>
      <c r="P1393" s="76" t="s">
        <v>1371</v>
      </c>
    </row>
    <row r="1394" spans="1:16" ht="72">
      <c r="A1394" s="253" t="s">
        <v>10569</v>
      </c>
      <c r="B1394" s="403"/>
      <c r="C1394" s="76"/>
      <c r="D1394" s="65" t="s">
        <v>10570</v>
      </c>
      <c r="E1394" s="65" t="s">
        <v>10571</v>
      </c>
      <c r="F1394" s="65" t="s">
        <v>10572</v>
      </c>
      <c r="G1394" s="65" t="s">
        <v>10573</v>
      </c>
      <c r="H1394" s="65" t="s">
        <v>10574</v>
      </c>
      <c r="I1394" s="65" t="s">
        <v>10575</v>
      </c>
      <c r="J1394" s="65" t="s">
        <v>10576</v>
      </c>
      <c r="K1394" s="65" t="s">
        <v>10577</v>
      </c>
      <c r="L1394" s="6" t="s">
        <v>1367</v>
      </c>
      <c r="M1394" s="21" t="s">
        <v>1368</v>
      </c>
      <c r="N1394" s="21" t="s">
        <v>1369</v>
      </c>
      <c r="O1394" s="52"/>
      <c r="P1394" s="76" t="s">
        <v>1393</v>
      </c>
    </row>
    <row r="1395" spans="1:16" ht="72">
      <c r="A1395" s="253" t="s">
        <v>10578</v>
      </c>
      <c r="B1395" s="403"/>
      <c r="C1395" s="76"/>
      <c r="D1395" s="65" t="s">
        <v>10579</v>
      </c>
      <c r="E1395" s="65" t="s">
        <v>10580</v>
      </c>
      <c r="F1395" s="65" t="s">
        <v>10581</v>
      </c>
      <c r="G1395" s="65" t="s">
        <v>10582</v>
      </c>
      <c r="H1395" s="65" t="s">
        <v>10583</v>
      </c>
      <c r="I1395" s="65" t="s">
        <v>10584</v>
      </c>
      <c r="J1395" s="65" t="s">
        <v>10585</v>
      </c>
      <c r="K1395" s="65" t="s">
        <v>10586</v>
      </c>
      <c r="L1395" s="6" t="s">
        <v>1367</v>
      </c>
      <c r="M1395" s="21" t="s">
        <v>1368</v>
      </c>
      <c r="N1395" s="21" t="s">
        <v>1369</v>
      </c>
      <c r="O1395" s="52"/>
      <c r="P1395" s="76" t="s">
        <v>22</v>
      </c>
    </row>
    <row r="1396" spans="1:16" ht="72">
      <c r="A1396" s="253" t="s">
        <v>10587</v>
      </c>
      <c r="B1396" s="403"/>
      <c r="C1396" s="76"/>
      <c r="D1396" s="65" t="s">
        <v>10588</v>
      </c>
      <c r="E1396" s="65" t="s">
        <v>10589</v>
      </c>
      <c r="F1396" s="65" t="s">
        <v>10590</v>
      </c>
      <c r="G1396" s="65" t="s">
        <v>10591</v>
      </c>
      <c r="H1396" s="65" t="s">
        <v>10592</v>
      </c>
      <c r="I1396" s="65" t="s">
        <v>10593</v>
      </c>
      <c r="J1396" s="65" t="s">
        <v>10594</v>
      </c>
      <c r="K1396" s="65" t="s">
        <v>10595</v>
      </c>
      <c r="L1396" s="6" t="s">
        <v>1367</v>
      </c>
      <c r="M1396" s="21" t="s">
        <v>1368</v>
      </c>
      <c r="N1396" s="21" t="s">
        <v>1369</v>
      </c>
      <c r="O1396" s="52"/>
      <c r="P1396" s="76" t="s">
        <v>22</v>
      </c>
    </row>
    <row r="1397" spans="1:16" ht="57.6">
      <c r="A1397" s="253" t="s">
        <v>10596</v>
      </c>
      <c r="B1397" s="403"/>
      <c r="C1397" s="76"/>
      <c r="D1397" s="65" t="s">
        <v>10597</v>
      </c>
      <c r="E1397" s="65" t="s">
        <v>10598</v>
      </c>
      <c r="F1397" s="65" t="s">
        <v>10599</v>
      </c>
      <c r="G1397" s="65" t="s">
        <v>10600</v>
      </c>
      <c r="H1397" s="65" t="s">
        <v>10601</v>
      </c>
      <c r="I1397" s="65" t="s">
        <v>10602</v>
      </c>
      <c r="J1397" s="65" t="s">
        <v>10603</v>
      </c>
      <c r="K1397" s="65" t="s">
        <v>10604</v>
      </c>
      <c r="L1397" s="6" t="s">
        <v>1367</v>
      </c>
      <c r="M1397" s="21" t="s">
        <v>1368</v>
      </c>
      <c r="N1397" s="21" t="s">
        <v>1369</v>
      </c>
      <c r="O1397" s="52"/>
      <c r="P1397" s="76" t="s">
        <v>22</v>
      </c>
    </row>
    <row r="1398" spans="1:16" ht="57.6">
      <c r="A1398" s="253" t="s">
        <v>10605</v>
      </c>
      <c r="B1398" s="403"/>
      <c r="C1398" s="76"/>
      <c r="D1398" s="65" t="s">
        <v>10606</v>
      </c>
      <c r="E1398" s="65" t="s">
        <v>10607</v>
      </c>
      <c r="F1398" s="65" t="s">
        <v>10608</v>
      </c>
      <c r="G1398" s="65" t="s">
        <v>10609</v>
      </c>
      <c r="H1398" s="65" t="s">
        <v>10583</v>
      </c>
      <c r="I1398" s="65" t="s">
        <v>10610</v>
      </c>
      <c r="J1398" s="65" t="s">
        <v>10611</v>
      </c>
      <c r="K1398" s="65" t="s">
        <v>10612</v>
      </c>
      <c r="L1398" s="6" t="s">
        <v>1367</v>
      </c>
      <c r="M1398" s="21" t="s">
        <v>1368</v>
      </c>
      <c r="N1398" s="21" t="s">
        <v>1369</v>
      </c>
      <c r="O1398" s="52"/>
      <c r="P1398" s="76" t="s">
        <v>22</v>
      </c>
    </row>
    <row r="1399" spans="1:16" ht="72">
      <c r="A1399" s="253" t="s">
        <v>10613</v>
      </c>
      <c r="B1399" s="403"/>
      <c r="C1399" s="76"/>
      <c r="D1399" s="65" t="s">
        <v>10614</v>
      </c>
      <c r="E1399" s="65" t="s">
        <v>10615</v>
      </c>
      <c r="F1399" s="65" t="s">
        <v>10616</v>
      </c>
      <c r="G1399" s="65" t="s">
        <v>10617</v>
      </c>
      <c r="H1399" s="65" t="s">
        <v>10618</v>
      </c>
      <c r="I1399" s="65" t="s">
        <v>10619</v>
      </c>
      <c r="J1399" s="65" t="s">
        <v>10620</v>
      </c>
      <c r="K1399" s="65" t="s">
        <v>10621</v>
      </c>
      <c r="L1399" s="6" t="s">
        <v>1367</v>
      </c>
      <c r="M1399" s="21" t="s">
        <v>1368</v>
      </c>
      <c r="N1399" s="21" t="s">
        <v>1369</v>
      </c>
      <c r="O1399" s="52"/>
      <c r="P1399" s="76" t="s">
        <v>1371</v>
      </c>
    </row>
    <row r="1400" spans="1:16" ht="72">
      <c r="A1400" s="253" t="s">
        <v>10622</v>
      </c>
      <c r="B1400" s="403"/>
      <c r="C1400" s="76"/>
      <c r="D1400" s="65" t="s">
        <v>10623</v>
      </c>
      <c r="E1400" s="65" t="s">
        <v>10624</v>
      </c>
      <c r="F1400" s="65" t="s">
        <v>10625</v>
      </c>
      <c r="G1400" s="65" t="s">
        <v>10626</v>
      </c>
      <c r="H1400" s="65" t="s">
        <v>10627</v>
      </c>
      <c r="I1400" s="65" t="s">
        <v>10628</v>
      </c>
      <c r="J1400" s="65" t="s">
        <v>10629</v>
      </c>
      <c r="K1400" s="65" t="s">
        <v>10630</v>
      </c>
      <c r="L1400" s="6" t="s">
        <v>1367</v>
      </c>
      <c r="M1400" s="21" t="s">
        <v>1368</v>
      </c>
      <c r="N1400" s="21" t="s">
        <v>1369</v>
      </c>
      <c r="O1400" s="52"/>
      <c r="P1400" s="76" t="s">
        <v>1371</v>
      </c>
    </row>
    <row r="1401" spans="1:16" ht="57.6">
      <c r="A1401" s="253" t="s">
        <v>10631</v>
      </c>
      <c r="B1401" s="403"/>
      <c r="C1401" s="76"/>
      <c r="D1401" s="65" t="s">
        <v>10632</v>
      </c>
      <c r="E1401" s="65" t="s">
        <v>10633</v>
      </c>
      <c r="F1401" s="65" t="s">
        <v>10634</v>
      </c>
      <c r="G1401" s="65" t="s">
        <v>10635</v>
      </c>
      <c r="H1401" s="65" t="s">
        <v>10636</v>
      </c>
      <c r="I1401" s="65" t="s">
        <v>10637</v>
      </c>
      <c r="J1401" s="65" t="s">
        <v>10638</v>
      </c>
      <c r="K1401" s="65" t="s">
        <v>10639</v>
      </c>
      <c r="L1401" s="6" t="s">
        <v>1367</v>
      </c>
      <c r="M1401" s="21" t="s">
        <v>1368</v>
      </c>
      <c r="N1401" s="21" t="s">
        <v>1369</v>
      </c>
      <c r="O1401" s="52"/>
      <c r="P1401" s="76" t="s">
        <v>22</v>
      </c>
    </row>
    <row r="1402" spans="1:16" ht="43.15">
      <c r="A1402" s="253" t="s">
        <v>10640</v>
      </c>
      <c r="B1402" s="403"/>
      <c r="C1402" s="76"/>
      <c r="D1402" s="65" t="s">
        <v>10641</v>
      </c>
      <c r="E1402" s="65" t="s">
        <v>10642</v>
      </c>
      <c r="F1402" s="65" t="s">
        <v>10643</v>
      </c>
      <c r="G1402" s="65" t="s">
        <v>10644</v>
      </c>
      <c r="H1402" s="65" t="s">
        <v>10645</v>
      </c>
      <c r="I1402" s="65" t="s">
        <v>10646</v>
      </c>
      <c r="J1402" s="65" t="s">
        <v>10647</v>
      </c>
      <c r="K1402" s="65" t="s">
        <v>10648</v>
      </c>
      <c r="L1402" s="6" t="s">
        <v>1367</v>
      </c>
      <c r="M1402" s="21" t="s">
        <v>1368</v>
      </c>
      <c r="N1402" s="21" t="s">
        <v>1369</v>
      </c>
      <c r="O1402" s="52"/>
      <c r="P1402" s="76" t="s">
        <v>22</v>
      </c>
    </row>
    <row r="1403" spans="1:16" ht="57.6">
      <c r="A1403" s="253" t="s">
        <v>10649</v>
      </c>
      <c r="B1403" s="403"/>
      <c r="C1403" s="76"/>
      <c r="D1403" s="65" t="s">
        <v>10650</v>
      </c>
      <c r="E1403" s="65" t="s">
        <v>10651</v>
      </c>
      <c r="F1403" s="65" t="s">
        <v>10652</v>
      </c>
      <c r="G1403" s="65" t="s">
        <v>10653</v>
      </c>
      <c r="H1403" s="65" t="s">
        <v>10654</v>
      </c>
      <c r="I1403" s="65" t="s">
        <v>10481</v>
      </c>
      <c r="J1403" s="65" t="s">
        <v>10655</v>
      </c>
      <c r="K1403" s="65" t="s">
        <v>10656</v>
      </c>
      <c r="L1403" s="6" t="s">
        <v>1367</v>
      </c>
      <c r="M1403" s="21" t="s">
        <v>1368</v>
      </c>
      <c r="N1403" s="21" t="s">
        <v>1369</v>
      </c>
      <c r="O1403" s="52"/>
      <c r="P1403" s="76" t="s">
        <v>22</v>
      </c>
    </row>
    <row r="1404" spans="1:16" ht="43.15">
      <c r="A1404" s="253" t="s">
        <v>10657</v>
      </c>
      <c r="B1404" s="403"/>
      <c r="C1404" s="76"/>
      <c r="D1404" s="65" t="s">
        <v>10658</v>
      </c>
      <c r="E1404" s="65" t="s">
        <v>10659</v>
      </c>
      <c r="F1404" s="65" t="s">
        <v>10660</v>
      </c>
      <c r="G1404" s="65" t="s">
        <v>10661</v>
      </c>
      <c r="H1404" s="65" t="s">
        <v>10662</v>
      </c>
      <c r="I1404" s="65" t="s">
        <v>10663</v>
      </c>
      <c r="J1404" s="65" t="s">
        <v>10664</v>
      </c>
      <c r="K1404" s="65" t="s">
        <v>10665</v>
      </c>
      <c r="L1404" s="6" t="s">
        <v>1367</v>
      </c>
      <c r="M1404" s="21" t="s">
        <v>1368</v>
      </c>
      <c r="N1404" s="21" t="s">
        <v>1369</v>
      </c>
      <c r="O1404" s="52"/>
      <c r="P1404" s="76" t="s">
        <v>22</v>
      </c>
    </row>
    <row r="1405" spans="1:16" ht="43.15">
      <c r="A1405" s="253" t="s">
        <v>10666</v>
      </c>
      <c r="B1405" s="403"/>
      <c r="C1405" s="76"/>
      <c r="D1405" s="65" t="s">
        <v>10667</v>
      </c>
      <c r="E1405" s="65" t="s">
        <v>10668</v>
      </c>
      <c r="F1405" s="65" t="s">
        <v>10669</v>
      </c>
      <c r="G1405" s="65" t="s">
        <v>10670</v>
      </c>
      <c r="H1405" s="65" t="s">
        <v>10671</v>
      </c>
      <c r="I1405" s="65" t="s">
        <v>10672</v>
      </c>
      <c r="J1405" s="65" t="s">
        <v>10673</v>
      </c>
      <c r="K1405" s="65" t="s">
        <v>10674</v>
      </c>
      <c r="L1405" s="6" t="s">
        <v>1367</v>
      </c>
      <c r="M1405" s="21" t="s">
        <v>1368</v>
      </c>
      <c r="N1405" s="21" t="s">
        <v>1369</v>
      </c>
      <c r="O1405" s="52"/>
      <c r="P1405" s="76" t="s">
        <v>22</v>
      </c>
    </row>
    <row r="1406" spans="1:16" ht="28.9">
      <c r="A1406" s="253" t="s">
        <v>10675</v>
      </c>
      <c r="B1406" s="403"/>
      <c r="C1406" s="76"/>
      <c r="D1406" s="65" t="s">
        <v>10676</v>
      </c>
      <c r="E1406" s="65" t="s">
        <v>10677</v>
      </c>
      <c r="F1406" s="65" t="s">
        <v>10669</v>
      </c>
      <c r="G1406" s="65" t="s">
        <v>10505</v>
      </c>
      <c r="H1406" s="65" t="s">
        <v>10671</v>
      </c>
      <c r="I1406" s="65" t="s">
        <v>10678</v>
      </c>
      <c r="J1406" s="65" t="s">
        <v>10679</v>
      </c>
      <c r="K1406" s="65" t="s">
        <v>10680</v>
      </c>
      <c r="L1406" s="6" t="s">
        <v>1367</v>
      </c>
      <c r="M1406" s="21" t="s">
        <v>1368</v>
      </c>
      <c r="N1406" s="21" t="s">
        <v>1369</v>
      </c>
      <c r="O1406" s="52"/>
      <c r="P1406" s="76" t="s">
        <v>1371</v>
      </c>
    </row>
    <row r="1407" spans="1:16" ht="57.6">
      <c r="A1407" s="253" t="s">
        <v>10681</v>
      </c>
      <c r="B1407" s="403"/>
      <c r="C1407" s="76"/>
      <c r="D1407" s="65" t="s">
        <v>10682</v>
      </c>
      <c r="E1407" s="65" t="s">
        <v>10683</v>
      </c>
      <c r="F1407" s="65" t="s">
        <v>10684</v>
      </c>
      <c r="G1407" s="65" t="s">
        <v>10685</v>
      </c>
      <c r="H1407" s="65" t="s">
        <v>10686</v>
      </c>
      <c r="I1407" s="65" t="s">
        <v>10687</v>
      </c>
      <c r="J1407" s="65" t="s">
        <v>10678</v>
      </c>
      <c r="K1407" s="65" t="s">
        <v>10688</v>
      </c>
      <c r="L1407" s="6" t="s">
        <v>1367</v>
      </c>
      <c r="M1407" s="21" t="s">
        <v>1368</v>
      </c>
      <c r="N1407" s="21" t="s">
        <v>1369</v>
      </c>
      <c r="O1407" s="52"/>
      <c r="P1407" s="76" t="s">
        <v>1393</v>
      </c>
    </row>
    <row r="1408" spans="1:16" ht="86.45">
      <c r="A1408" s="253" t="s">
        <v>10689</v>
      </c>
      <c r="B1408" s="403"/>
      <c r="C1408" s="76"/>
      <c r="D1408" s="65" t="s">
        <v>10690</v>
      </c>
      <c r="E1408" s="65" t="s">
        <v>10691</v>
      </c>
      <c r="F1408" s="65" t="s">
        <v>10692</v>
      </c>
      <c r="G1408" s="65" t="s">
        <v>10693</v>
      </c>
      <c r="H1408" s="65" t="s">
        <v>10694</v>
      </c>
      <c r="I1408" s="65" t="s">
        <v>10695</v>
      </c>
      <c r="J1408" s="65" t="s">
        <v>10696</v>
      </c>
      <c r="K1408" s="65" t="s">
        <v>10697</v>
      </c>
      <c r="L1408" s="6" t="s">
        <v>1367</v>
      </c>
      <c r="M1408" s="21" t="s">
        <v>1368</v>
      </c>
      <c r="N1408" s="21" t="s">
        <v>1369</v>
      </c>
      <c r="O1408" s="52"/>
      <c r="P1408" s="76" t="s">
        <v>22</v>
      </c>
    </row>
    <row r="1409" spans="1:33" ht="43.15">
      <c r="A1409" s="253" t="s">
        <v>10698</v>
      </c>
      <c r="B1409" s="403"/>
      <c r="C1409" s="76"/>
      <c r="D1409" s="65" t="s">
        <v>10699</v>
      </c>
      <c r="E1409" s="65" t="s">
        <v>10520</v>
      </c>
      <c r="F1409" s="65" t="s">
        <v>10700</v>
      </c>
      <c r="G1409" s="65" t="s">
        <v>10701</v>
      </c>
      <c r="H1409" s="65" t="s">
        <v>10702</v>
      </c>
      <c r="I1409" s="65" t="s">
        <v>10703</v>
      </c>
      <c r="J1409" s="65" t="s">
        <v>10704</v>
      </c>
      <c r="K1409" s="65" t="s">
        <v>10705</v>
      </c>
      <c r="L1409" s="6" t="s">
        <v>1367</v>
      </c>
      <c r="M1409" s="21" t="s">
        <v>1368</v>
      </c>
      <c r="N1409" s="21" t="s">
        <v>1369</v>
      </c>
      <c r="O1409" s="52"/>
      <c r="P1409" s="76" t="s">
        <v>1371</v>
      </c>
    </row>
    <row r="1410" spans="1:33" ht="57.6">
      <c r="A1410" s="253" t="s">
        <v>10706</v>
      </c>
      <c r="B1410" s="403"/>
      <c r="C1410" s="76"/>
      <c r="D1410" s="65" t="s">
        <v>10707</v>
      </c>
      <c r="E1410" s="65" t="s">
        <v>10708</v>
      </c>
      <c r="F1410" s="65" t="s">
        <v>10660</v>
      </c>
      <c r="G1410" s="65" t="s">
        <v>10709</v>
      </c>
      <c r="H1410" s="65" t="s">
        <v>10671</v>
      </c>
      <c r="I1410" s="65" t="s">
        <v>10710</v>
      </c>
      <c r="J1410" s="65" t="s">
        <v>10711</v>
      </c>
      <c r="K1410" s="65" t="s">
        <v>10712</v>
      </c>
      <c r="L1410" s="6" t="s">
        <v>1367</v>
      </c>
      <c r="M1410" s="21" t="s">
        <v>1368</v>
      </c>
      <c r="N1410" s="21" t="s">
        <v>1369</v>
      </c>
      <c r="O1410" s="52"/>
      <c r="P1410" s="76" t="s">
        <v>22</v>
      </c>
    </row>
    <row r="1411" spans="1:33" ht="57.6">
      <c r="A1411" s="253" t="s">
        <v>10713</v>
      </c>
      <c r="B1411" s="403"/>
      <c r="C1411" s="76"/>
      <c r="D1411" s="65" t="s">
        <v>10714</v>
      </c>
      <c r="E1411" s="65" t="s">
        <v>10715</v>
      </c>
      <c r="F1411" s="65" t="s">
        <v>10716</v>
      </c>
      <c r="G1411" s="65" t="s">
        <v>10717</v>
      </c>
      <c r="H1411" s="65" t="s">
        <v>10718</v>
      </c>
      <c r="I1411" s="65" t="s">
        <v>10719</v>
      </c>
      <c r="J1411" s="65" t="s">
        <v>10720</v>
      </c>
      <c r="K1411" s="65" t="s">
        <v>10721</v>
      </c>
      <c r="L1411" s="6" t="s">
        <v>1367</v>
      </c>
      <c r="M1411" s="21" t="s">
        <v>1368</v>
      </c>
      <c r="N1411" s="21" t="s">
        <v>1369</v>
      </c>
      <c r="O1411" s="52"/>
      <c r="P1411" s="76" t="s">
        <v>22</v>
      </c>
    </row>
    <row r="1412" spans="1:33" ht="43.15">
      <c r="A1412" s="253" t="s">
        <v>10722</v>
      </c>
      <c r="B1412" s="403"/>
      <c r="C1412" s="76"/>
      <c r="D1412" s="65" t="s">
        <v>10723</v>
      </c>
      <c r="E1412" s="65" t="s">
        <v>10724</v>
      </c>
      <c r="F1412" s="65" t="s">
        <v>10725</v>
      </c>
      <c r="G1412" s="65" t="s">
        <v>10726</v>
      </c>
      <c r="H1412" s="65" t="s">
        <v>10727</v>
      </c>
      <c r="I1412" s="65" t="s">
        <v>10728</v>
      </c>
      <c r="J1412" s="65" t="s">
        <v>10729</v>
      </c>
      <c r="K1412" s="65" t="s">
        <v>10730</v>
      </c>
      <c r="L1412" s="6" t="s">
        <v>1367</v>
      </c>
      <c r="M1412" s="21" t="s">
        <v>1368</v>
      </c>
      <c r="N1412" s="21" t="s">
        <v>1369</v>
      </c>
      <c r="O1412" s="52"/>
      <c r="P1412" s="76" t="s">
        <v>22</v>
      </c>
    </row>
    <row r="1413" spans="1:33" ht="43.15">
      <c r="A1413" s="253" t="s">
        <v>10731</v>
      </c>
      <c r="B1413" s="403"/>
      <c r="C1413" s="76"/>
      <c r="D1413" s="65" t="s">
        <v>10732</v>
      </c>
      <c r="E1413" s="65" t="s">
        <v>10733</v>
      </c>
      <c r="F1413" s="65" t="s">
        <v>10734</v>
      </c>
      <c r="G1413" s="65" t="s">
        <v>10735</v>
      </c>
      <c r="H1413" s="65" t="s">
        <v>10736</v>
      </c>
      <c r="I1413" s="65" t="s">
        <v>10737</v>
      </c>
      <c r="J1413" s="65" t="s">
        <v>10738</v>
      </c>
      <c r="K1413" s="65" t="s">
        <v>10739</v>
      </c>
      <c r="L1413" s="6" t="s">
        <v>1367</v>
      </c>
      <c r="M1413" s="21" t="s">
        <v>1368</v>
      </c>
      <c r="N1413" s="21" t="s">
        <v>1369</v>
      </c>
      <c r="O1413" s="52"/>
      <c r="P1413" s="76" t="s">
        <v>22</v>
      </c>
    </row>
    <row r="1414" spans="1:33" ht="57.6">
      <c r="A1414" s="253" t="s">
        <v>10740</v>
      </c>
      <c r="B1414" s="403"/>
      <c r="C1414" s="76"/>
      <c r="D1414" s="65" t="s">
        <v>10741</v>
      </c>
      <c r="E1414" s="65" t="s">
        <v>10742</v>
      </c>
      <c r="F1414" s="65" t="s">
        <v>10743</v>
      </c>
      <c r="G1414" s="65" t="s">
        <v>10744</v>
      </c>
      <c r="H1414" s="65" t="s">
        <v>10745</v>
      </c>
      <c r="I1414" s="65" t="s">
        <v>10746</v>
      </c>
      <c r="J1414" s="65" t="s">
        <v>10747</v>
      </c>
      <c r="K1414" s="65" t="s">
        <v>10748</v>
      </c>
      <c r="L1414" s="6" t="s">
        <v>1367</v>
      </c>
      <c r="M1414" s="21" t="s">
        <v>1368</v>
      </c>
      <c r="N1414" s="21" t="s">
        <v>1369</v>
      </c>
      <c r="O1414" s="52"/>
      <c r="P1414" s="76" t="s">
        <v>1371</v>
      </c>
    </row>
    <row r="1415" spans="1:33" ht="72">
      <c r="A1415" s="253" t="s">
        <v>10749</v>
      </c>
      <c r="B1415" s="403"/>
      <c r="C1415" s="76"/>
      <c r="D1415" s="65" t="s">
        <v>10750</v>
      </c>
      <c r="E1415" s="65" t="s">
        <v>10751</v>
      </c>
      <c r="F1415" s="65" t="s">
        <v>10572</v>
      </c>
      <c r="G1415" s="65" t="s">
        <v>10752</v>
      </c>
      <c r="H1415" s="65" t="s">
        <v>10574</v>
      </c>
      <c r="I1415" s="65" t="s">
        <v>10753</v>
      </c>
      <c r="J1415" s="65" t="s">
        <v>10576</v>
      </c>
      <c r="K1415" s="65" t="s">
        <v>10754</v>
      </c>
      <c r="L1415" s="6" t="s">
        <v>1367</v>
      </c>
      <c r="M1415" s="21" t="s">
        <v>1368</v>
      </c>
      <c r="N1415" s="21" t="s">
        <v>1369</v>
      </c>
      <c r="O1415" s="52"/>
      <c r="P1415" s="76" t="s">
        <v>1393</v>
      </c>
    </row>
    <row r="1416" spans="1:33" ht="72">
      <c r="A1416" s="253" t="s">
        <v>10755</v>
      </c>
      <c r="B1416" s="403"/>
      <c r="C1416" s="76"/>
      <c r="D1416" s="65" t="s">
        <v>10756</v>
      </c>
      <c r="E1416" s="65" t="s">
        <v>10757</v>
      </c>
      <c r="F1416" s="65" t="s">
        <v>10758</v>
      </c>
      <c r="G1416" s="65" t="s">
        <v>10759</v>
      </c>
      <c r="H1416" s="65" t="s">
        <v>10760</v>
      </c>
      <c r="I1416" s="65" t="s">
        <v>10761</v>
      </c>
      <c r="J1416" s="65" t="s">
        <v>10762</v>
      </c>
      <c r="K1416" s="65" t="s">
        <v>10763</v>
      </c>
      <c r="L1416" s="6" t="s">
        <v>1367</v>
      </c>
      <c r="M1416" s="21" t="s">
        <v>1368</v>
      </c>
      <c r="N1416" s="21" t="s">
        <v>1369</v>
      </c>
      <c r="O1416" s="52"/>
      <c r="P1416" s="76" t="s">
        <v>22</v>
      </c>
    </row>
    <row r="1417" spans="1:33" ht="72">
      <c r="A1417" s="253" t="s">
        <v>10764</v>
      </c>
      <c r="B1417" s="403"/>
      <c r="C1417" s="76"/>
      <c r="D1417" s="65" t="s">
        <v>10765</v>
      </c>
      <c r="E1417" s="65" t="s">
        <v>10766</v>
      </c>
      <c r="F1417" s="65" t="s">
        <v>10767</v>
      </c>
      <c r="G1417" s="65" t="s">
        <v>10768</v>
      </c>
      <c r="H1417" s="65" t="s">
        <v>10769</v>
      </c>
      <c r="I1417" s="65" t="s">
        <v>10770</v>
      </c>
      <c r="J1417" s="65" t="s">
        <v>10771</v>
      </c>
      <c r="K1417" s="65" t="s">
        <v>10772</v>
      </c>
      <c r="L1417" s="6" t="s">
        <v>1367</v>
      </c>
      <c r="M1417" s="21" t="s">
        <v>1368</v>
      </c>
      <c r="N1417" s="21" t="s">
        <v>1369</v>
      </c>
      <c r="O1417" s="52"/>
      <c r="P1417" s="76" t="s">
        <v>22</v>
      </c>
    </row>
    <row r="1418" spans="1:33" ht="57.6">
      <c r="A1418" s="253" t="s">
        <v>10773</v>
      </c>
      <c r="B1418" s="403"/>
      <c r="C1418" s="76"/>
      <c r="D1418" s="65" t="s">
        <v>10597</v>
      </c>
      <c r="E1418" s="65" t="s">
        <v>10774</v>
      </c>
      <c r="F1418" s="65" t="s">
        <v>10775</v>
      </c>
      <c r="G1418" s="65" t="s">
        <v>10776</v>
      </c>
      <c r="H1418" s="65" t="s">
        <v>10777</v>
      </c>
      <c r="I1418" s="65" t="s">
        <v>10778</v>
      </c>
      <c r="J1418" s="65" t="s">
        <v>10779</v>
      </c>
      <c r="K1418" s="65" t="s">
        <v>10780</v>
      </c>
      <c r="L1418" s="6" t="s">
        <v>1367</v>
      </c>
      <c r="M1418" s="21" t="s">
        <v>1368</v>
      </c>
      <c r="N1418" s="21" t="s">
        <v>1369</v>
      </c>
      <c r="O1418" s="52"/>
      <c r="P1418" s="76" t="s">
        <v>22</v>
      </c>
    </row>
    <row r="1419" spans="1:33" ht="57.6">
      <c r="A1419" s="253" t="s">
        <v>10781</v>
      </c>
      <c r="B1419" s="403"/>
      <c r="C1419" s="76"/>
      <c r="D1419" s="65" t="s">
        <v>10606</v>
      </c>
      <c r="E1419" s="65" t="s">
        <v>10782</v>
      </c>
      <c r="F1419" s="65" t="s">
        <v>10783</v>
      </c>
      <c r="G1419" s="65" t="s">
        <v>10784</v>
      </c>
      <c r="H1419" s="65" t="s">
        <v>10662</v>
      </c>
      <c r="I1419" s="65" t="s">
        <v>10785</v>
      </c>
      <c r="J1419" s="65" t="s">
        <v>10786</v>
      </c>
      <c r="K1419" s="65" t="s">
        <v>10787</v>
      </c>
      <c r="L1419" s="6" t="s">
        <v>1367</v>
      </c>
      <c r="M1419" s="21" t="s">
        <v>1368</v>
      </c>
      <c r="N1419" s="21" t="s">
        <v>1369</v>
      </c>
      <c r="O1419" s="52"/>
      <c r="P1419" s="76" t="s">
        <v>22</v>
      </c>
    </row>
    <row r="1420" spans="1:33" ht="72">
      <c r="A1420" s="253" t="s">
        <v>10788</v>
      </c>
      <c r="B1420" s="403"/>
      <c r="C1420" s="76"/>
      <c r="D1420" s="65" t="s">
        <v>10789</v>
      </c>
      <c r="E1420" s="65" t="s">
        <v>10790</v>
      </c>
      <c r="F1420" s="65" t="s">
        <v>10791</v>
      </c>
      <c r="G1420" s="65" t="s">
        <v>10792</v>
      </c>
      <c r="H1420" s="65" t="s">
        <v>10793</v>
      </c>
      <c r="I1420" s="65" t="s">
        <v>10619</v>
      </c>
      <c r="J1420" s="65" t="s">
        <v>10620</v>
      </c>
      <c r="K1420" s="65" t="s">
        <v>10794</v>
      </c>
      <c r="L1420" s="6" t="s">
        <v>1367</v>
      </c>
      <c r="M1420" s="21" t="s">
        <v>1368</v>
      </c>
      <c r="N1420" s="21" t="s">
        <v>1369</v>
      </c>
      <c r="O1420" s="52"/>
      <c r="P1420" s="76" t="s">
        <v>1371</v>
      </c>
    </row>
    <row r="1421" spans="1:33" ht="72">
      <c r="A1421" s="253" t="s">
        <v>10795</v>
      </c>
      <c r="B1421" s="403"/>
      <c r="C1421" s="76"/>
      <c r="D1421" s="65" t="s">
        <v>10796</v>
      </c>
      <c r="E1421" s="65" t="s">
        <v>10797</v>
      </c>
      <c r="F1421" s="65" t="s">
        <v>10798</v>
      </c>
      <c r="G1421" s="65" t="s">
        <v>10799</v>
      </c>
      <c r="H1421" s="65" t="s">
        <v>10800</v>
      </c>
      <c r="I1421" s="65" t="s">
        <v>10801</v>
      </c>
      <c r="J1421" s="65" t="s">
        <v>10629</v>
      </c>
      <c r="K1421" s="65" t="s">
        <v>10802</v>
      </c>
      <c r="L1421" s="6" t="s">
        <v>1367</v>
      </c>
      <c r="M1421" s="21" t="s">
        <v>1368</v>
      </c>
      <c r="N1421" s="21" t="s">
        <v>1369</v>
      </c>
      <c r="O1421" s="52"/>
      <c r="P1421" s="76" t="s">
        <v>1371</v>
      </c>
      <c r="AG1421" s="52"/>
    </row>
    <row r="1422" spans="1:33">
      <c r="A1422" s="250"/>
      <c r="B1422" s="64"/>
      <c r="C1422" s="76"/>
      <c r="D1422" s="65"/>
      <c r="E1422" s="65"/>
      <c r="F1422" s="65"/>
      <c r="G1422" s="65"/>
      <c r="H1422" s="65"/>
      <c r="I1422" s="65"/>
      <c r="J1422" s="65"/>
      <c r="K1422" s="65"/>
      <c r="L1422" s="147"/>
      <c r="M1422" s="52"/>
      <c r="O1422" s="52"/>
      <c r="P1422" s="76"/>
      <c r="AG1422" s="52"/>
    </row>
    <row r="1423" spans="1:33" s="55" customFormat="1">
      <c r="A1423" s="251"/>
      <c r="B1423" s="121"/>
      <c r="C1423" s="162"/>
      <c r="D1423" s="252"/>
      <c r="E1423" s="252"/>
      <c r="F1423" s="252"/>
      <c r="G1423" s="252"/>
      <c r="H1423" s="252"/>
      <c r="I1423" s="252"/>
      <c r="J1423" s="252"/>
      <c r="K1423" s="252"/>
      <c r="L1423" s="148"/>
      <c r="M1423" s="124"/>
      <c r="O1423" s="52"/>
      <c r="P1423" s="162"/>
      <c r="Q1423" s="62"/>
      <c r="R1423" s="302"/>
      <c r="S1423"/>
      <c r="W1423" s="6"/>
      <c r="X1423" s="6"/>
      <c r="AG1423" s="52"/>
    </row>
    <row r="1424" spans="1:33">
      <c r="A1424" s="250"/>
      <c r="B1424" s="64"/>
      <c r="C1424" s="76"/>
      <c r="D1424" s="65"/>
      <c r="E1424" s="65"/>
      <c r="F1424" s="65"/>
      <c r="G1424" s="65"/>
      <c r="H1424" s="65"/>
      <c r="I1424" s="65"/>
      <c r="J1424" s="65"/>
      <c r="K1424" s="65"/>
      <c r="L1424" s="147"/>
      <c r="M1424" s="52"/>
      <c r="O1424" s="52"/>
      <c r="P1424" s="76"/>
      <c r="W1424" s="71"/>
      <c r="X1424" s="71"/>
    </row>
    <row r="1425" spans="1:16" ht="57.6">
      <c r="A1425" s="253" t="s">
        <v>10803</v>
      </c>
      <c r="B1425" s="404" t="s">
        <v>10804</v>
      </c>
      <c r="C1425" s="76"/>
      <c r="D1425" s="65" t="s">
        <v>10805</v>
      </c>
      <c r="E1425" s="65" t="s">
        <v>10806</v>
      </c>
      <c r="F1425" s="65" t="s">
        <v>10807</v>
      </c>
      <c r="G1425" s="65" t="s">
        <v>10808</v>
      </c>
      <c r="H1425" s="65" t="s">
        <v>8241</v>
      </c>
      <c r="I1425" s="65" t="s">
        <v>10809</v>
      </c>
      <c r="J1425" s="65" t="s">
        <v>10810</v>
      </c>
      <c r="K1425" s="65" t="s">
        <v>10811</v>
      </c>
      <c r="L1425" s="6" t="s">
        <v>1367</v>
      </c>
      <c r="M1425" s="21" t="s">
        <v>1368</v>
      </c>
      <c r="N1425" s="21" t="s">
        <v>1369</v>
      </c>
      <c r="O1425" s="52"/>
      <c r="P1425" s="76" t="s">
        <v>22</v>
      </c>
    </row>
    <row r="1426" spans="1:16" ht="43.15">
      <c r="A1426" s="253" t="s">
        <v>10812</v>
      </c>
      <c r="B1426" s="405"/>
      <c r="C1426" s="76"/>
      <c r="D1426" s="65" t="s">
        <v>10813</v>
      </c>
      <c r="E1426" s="65" t="s">
        <v>10814</v>
      </c>
      <c r="F1426" s="65" t="s">
        <v>10815</v>
      </c>
      <c r="G1426" s="65" t="s">
        <v>10816</v>
      </c>
      <c r="H1426" s="65" t="s">
        <v>10817</v>
      </c>
      <c r="I1426" s="65" t="s">
        <v>10818</v>
      </c>
      <c r="J1426" s="65" t="s">
        <v>10819</v>
      </c>
      <c r="K1426" s="65" t="s">
        <v>10820</v>
      </c>
      <c r="L1426" s="6" t="s">
        <v>1367</v>
      </c>
      <c r="M1426" s="21" t="s">
        <v>1368</v>
      </c>
      <c r="N1426" s="21" t="s">
        <v>1369</v>
      </c>
      <c r="O1426" s="52"/>
      <c r="P1426" s="76" t="s">
        <v>22</v>
      </c>
    </row>
    <row r="1427" spans="1:16" ht="57.6">
      <c r="A1427" s="253" t="s">
        <v>10821</v>
      </c>
      <c r="B1427" s="405"/>
      <c r="C1427" s="76"/>
      <c r="D1427" s="65" t="s">
        <v>10822</v>
      </c>
      <c r="E1427" s="65" t="s">
        <v>10823</v>
      </c>
      <c r="F1427" s="65" t="s">
        <v>10824</v>
      </c>
      <c r="G1427" s="65" t="s">
        <v>10825</v>
      </c>
      <c r="H1427" s="65" t="s">
        <v>10826</v>
      </c>
      <c r="I1427" s="65" t="s">
        <v>10827</v>
      </c>
      <c r="J1427" s="65" t="s">
        <v>10828</v>
      </c>
      <c r="K1427" s="65" t="s">
        <v>10829</v>
      </c>
      <c r="L1427" s="6" t="s">
        <v>1367</v>
      </c>
      <c r="M1427" s="21" t="s">
        <v>1368</v>
      </c>
      <c r="N1427" s="21" t="s">
        <v>4073</v>
      </c>
      <c r="O1427" s="52"/>
      <c r="P1427" s="76" t="s">
        <v>22</v>
      </c>
    </row>
    <row r="1428" spans="1:16" ht="57.6">
      <c r="A1428" s="253" t="s">
        <v>10830</v>
      </c>
      <c r="B1428" s="405"/>
      <c r="C1428" s="76"/>
      <c r="D1428" s="65" t="s">
        <v>10831</v>
      </c>
      <c r="E1428" s="65" t="s">
        <v>10832</v>
      </c>
      <c r="F1428" s="65" t="s">
        <v>10833</v>
      </c>
      <c r="G1428" s="65" t="s">
        <v>10834</v>
      </c>
      <c r="H1428" s="65" t="s">
        <v>10835</v>
      </c>
      <c r="I1428" s="65" t="s">
        <v>10836</v>
      </c>
      <c r="J1428" s="65" t="s">
        <v>10837</v>
      </c>
      <c r="K1428" s="65" t="s">
        <v>10838</v>
      </c>
      <c r="L1428" s="6" t="s">
        <v>1367</v>
      </c>
      <c r="M1428" s="21" t="s">
        <v>1368</v>
      </c>
      <c r="N1428" s="21" t="s">
        <v>4073</v>
      </c>
      <c r="O1428" s="52"/>
      <c r="P1428" s="76" t="s">
        <v>1393</v>
      </c>
    </row>
    <row r="1429" spans="1:16" ht="72">
      <c r="A1429" s="253" t="s">
        <v>10839</v>
      </c>
      <c r="B1429" s="405"/>
      <c r="C1429" s="76"/>
      <c r="D1429" s="65" t="s">
        <v>10840</v>
      </c>
      <c r="E1429" s="65" t="s">
        <v>10841</v>
      </c>
      <c r="F1429" s="65" t="s">
        <v>10842</v>
      </c>
      <c r="G1429" s="65" t="s">
        <v>10843</v>
      </c>
      <c r="H1429" s="65" t="s">
        <v>10844</v>
      </c>
      <c r="I1429" s="65" t="s">
        <v>10845</v>
      </c>
      <c r="J1429" s="65" t="s">
        <v>10846</v>
      </c>
      <c r="K1429" s="65" t="s">
        <v>10847</v>
      </c>
      <c r="L1429" s="6" t="s">
        <v>1367</v>
      </c>
      <c r="M1429" s="21" t="s">
        <v>1368</v>
      </c>
      <c r="N1429" s="21" t="s">
        <v>4073</v>
      </c>
      <c r="O1429" s="52"/>
      <c r="P1429" s="76" t="s">
        <v>22</v>
      </c>
    </row>
    <row r="1430" spans="1:16" ht="57.6">
      <c r="A1430" s="253" t="s">
        <v>10848</v>
      </c>
      <c r="B1430" s="405"/>
      <c r="C1430" s="76"/>
      <c r="D1430" s="65" t="s">
        <v>10849</v>
      </c>
      <c r="E1430" s="65" t="s">
        <v>10850</v>
      </c>
      <c r="F1430" s="65" t="s">
        <v>10851</v>
      </c>
      <c r="G1430" s="65" t="s">
        <v>10852</v>
      </c>
      <c r="H1430" s="65" t="s">
        <v>10853</v>
      </c>
      <c r="I1430" s="65" t="s">
        <v>10854</v>
      </c>
      <c r="J1430" s="65" t="s">
        <v>10855</v>
      </c>
      <c r="K1430" s="65" t="s">
        <v>10856</v>
      </c>
      <c r="L1430" s="6" t="s">
        <v>1367</v>
      </c>
      <c r="M1430" s="21" t="s">
        <v>1368</v>
      </c>
      <c r="N1430" s="21" t="s">
        <v>1369</v>
      </c>
      <c r="O1430" s="52"/>
      <c r="P1430" s="76" t="s">
        <v>22</v>
      </c>
    </row>
    <row r="1431" spans="1:16" ht="72">
      <c r="A1431" s="253" t="s">
        <v>10857</v>
      </c>
      <c r="B1431" s="405"/>
      <c r="C1431" s="76"/>
      <c r="D1431" s="65" t="s">
        <v>10858</v>
      </c>
      <c r="E1431" s="65" t="s">
        <v>10859</v>
      </c>
      <c r="F1431" s="65" t="s">
        <v>10860</v>
      </c>
      <c r="G1431" s="65" t="s">
        <v>10861</v>
      </c>
      <c r="H1431" s="65" t="s">
        <v>10862</v>
      </c>
      <c r="I1431" s="65" t="s">
        <v>10863</v>
      </c>
      <c r="J1431" s="65" t="s">
        <v>10864</v>
      </c>
      <c r="K1431" s="65" t="s">
        <v>10865</v>
      </c>
      <c r="L1431" s="6" t="s">
        <v>1367</v>
      </c>
      <c r="M1431" s="21" t="s">
        <v>1368</v>
      </c>
      <c r="N1431" s="21" t="s">
        <v>4073</v>
      </c>
      <c r="O1431" s="52"/>
      <c r="P1431" s="76" t="s">
        <v>1371</v>
      </c>
    </row>
    <row r="1432" spans="1:16" ht="57.6">
      <c r="A1432" s="253" t="s">
        <v>10866</v>
      </c>
      <c r="B1432" s="405"/>
      <c r="C1432" s="76"/>
      <c r="D1432" s="65" t="s">
        <v>10867</v>
      </c>
      <c r="E1432" s="65" t="s">
        <v>10868</v>
      </c>
      <c r="F1432" s="65" t="s">
        <v>10869</v>
      </c>
      <c r="G1432" s="65" t="s">
        <v>10870</v>
      </c>
      <c r="H1432" s="65" t="s">
        <v>10871</v>
      </c>
      <c r="I1432" s="65" t="s">
        <v>10872</v>
      </c>
      <c r="J1432" s="65" t="s">
        <v>10873</v>
      </c>
      <c r="K1432" s="65" t="s">
        <v>10874</v>
      </c>
      <c r="L1432" s="6" t="s">
        <v>1367</v>
      </c>
      <c r="M1432" s="21" t="s">
        <v>1368</v>
      </c>
      <c r="N1432" s="21" t="s">
        <v>4073</v>
      </c>
      <c r="O1432" s="52"/>
      <c r="P1432" s="76" t="s">
        <v>1371</v>
      </c>
    </row>
    <row r="1433" spans="1:16" ht="57.6">
      <c r="A1433" s="253" t="s">
        <v>10875</v>
      </c>
      <c r="B1433" s="405"/>
      <c r="C1433" s="76"/>
      <c r="D1433" s="65" t="s">
        <v>10876</v>
      </c>
      <c r="E1433" s="65" t="s">
        <v>10877</v>
      </c>
      <c r="F1433" s="65" t="s">
        <v>10878</v>
      </c>
      <c r="G1433" s="65" t="s">
        <v>10879</v>
      </c>
      <c r="H1433" s="65" t="s">
        <v>10880</v>
      </c>
      <c r="I1433" s="65" t="s">
        <v>10881</v>
      </c>
      <c r="J1433" s="65" t="s">
        <v>10882</v>
      </c>
      <c r="K1433" s="65" t="s">
        <v>10883</v>
      </c>
      <c r="L1433" s="6" t="s">
        <v>1367</v>
      </c>
      <c r="M1433" s="21" t="s">
        <v>1368</v>
      </c>
      <c r="N1433" s="21" t="s">
        <v>4073</v>
      </c>
      <c r="O1433" s="52"/>
      <c r="P1433" s="76" t="s">
        <v>22</v>
      </c>
    </row>
    <row r="1434" spans="1:16" ht="72">
      <c r="A1434" s="253" t="s">
        <v>10884</v>
      </c>
      <c r="B1434" s="405"/>
      <c r="C1434" s="76"/>
      <c r="D1434" s="65" t="s">
        <v>10885</v>
      </c>
      <c r="E1434" s="65" t="s">
        <v>10886</v>
      </c>
      <c r="F1434" s="65" t="s">
        <v>10887</v>
      </c>
      <c r="G1434" s="65" t="s">
        <v>10888</v>
      </c>
      <c r="H1434" s="65" t="s">
        <v>10889</v>
      </c>
      <c r="I1434" s="65" t="s">
        <v>10890</v>
      </c>
      <c r="J1434" s="65" t="s">
        <v>10891</v>
      </c>
      <c r="K1434" s="65" t="s">
        <v>10892</v>
      </c>
      <c r="L1434" s="6" t="s">
        <v>1367</v>
      </c>
      <c r="M1434" s="21" t="s">
        <v>1368</v>
      </c>
      <c r="N1434" s="21" t="s">
        <v>4073</v>
      </c>
      <c r="O1434" s="52"/>
      <c r="P1434" s="76" t="s">
        <v>1371</v>
      </c>
    </row>
    <row r="1435" spans="1:16" ht="57.6">
      <c r="A1435" s="253" t="s">
        <v>10893</v>
      </c>
      <c r="B1435" s="405"/>
      <c r="C1435" s="76"/>
      <c r="D1435" s="65" t="s">
        <v>10894</v>
      </c>
      <c r="E1435" s="65" t="s">
        <v>10895</v>
      </c>
      <c r="F1435" s="65" t="s">
        <v>10896</v>
      </c>
      <c r="G1435" s="65" t="s">
        <v>10897</v>
      </c>
      <c r="H1435" s="65" t="s">
        <v>10898</v>
      </c>
      <c r="I1435" s="65" t="s">
        <v>10899</v>
      </c>
      <c r="J1435" s="65" t="s">
        <v>10900</v>
      </c>
      <c r="K1435" s="65" t="s">
        <v>10901</v>
      </c>
      <c r="L1435" s="6" t="s">
        <v>1367</v>
      </c>
      <c r="M1435" s="21" t="s">
        <v>1368</v>
      </c>
      <c r="N1435" s="21" t="s">
        <v>4073</v>
      </c>
      <c r="O1435" s="52"/>
      <c r="P1435" s="76" t="s">
        <v>1371</v>
      </c>
    </row>
    <row r="1436" spans="1:16" ht="57.6">
      <c r="A1436" s="253" t="s">
        <v>10902</v>
      </c>
      <c r="B1436" s="405"/>
      <c r="C1436" s="76"/>
      <c r="D1436" s="65" t="s">
        <v>10903</v>
      </c>
      <c r="E1436" s="65" t="s">
        <v>10904</v>
      </c>
      <c r="F1436" s="65" t="s">
        <v>10905</v>
      </c>
      <c r="G1436" s="65" t="s">
        <v>10906</v>
      </c>
      <c r="H1436" s="65" t="s">
        <v>10098</v>
      </c>
      <c r="I1436" s="65" t="s">
        <v>10907</v>
      </c>
      <c r="J1436" s="65" t="s">
        <v>10576</v>
      </c>
      <c r="K1436" s="65" t="s">
        <v>10908</v>
      </c>
      <c r="L1436" s="6" t="s">
        <v>1367</v>
      </c>
      <c r="M1436" s="21" t="s">
        <v>1368</v>
      </c>
      <c r="N1436" s="21" t="s">
        <v>1369</v>
      </c>
      <c r="O1436" s="52"/>
      <c r="P1436" s="76" t="s">
        <v>1393</v>
      </c>
    </row>
    <row r="1437" spans="1:16" ht="86.45">
      <c r="A1437" s="253" t="s">
        <v>10909</v>
      </c>
      <c r="B1437" s="405"/>
      <c r="C1437" s="76"/>
      <c r="D1437" s="65" t="s">
        <v>10910</v>
      </c>
      <c r="E1437" s="65" t="s">
        <v>10911</v>
      </c>
      <c r="F1437" s="65" t="s">
        <v>10912</v>
      </c>
      <c r="G1437" s="65" t="s">
        <v>10913</v>
      </c>
      <c r="H1437" s="65" t="s">
        <v>10914</v>
      </c>
      <c r="I1437" s="65" t="s">
        <v>10915</v>
      </c>
      <c r="J1437" s="65" t="s">
        <v>10585</v>
      </c>
      <c r="K1437" s="65" t="s">
        <v>10916</v>
      </c>
      <c r="L1437" s="6" t="s">
        <v>1367</v>
      </c>
      <c r="M1437" s="21" t="s">
        <v>1368</v>
      </c>
      <c r="N1437" s="21" t="s">
        <v>4073</v>
      </c>
      <c r="O1437" s="52"/>
      <c r="P1437" s="76" t="s">
        <v>22</v>
      </c>
    </row>
    <row r="1438" spans="1:16" ht="86.45">
      <c r="A1438" s="253" t="s">
        <v>10917</v>
      </c>
      <c r="B1438" s="405"/>
      <c r="C1438" s="76"/>
      <c r="D1438" s="65" t="s">
        <v>10918</v>
      </c>
      <c r="E1438" s="65" t="s">
        <v>10919</v>
      </c>
      <c r="F1438" s="65" t="s">
        <v>10920</v>
      </c>
      <c r="G1438" s="65" t="s">
        <v>10921</v>
      </c>
      <c r="H1438" s="65" t="s">
        <v>10922</v>
      </c>
      <c r="I1438" s="65" t="s">
        <v>10923</v>
      </c>
      <c r="J1438" s="65" t="s">
        <v>10924</v>
      </c>
      <c r="K1438" s="65" t="s">
        <v>10925</v>
      </c>
      <c r="L1438" s="6" t="s">
        <v>1367</v>
      </c>
      <c r="M1438" s="21" t="s">
        <v>1368</v>
      </c>
      <c r="N1438" s="21" t="s">
        <v>1369</v>
      </c>
      <c r="O1438" s="52"/>
      <c r="P1438" s="76" t="s">
        <v>22</v>
      </c>
    </row>
    <row r="1439" spans="1:16" ht="57.6">
      <c r="A1439" s="253" t="s">
        <v>10926</v>
      </c>
      <c r="B1439" s="405"/>
      <c r="C1439" s="76"/>
      <c r="D1439" s="65" t="s">
        <v>10927</v>
      </c>
      <c r="E1439" s="65" t="s">
        <v>10928</v>
      </c>
      <c r="F1439" s="65" t="s">
        <v>10929</v>
      </c>
      <c r="G1439" s="65" t="s">
        <v>10930</v>
      </c>
      <c r="H1439" s="65" t="s">
        <v>10931</v>
      </c>
      <c r="I1439" s="65" t="s">
        <v>10932</v>
      </c>
      <c r="J1439" s="65" t="s">
        <v>10933</v>
      </c>
      <c r="K1439" s="65" t="s">
        <v>10934</v>
      </c>
      <c r="L1439" s="6" t="s">
        <v>1367</v>
      </c>
      <c r="M1439" s="21" t="s">
        <v>1368</v>
      </c>
      <c r="N1439" s="21" t="s">
        <v>4073</v>
      </c>
      <c r="O1439" s="52"/>
      <c r="P1439" s="76" t="s">
        <v>22</v>
      </c>
    </row>
    <row r="1440" spans="1:16" ht="57.6">
      <c r="A1440" s="253" t="s">
        <v>10935</v>
      </c>
      <c r="B1440" s="405"/>
      <c r="C1440" s="76"/>
      <c r="D1440" s="65" t="s">
        <v>10936</v>
      </c>
      <c r="E1440" s="65" t="s">
        <v>10937</v>
      </c>
      <c r="F1440" s="65" t="s">
        <v>10938</v>
      </c>
      <c r="G1440" s="65" t="s">
        <v>10939</v>
      </c>
      <c r="H1440" s="65" t="s">
        <v>10940</v>
      </c>
      <c r="I1440" s="65" t="s">
        <v>10941</v>
      </c>
      <c r="J1440" s="65" t="s">
        <v>10942</v>
      </c>
      <c r="K1440" s="65" t="s">
        <v>10943</v>
      </c>
      <c r="L1440" s="6" t="s">
        <v>1367</v>
      </c>
      <c r="M1440" s="21" t="s">
        <v>1368</v>
      </c>
      <c r="N1440" s="21" t="s">
        <v>4073</v>
      </c>
      <c r="O1440" s="52"/>
      <c r="P1440" s="76" t="s">
        <v>1393</v>
      </c>
    </row>
    <row r="1441" spans="1:33" ht="72">
      <c r="A1441" s="253" t="s">
        <v>10944</v>
      </c>
      <c r="B1441" s="405"/>
      <c r="C1441" s="76"/>
      <c r="D1441" s="65" t="s">
        <v>10945</v>
      </c>
      <c r="E1441" s="65" t="s">
        <v>10946</v>
      </c>
      <c r="F1441" s="65" t="s">
        <v>10947</v>
      </c>
      <c r="G1441" s="65" t="s">
        <v>10948</v>
      </c>
      <c r="H1441" s="65" t="s">
        <v>10949</v>
      </c>
      <c r="I1441" s="65" t="s">
        <v>10950</v>
      </c>
      <c r="J1441" s="65" t="s">
        <v>10951</v>
      </c>
      <c r="K1441" s="65" t="s">
        <v>10952</v>
      </c>
      <c r="L1441" s="6" t="s">
        <v>1367</v>
      </c>
      <c r="M1441" s="21" t="s">
        <v>1368</v>
      </c>
      <c r="N1441" s="21" t="s">
        <v>1369</v>
      </c>
      <c r="O1441" s="52"/>
      <c r="P1441" s="76" t="s">
        <v>1371</v>
      </c>
    </row>
    <row r="1442" spans="1:33" ht="72">
      <c r="A1442" s="253" t="s">
        <v>10953</v>
      </c>
      <c r="B1442" s="405"/>
      <c r="C1442" s="76"/>
      <c r="D1442" s="65" t="s">
        <v>10954</v>
      </c>
      <c r="E1442" s="65" t="s">
        <v>10955</v>
      </c>
      <c r="F1442" s="65" t="s">
        <v>10956</v>
      </c>
      <c r="G1442" s="65" t="s">
        <v>10957</v>
      </c>
      <c r="H1442" s="65" t="s">
        <v>10958</v>
      </c>
      <c r="I1442" s="65" t="s">
        <v>10959</v>
      </c>
      <c r="J1442" s="65" t="s">
        <v>10629</v>
      </c>
      <c r="K1442" s="65" t="s">
        <v>10960</v>
      </c>
      <c r="L1442" s="6" t="s">
        <v>1367</v>
      </c>
      <c r="M1442" s="21" t="s">
        <v>1368</v>
      </c>
      <c r="N1442" s="21" t="s">
        <v>4073</v>
      </c>
      <c r="O1442" s="52"/>
      <c r="P1442" s="76" t="s">
        <v>1371</v>
      </c>
    </row>
    <row r="1444" spans="1:33" s="55" customFormat="1">
      <c r="A1444" s="249"/>
      <c r="C1444" s="62"/>
      <c r="D1444" s="54"/>
      <c r="E1444" s="54"/>
      <c r="F1444" s="54"/>
      <c r="G1444" s="54"/>
      <c r="H1444" s="54"/>
      <c r="I1444" s="54"/>
      <c r="J1444" s="54"/>
      <c r="K1444" s="54"/>
      <c r="L1444" s="71"/>
      <c r="M1444" s="62"/>
      <c r="O1444"/>
      <c r="P1444" s="62"/>
      <c r="Q1444" s="62"/>
      <c r="R1444" s="302"/>
      <c r="S1444"/>
      <c r="W1444" s="6"/>
      <c r="X1444" s="6"/>
      <c r="AG1444" s="21"/>
    </row>
    <row r="1445" spans="1:33">
      <c r="W1445" s="71"/>
      <c r="X1445" s="71"/>
    </row>
    <row r="1446" spans="1:33" ht="57.6">
      <c r="A1446" s="246" t="s">
        <v>10961</v>
      </c>
      <c r="B1446" s="406" t="s">
        <v>9562</v>
      </c>
      <c r="C1446" s="76"/>
      <c r="D1446" s="65" t="s">
        <v>10962</v>
      </c>
      <c r="E1446" s="65" t="s">
        <v>10963</v>
      </c>
      <c r="F1446" s="65" t="s">
        <v>10964</v>
      </c>
      <c r="G1446" s="65" t="s">
        <v>10965</v>
      </c>
      <c r="H1446" s="65" t="s">
        <v>10966</v>
      </c>
      <c r="I1446" s="65" t="s">
        <v>10967</v>
      </c>
      <c r="J1446" s="65" t="s">
        <v>10968</v>
      </c>
      <c r="K1446" s="65" t="s">
        <v>10969</v>
      </c>
      <c r="L1446" s="6" t="s">
        <v>1367</v>
      </c>
      <c r="M1446" s="21" t="s">
        <v>1368</v>
      </c>
      <c r="N1446" s="21" t="s">
        <v>1369</v>
      </c>
      <c r="O1446" s="52"/>
      <c r="P1446" s="76" t="s">
        <v>22</v>
      </c>
      <c r="Q1446" s="52"/>
    </row>
    <row r="1447" spans="1:33" ht="57.6">
      <c r="A1447" s="246" t="s">
        <v>10970</v>
      </c>
      <c r="B1447" s="407"/>
      <c r="C1447" s="76"/>
      <c r="D1447" s="65" t="s">
        <v>10971</v>
      </c>
      <c r="E1447" s="65" t="s">
        <v>10972</v>
      </c>
      <c r="F1447" s="65" t="s">
        <v>10973</v>
      </c>
      <c r="G1447" s="65" t="s">
        <v>10974</v>
      </c>
      <c r="H1447" s="65" t="s">
        <v>10975</v>
      </c>
      <c r="I1447" s="65" t="s">
        <v>10976</v>
      </c>
      <c r="J1447" s="65" t="s">
        <v>10977</v>
      </c>
      <c r="K1447" s="65" t="s">
        <v>10978</v>
      </c>
      <c r="L1447" s="6" t="s">
        <v>1367</v>
      </c>
      <c r="M1447" s="21" t="s">
        <v>1368</v>
      </c>
      <c r="N1447" s="21" t="s">
        <v>1369</v>
      </c>
      <c r="O1447" s="52"/>
      <c r="P1447" s="76" t="s">
        <v>22</v>
      </c>
      <c r="Q1447" s="52"/>
    </row>
    <row r="1448" spans="1:33" ht="28.9">
      <c r="A1448" s="246" t="s">
        <v>10979</v>
      </c>
      <c r="B1448" s="407"/>
      <c r="C1448" s="76"/>
      <c r="D1448" s="65" t="s">
        <v>10980</v>
      </c>
      <c r="E1448" s="65" t="s">
        <v>10981</v>
      </c>
      <c r="F1448" s="65" t="s">
        <v>10982</v>
      </c>
      <c r="G1448" s="65" t="s">
        <v>10983</v>
      </c>
      <c r="H1448" s="65" t="s">
        <v>10984</v>
      </c>
      <c r="I1448" s="65" t="s">
        <v>10985</v>
      </c>
      <c r="J1448" s="65" t="s">
        <v>10986</v>
      </c>
      <c r="K1448" s="257" t="s">
        <v>10987</v>
      </c>
      <c r="L1448" s="6" t="s">
        <v>1367</v>
      </c>
      <c r="M1448" s="21" t="s">
        <v>1368</v>
      </c>
      <c r="N1448" s="21" t="s">
        <v>1369</v>
      </c>
      <c r="O1448" s="52"/>
      <c r="P1448" s="76" t="s">
        <v>1371</v>
      </c>
      <c r="Q1448" s="52"/>
    </row>
    <row r="1449" spans="1:33" ht="57.6">
      <c r="A1449" s="246" t="s">
        <v>10988</v>
      </c>
      <c r="B1449" s="407"/>
      <c r="C1449" s="76"/>
      <c r="D1449" s="65" t="s">
        <v>10989</v>
      </c>
      <c r="E1449" s="65" t="s">
        <v>10990</v>
      </c>
      <c r="F1449" s="65" t="s">
        <v>10991</v>
      </c>
      <c r="G1449" s="65" t="s">
        <v>10992</v>
      </c>
      <c r="H1449" s="65" t="s">
        <v>10993</v>
      </c>
      <c r="I1449" s="65" t="s">
        <v>10994</v>
      </c>
      <c r="J1449" s="65" t="s">
        <v>10995</v>
      </c>
      <c r="K1449" s="65" t="s">
        <v>10996</v>
      </c>
      <c r="L1449" s="6" t="s">
        <v>1367</v>
      </c>
      <c r="M1449" s="21" t="s">
        <v>1368</v>
      </c>
      <c r="N1449" s="21" t="s">
        <v>1369</v>
      </c>
      <c r="O1449" s="52"/>
      <c r="P1449" s="76" t="s">
        <v>22</v>
      </c>
      <c r="Q1449" s="52"/>
    </row>
    <row r="1450" spans="1:33" ht="72">
      <c r="A1450" s="246" t="s">
        <v>10997</v>
      </c>
      <c r="B1450" s="407"/>
      <c r="C1450" s="76"/>
      <c r="D1450" s="65" t="s">
        <v>10998</v>
      </c>
      <c r="E1450" s="65" t="s">
        <v>10999</v>
      </c>
      <c r="F1450" s="257" t="s">
        <v>11000</v>
      </c>
      <c r="G1450" s="65" t="s">
        <v>11001</v>
      </c>
      <c r="H1450" s="65" t="s">
        <v>11002</v>
      </c>
      <c r="I1450" s="65" t="s">
        <v>11003</v>
      </c>
      <c r="J1450" s="65" t="s">
        <v>11004</v>
      </c>
      <c r="K1450" s="65" t="s">
        <v>11005</v>
      </c>
      <c r="L1450" s="6" t="s">
        <v>1367</v>
      </c>
      <c r="M1450" s="21" t="s">
        <v>1368</v>
      </c>
      <c r="N1450" s="21" t="s">
        <v>1369</v>
      </c>
      <c r="O1450" s="52"/>
      <c r="P1450" s="76" t="s">
        <v>22</v>
      </c>
      <c r="Q1450" s="52"/>
    </row>
    <row r="1451" spans="1:33" ht="57.6">
      <c r="A1451" s="246" t="s">
        <v>11006</v>
      </c>
      <c r="B1451" s="407"/>
      <c r="C1451" s="76"/>
      <c r="D1451" s="65" t="s">
        <v>11007</v>
      </c>
      <c r="E1451" s="65" t="s">
        <v>11008</v>
      </c>
      <c r="F1451" s="65" t="s">
        <v>11009</v>
      </c>
      <c r="G1451" s="65" t="s">
        <v>11010</v>
      </c>
      <c r="H1451" s="65" t="s">
        <v>11011</v>
      </c>
      <c r="I1451" s="65" t="s">
        <v>11012</v>
      </c>
      <c r="J1451" s="65" t="s">
        <v>11013</v>
      </c>
      <c r="K1451" s="65" t="s">
        <v>11014</v>
      </c>
      <c r="L1451" s="6" t="s">
        <v>1367</v>
      </c>
      <c r="M1451" s="21" t="s">
        <v>1368</v>
      </c>
      <c r="N1451" s="21" t="s">
        <v>1369</v>
      </c>
      <c r="O1451" s="52"/>
      <c r="P1451" s="76" t="s">
        <v>22</v>
      </c>
      <c r="Q1451" s="52"/>
    </row>
    <row r="1452" spans="1:33" ht="43.15">
      <c r="A1452" s="246" t="s">
        <v>11015</v>
      </c>
      <c r="B1452" s="407"/>
      <c r="C1452" s="76"/>
      <c r="D1452" s="65" t="s">
        <v>11016</v>
      </c>
      <c r="E1452" s="65" t="s">
        <v>11017</v>
      </c>
      <c r="F1452" s="65" t="s">
        <v>11018</v>
      </c>
      <c r="G1452" s="65" t="s">
        <v>11019</v>
      </c>
      <c r="H1452" s="65" t="s">
        <v>11020</v>
      </c>
      <c r="I1452" s="65" t="s">
        <v>11021</v>
      </c>
      <c r="J1452" s="65" t="s">
        <v>11022</v>
      </c>
      <c r="K1452" s="65" t="s">
        <v>11023</v>
      </c>
      <c r="L1452" s="6" t="s">
        <v>1367</v>
      </c>
      <c r="M1452" s="21" t="s">
        <v>1368</v>
      </c>
      <c r="N1452" s="21" t="s">
        <v>1369</v>
      </c>
      <c r="O1452" s="52"/>
      <c r="P1452" s="76" t="s">
        <v>1393</v>
      </c>
      <c r="Q1452" s="52"/>
    </row>
    <row r="1453" spans="1:33" ht="43.15">
      <c r="A1453" s="246" t="s">
        <v>11024</v>
      </c>
      <c r="B1453" s="407"/>
      <c r="C1453" s="76"/>
      <c r="D1453" s="65" t="s">
        <v>11025</v>
      </c>
      <c r="E1453" s="65" t="s">
        <v>11026</v>
      </c>
      <c r="F1453" s="65" t="s">
        <v>11027</v>
      </c>
      <c r="G1453" s="65" t="s">
        <v>11028</v>
      </c>
      <c r="H1453" s="65" t="s">
        <v>11029</v>
      </c>
      <c r="I1453" s="65" t="s">
        <v>11030</v>
      </c>
      <c r="J1453" s="65" t="s">
        <v>11031</v>
      </c>
      <c r="K1453" s="65" t="s">
        <v>11032</v>
      </c>
      <c r="L1453" s="6" t="s">
        <v>1367</v>
      </c>
      <c r="M1453" s="21" t="s">
        <v>1368</v>
      </c>
      <c r="N1453" s="21" t="s">
        <v>1369</v>
      </c>
      <c r="O1453" s="52"/>
      <c r="P1453" s="76" t="s">
        <v>22</v>
      </c>
      <c r="Q1453" s="52"/>
    </row>
    <row r="1454" spans="1:33" ht="57.6">
      <c r="A1454" s="246" t="s">
        <v>11033</v>
      </c>
      <c r="B1454" s="407"/>
      <c r="C1454" s="76"/>
      <c r="D1454" s="65" t="s">
        <v>11034</v>
      </c>
      <c r="E1454" s="65" t="s">
        <v>11035</v>
      </c>
      <c r="F1454" s="65" t="s">
        <v>11036</v>
      </c>
      <c r="G1454" s="65" t="s">
        <v>11037</v>
      </c>
      <c r="H1454" s="65" t="s">
        <v>11038</v>
      </c>
      <c r="I1454" s="65" t="s">
        <v>11039</v>
      </c>
      <c r="J1454" s="65" t="s">
        <v>11040</v>
      </c>
      <c r="K1454" s="65" t="s">
        <v>11041</v>
      </c>
      <c r="L1454" s="6" t="s">
        <v>1367</v>
      </c>
      <c r="M1454" s="21" t="s">
        <v>1368</v>
      </c>
      <c r="N1454" s="21" t="s">
        <v>1369</v>
      </c>
      <c r="O1454" s="52"/>
      <c r="P1454" s="76" t="s">
        <v>22</v>
      </c>
      <c r="Q1454" s="52"/>
    </row>
    <row r="1455" spans="1:33" ht="43.15">
      <c r="A1455" s="246" t="s">
        <v>11042</v>
      </c>
      <c r="B1455" s="407"/>
      <c r="C1455" s="76"/>
      <c r="D1455" s="65" t="s">
        <v>11043</v>
      </c>
      <c r="E1455" s="65" t="s">
        <v>11044</v>
      </c>
      <c r="F1455" s="65" t="s">
        <v>11045</v>
      </c>
      <c r="G1455" s="65" t="s">
        <v>11046</v>
      </c>
      <c r="H1455" s="65" t="s">
        <v>11047</v>
      </c>
      <c r="I1455" s="65" t="s">
        <v>11048</v>
      </c>
      <c r="J1455" s="65" t="s">
        <v>11049</v>
      </c>
      <c r="K1455" s="65" t="s">
        <v>11050</v>
      </c>
      <c r="L1455" s="6" t="s">
        <v>1367</v>
      </c>
      <c r="M1455" s="21" t="s">
        <v>1368</v>
      </c>
      <c r="N1455" s="21" t="s">
        <v>4073</v>
      </c>
      <c r="O1455" s="52"/>
      <c r="P1455" s="76" t="s">
        <v>22</v>
      </c>
      <c r="Q1455" s="52"/>
    </row>
    <row r="1456" spans="1:33" ht="43.15">
      <c r="A1456" s="246" t="s">
        <v>11051</v>
      </c>
      <c r="B1456" s="407"/>
      <c r="C1456" s="76"/>
      <c r="D1456" s="65" t="s">
        <v>11052</v>
      </c>
      <c r="E1456" s="65" t="s">
        <v>11053</v>
      </c>
      <c r="F1456" s="65" t="s">
        <v>11054</v>
      </c>
      <c r="G1456" s="65" t="s">
        <v>11055</v>
      </c>
      <c r="H1456" s="65" t="s">
        <v>11056</v>
      </c>
      <c r="I1456" s="65" t="s">
        <v>11057</v>
      </c>
      <c r="J1456" s="65" t="s">
        <v>11058</v>
      </c>
      <c r="K1456" s="65" t="s">
        <v>11059</v>
      </c>
      <c r="L1456" s="6" t="s">
        <v>1367</v>
      </c>
      <c r="M1456" s="21" t="s">
        <v>1368</v>
      </c>
      <c r="N1456" s="21" t="s">
        <v>4073</v>
      </c>
      <c r="O1456" s="52"/>
      <c r="P1456" s="76" t="s">
        <v>1393</v>
      </c>
      <c r="Q1456" s="52"/>
    </row>
    <row r="1457" spans="1:17" ht="43.15">
      <c r="A1457" s="246" t="s">
        <v>11060</v>
      </c>
      <c r="B1457" s="407"/>
      <c r="C1457" s="76"/>
      <c r="D1457" s="65" t="s">
        <v>11061</v>
      </c>
      <c r="E1457" s="65" t="s">
        <v>11062</v>
      </c>
      <c r="F1457" s="65" t="s">
        <v>11063</v>
      </c>
      <c r="G1457" s="65" t="s">
        <v>11064</v>
      </c>
      <c r="H1457" s="65" t="s">
        <v>11065</v>
      </c>
      <c r="I1457" s="65" t="s">
        <v>11066</v>
      </c>
      <c r="J1457" s="65" t="s">
        <v>11067</v>
      </c>
      <c r="K1457" s="65" t="s">
        <v>11068</v>
      </c>
      <c r="L1457" s="6" t="s">
        <v>1367</v>
      </c>
      <c r="M1457" s="21" t="s">
        <v>1368</v>
      </c>
      <c r="N1457" s="21" t="s">
        <v>1369</v>
      </c>
      <c r="O1457" s="52"/>
      <c r="P1457" s="76" t="s">
        <v>22</v>
      </c>
      <c r="Q1457" s="52"/>
    </row>
    <row r="1458" spans="1:17" ht="57.6">
      <c r="A1458" s="246" t="s">
        <v>11069</v>
      </c>
      <c r="B1458" s="407"/>
      <c r="C1458" s="76"/>
      <c r="D1458" s="65" t="s">
        <v>11070</v>
      </c>
      <c r="E1458" s="65" t="s">
        <v>11071</v>
      </c>
      <c r="F1458" s="65" t="s">
        <v>11072</v>
      </c>
      <c r="G1458" s="65" t="s">
        <v>11073</v>
      </c>
      <c r="H1458" s="65" t="s">
        <v>11074</v>
      </c>
      <c r="I1458" s="65" t="s">
        <v>11075</v>
      </c>
      <c r="J1458" s="65" t="s">
        <v>11076</v>
      </c>
      <c r="K1458" s="65" t="s">
        <v>11077</v>
      </c>
      <c r="L1458" s="6" t="s">
        <v>1367</v>
      </c>
      <c r="M1458" s="21" t="s">
        <v>1368</v>
      </c>
      <c r="N1458" s="21" t="s">
        <v>4073</v>
      </c>
      <c r="O1458" s="52"/>
      <c r="P1458" s="76" t="s">
        <v>22</v>
      </c>
      <c r="Q1458" s="52"/>
    </row>
    <row r="1459" spans="1:17" ht="57.6">
      <c r="A1459" s="246" t="s">
        <v>11078</v>
      </c>
      <c r="B1459" s="407"/>
      <c r="C1459" s="76"/>
      <c r="D1459" s="65" t="s">
        <v>11079</v>
      </c>
      <c r="E1459" s="65" t="s">
        <v>11080</v>
      </c>
      <c r="F1459" s="65" t="s">
        <v>11081</v>
      </c>
      <c r="G1459" s="65" t="s">
        <v>11082</v>
      </c>
      <c r="H1459" s="65" t="s">
        <v>11083</v>
      </c>
      <c r="I1459" s="65" t="s">
        <v>11084</v>
      </c>
      <c r="J1459" s="65" t="s">
        <v>11085</v>
      </c>
      <c r="K1459" s="65" t="s">
        <v>11086</v>
      </c>
      <c r="L1459" s="6" t="s">
        <v>1367</v>
      </c>
      <c r="M1459" s="21" t="s">
        <v>1368</v>
      </c>
      <c r="N1459" s="21" t="s">
        <v>4073</v>
      </c>
      <c r="O1459" s="52"/>
      <c r="P1459" s="76" t="s">
        <v>22</v>
      </c>
      <c r="Q1459" s="52"/>
    </row>
    <row r="1460" spans="1:17" ht="43.15">
      <c r="A1460" s="246" t="s">
        <v>11087</v>
      </c>
      <c r="B1460" s="407"/>
      <c r="C1460" s="76"/>
      <c r="D1460" s="65" t="s">
        <v>11088</v>
      </c>
      <c r="E1460" s="65" t="s">
        <v>11089</v>
      </c>
      <c r="F1460" s="65" t="s">
        <v>11090</v>
      </c>
      <c r="G1460" s="65" t="s">
        <v>11091</v>
      </c>
      <c r="H1460" s="65" t="s">
        <v>11092</v>
      </c>
      <c r="I1460" s="65" t="s">
        <v>11093</v>
      </c>
      <c r="J1460" s="65" t="s">
        <v>11094</v>
      </c>
      <c r="K1460" s="65" t="s">
        <v>11095</v>
      </c>
      <c r="L1460" s="6" t="s">
        <v>1367</v>
      </c>
      <c r="M1460" s="21" t="s">
        <v>1368</v>
      </c>
      <c r="N1460" s="21" t="s">
        <v>4073</v>
      </c>
      <c r="O1460" s="52"/>
      <c r="P1460" s="76" t="s">
        <v>22</v>
      </c>
      <c r="Q1460" s="52"/>
    </row>
    <row r="1461" spans="1:17" ht="43.15">
      <c r="A1461" s="246" t="s">
        <v>11096</v>
      </c>
      <c r="B1461" s="407"/>
      <c r="C1461" s="76"/>
      <c r="D1461" s="65" t="s">
        <v>11097</v>
      </c>
      <c r="E1461" s="65" t="s">
        <v>11098</v>
      </c>
      <c r="F1461" s="65" t="s">
        <v>11099</v>
      </c>
      <c r="G1461" s="65" t="s">
        <v>11100</v>
      </c>
      <c r="H1461" s="65" t="s">
        <v>11101</v>
      </c>
      <c r="I1461" s="65" t="s">
        <v>11102</v>
      </c>
      <c r="J1461" s="65" t="s">
        <v>11103</v>
      </c>
      <c r="K1461" s="65" t="s">
        <v>11104</v>
      </c>
      <c r="L1461" s="6" t="s">
        <v>1367</v>
      </c>
      <c r="M1461" s="21" t="s">
        <v>1368</v>
      </c>
      <c r="N1461" s="21" t="s">
        <v>1369</v>
      </c>
      <c r="O1461" s="52"/>
      <c r="P1461" s="76" t="s">
        <v>22</v>
      </c>
      <c r="Q1461" s="52"/>
    </row>
    <row r="1462" spans="1:17" ht="57.6">
      <c r="A1462" s="246" t="s">
        <v>11105</v>
      </c>
      <c r="B1462" s="407"/>
      <c r="C1462" s="76"/>
      <c r="D1462" s="65" t="s">
        <v>11106</v>
      </c>
      <c r="E1462" s="65" t="s">
        <v>11107</v>
      </c>
      <c r="F1462" s="65" t="s">
        <v>11108</v>
      </c>
      <c r="G1462" s="65" t="s">
        <v>11109</v>
      </c>
      <c r="H1462" s="65" t="s">
        <v>11110</v>
      </c>
      <c r="I1462" s="65" t="s">
        <v>11111</v>
      </c>
      <c r="J1462" s="65" t="s">
        <v>11112</v>
      </c>
      <c r="K1462" s="65" t="s">
        <v>11113</v>
      </c>
      <c r="L1462" s="6" t="s">
        <v>1367</v>
      </c>
      <c r="M1462" s="21" t="s">
        <v>1368</v>
      </c>
      <c r="N1462" s="21" t="s">
        <v>1369</v>
      </c>
      <c r="O1462" s="52"/>
      <c r="P1462" s="76" t="s">
        <v>22</v>
      </c>
      <c r="Q1462" s="52"/>
    </row>
    <row r="1463" spans="1:17" ht="43.15">
      <c r="A1463" s="246" t="s">
        <v>11114</v>
      </c>
      <c r="B1463" s="407"/>
      <c r="C1463" s="76"/>
      <c r="D1463" s="65" t="s">
        <v>11115</v>
      </c>
      <c r="E1463" s="65" t="s">
        <v>11116</v>
      </c>
      <c r="F1463" s="65" t="s">
        <v>11117</v>
      </c>
      <c r="G1463" s="65" t="s">
        <v>11118</v>
      </c>
      <c r="H1463" s="65" t="s">
        <v>11119</v>
      </c>
      <c r="I1463" s="65" t="s">
        <v>11120</v>
      </c>
      <c r="J1463" s="65" t="s">
        <v>11121</v>
      </c>
      <c r="K1463" s="65" t="s">
        <v>11122</v>
      </c>
      <c r="L1463" s="6" t="s">
        <v>1367</v>
      </c>
      <c r="M1463" s="21" t="s">
        <v>1368</v>
      </c>
      <c r="N1463" s="21" t="s">
        <v>1369</v>
      </c>
      <c r="O1463" s="52"/>
      <c r="P1463" s="76" t="s">
        <v>1393</v>
      </c>
      <c r="Q1463" s="52"/>
    </row>
    <row r="1464" spans="1:17" ht="43.15">
      <c r="A1464" s="246" t="s">
        <v>11123</v>
      </c>
      <c r="B1464" s="407"/>
      <c r="C1464" s="76"/>
      <c r="D1464" s="65" t="s">
        <v>11124</v>
      </c>
      <c r="E1464" s="65" t="s">
        <v>11125</v>
      </c>
      <c r="F1464" s="65" t="s">
        <v>11126</v>
      </c>
      <c r="G1464" s="65" t="s">
        <v>11127</v>
      </c>
      <c r="H1464" s="65" t="s">
        <v>11128</v>
      </c>
      <c r="I1464" s="65" t="s">
        <v>11129</v>
      </c>
      <c r="J1464" s="65" t="s">
        <v>11130</v>
      </c>
      <c r="K1464" s="65" t="s">
        <v>11131</v>
      </c>
      <c r="L1464" s="6" t="s">
        <v>1367</v>
      </c>
      <c r="M1464" s="21" t="s">
        <v>1368</v>
      </c>
      <c r="N1464" s="21" t="s">
        <v>4073</v>
      </c>
      <c r="O1464" s="52"/>
      <c r="P1464" s="76" t="s">
        <v>22</v>
      </c>
      <c r="Q1464" s="52"/>
    </row>
    <row r="1465" spans="1:17" ht="57.6">
      <c r="A1465" s="246" t="s">
        <v>11132</v>
      </c>
      <c r="B1465" s="407"/>
      <c r="C1465" s="76"/>
      <c r="D1465" s="65" t="s">
        <v>11133</v>
      </c>
      <c r="E1465" s="65" t="s">
        <v>11134</v>
      </c>
      <c r="F1465" s="65" t="s">
        <v>11135</v>
      </c>
      <c r="G1465" s="65" t="s">
        <v>11136</v>
      </c>
      <c r="H1465" s="65" t="s">
        <v>11137</v>
      </c>
      <c r="I1465" s="65" t="s">
        <v>11138</v>
      </c>
      <c r="J1465" s="65" t="s">
        <v>11139</v>
      </c>
      <c r="K1465" s="65" t="s">
        <v>11140</v>
      </c>
      <c r="L1465" s="6" t="s">
        <v>1367</v>
      </c>
      <c r="M1465" s="21" t="s">
        <v>1368</v>
      </c>
      <c r="N1465" s="21" t="s">
        <v>4073</v>
      </c>
      <c r="O1465" s="52"/>
      <c r="P1465" s="76" t="s">
        <v>22</v>
      </c>
      <c r="Q1465" s="52"/>
    </row>
    <row r="1466" spans="1:17" ht="43.15">
      <c r="A1466" s="246" t="s">
        <v>11141</v>
      </c>
      <c r="B1466" s="407"/>
      <c r="C1466" s="76"/>
      <c r="D1466" s="65" t="s">
        <v>11142</v>
      </c>
      <c r="E1466" s="65" t="s">
        <v>11143</v>
      </c>
      <c r="F1466" s="65" t="s">
        <v>11144</v>
      </c>
      <c r="G1466" s="65" t="s">
        <v>11145</v>
      </c>
      <c r="H1466" s="65" t="s">
        <v>11146</v>
      </c>
      <c r="I1466" s="65" t="s">
        <v>11147</v>
      </c>
      <c r="J1466" s="65" t="s">
        <v>11148</v>
      </c>
      <c r="K1466" s="65" t="s">
        <v>11149</v>
      </c>
      <c r="L1466" s="6" t="s">
        <v>1367</v>
      </c>
      <c r="M1466" s="21" t="s">
        <v>1368</v>
      </c>
      <c r="N1466" s="21" t="s">
        <v>1369</v>
      </c>
      <c r="O1466" s="52"/>
      <c r="P1466" s="76" t="s">
        <v>22</v>
      </c>
      <c r="Q1466" s="52"/>
    </row>
    <row r="1467" spans="1:17" ht="43.15">
      <c r="A1467" s="246" t="s">
        <v>11150</v>
      </c>
      <c r="B1467" s="407"/>
      <c r="C1467" s="76"/>
      <c r="D1467" s="65" t="s">
        <v>11151</v>
      </c>
      <c r="E1467" s="65" t="s">
        <v>11152</v>
      </c>
      <c r="F1467" s="65" t="s">
        <v>11153</v>
      </c>
      <c r="G1467" s="65" t="s">
        <v>11154</v>
      </c>
      <c r="H1467" s="65" t="s">
        <v>11155</v>
      </c>
      <c r="I1467" s="65" t="s">
        <v>11156</v>
      </c>
      <c r="J1467" s="65" t="s">
        <v>11157</v>
      </c>
      <c r="K1467" s="65" t="s">
        <v>11158</v>
      </c>
      <c r="L1467" s="6" t="s">
        <v>1367</v>
      </c>
      <c r="M1467" s="21" t="s">
        <v>1368</v>
      </c>
      <c r="N1467" s="21" t="s">
        <v>1369</v>
      </c>
      <c r="O1467" s="52"/>
      <c r="P1467" s="76" t="s">
        <v>1371</v>
      </c>
      <c r="Q1467" s="52"/>
    </row>
    <row r="1468" spans="1:17" ht="43.15">
      <c r="A1468" s="246" t="s">
        <v>11159</v>
      </c>
      <c r="B1468" s="407"/>
      <c r="C1468" s="76"/>
      <c r="D1468" s="65" t="s">
        <v>11160</v>
      </c>
      <c r="E1468" s="65" t="s">
        <v>11161</v>
      </c>
      <c r="F1468" s="65" t="s">
        <v>11162</v>
      </c>
      <c r="G1468" s="65" t="s">
        <v>11163</v>
      </c>
      <c r="H1468" s="65" t="s">
        <v>11164</v>
      </c>
      <c r="I1468" s="65" t="s">
        <v>11165</v>
      </c>
      <c r="J1468" s="65" t="s">
        <v>11166</v>
      </c>
      <c r="K1468" s="65" t="s">
        <v>11167</v>
      </c>
      <c r="L1468" s="6" t="s">
        <v>1367</v>
      </c>
      <c r="M1468" s="21" t="s">
        <v>1368</v>
      </c>
      <c r="N1468" s="21" t="s">
        <v>1369</v>
      </c>
      <c r="O1468" s="52"/>
      <c r="P1468" s="76" t="s">
        <v>22</v>
      </c>
      <c r="Q1468" s="52"/>
    </row>
    <row r="1469" spans="1:17" ht="43.15">
      <c r="A1469" s="246" t="s">
        <v>11168</v>
      </c>
      <c r="B1469" s="407"/>
      <c r="C1469" s="76"/>
      <c r="D1469" s="65" t="s">
        <v>11169</v>
      </c>
      <c r="E1469" s="65" t="s">
        <v>11170</v>
      </c>
      <c r="F1469" s="65" t="s">
        <v>11171</v>
      </c>
      <c r="G1469" s="65" t="s">
        <v>11172</v>
      </c>
      <c r="H1469" s="65" t="s">
        <v>11173</v>
      </c>
      <c r="I1469" s="65" t="s">
        <v>11174</v>
      </c>
      <c r="J1469" s="65" t="s">
        <v>11175</v>
      </c>
      <c r="K1469" s="65" t="s">
        <v>11176</v>
      </c>
      <c r="L1469" s="6" t="s">
        <v>1367</v>
      </c>
      <c r="M1469" s="21" t="s">
        <v>1368</v>
      </c>
      <c r="N1469" s="21" t="s">
        <v>4073</v>
      </c>
      <c r="O1469" s="52"/>
      <c r="P1469" s="76" t="s">
        <v>22</v>
      </c>
      <c r="Q1469" s="52"/>
    </row>
    <row r="1470" spans="1:17" ht="43.15">
      <c r="A1470" s="246" t="s">
        <v>11177</v>
      </c>
      <c r="B1470" s="407"/>
      <c r="C1470" s="76"/>
      <c r="D1470" s="65" t="s">
        <v>11178</v>
      </c>
      <c r="E1470" s="65" t="s">
        <v>11179</v>
      </c>
      <c r="F1470" s="65" t="s">
        <v>11180</v>
      </c>
      <c r="G1470" s="65" t="s">
        <v>11181</v>
      </c>
      <c r="H1470" s="65" t="s">
        <v>11182</v>
      </c>
      <c r="I1470" s="65" t="s">
        <v>11183</v>
      </c>
      <c r="J1470" s="65" t="s">
        <v>11184</v>
      </c>
      <c r="K1470" s="65" t="s">
        <v>11185</v>
      </c>
      <c r="L1470" s="6" t="s">
        <v>1367</v>
      </c>
      <c r="M1470" s="21" t="s">
        <v>1368</v>
      </c>
      <c r="N1470" s="21" t="s">
        <v>1369</v>
      </c>
      <c r="O1470" s="52"/>
      <c r="P1470" s="76" t="s">
        <v>1371</v>
      </c>
      <c r="Q1470" s="52"/>
    </row>
    <row r="1471" spans="1:17" ht="43.15">
      <c r="A1471" s="246" t="s">
        <v>11186</v>
      </c>
      <c r="B1471" s="407"/>
      <c r="C1471" s="76"/>
      <c r="D1471" s="65" t="s">
        <v>11187</v>
      </c>
      <c r="E1471" s="65" t="s">
        <v>11188</v>
      </c>
      <c r="F1471" s="65" t="s">
        <v>11189</v>
      </c>
      <c r="G1471" s="65" t="s">
        <v>11190</v>
      </c>
      <c r="H1471" s="65" t="s">
        <v>11191</v>
      </c>
      <c r="I1471" s="65" t="s">
        <v>11192</v>
      </c>
      <c r="J1471" s="65" t="s">
        <v>11193</v>
      </c>
      <c r="K1471" s="65" t="s">
        <v>11194</v>
      </c>
      <c r="L1471" s="6" t="s">
        <v>1367</v>
      </c>
      <c r="M1471" s="21" t="s">
        <v>1368</v>
      </c>
      <c r="N1471" s="21" t="s">
        <v>4073</v>
      </c>
      <c r="O1471" s="52"/>
      <c r="P1471" s="76" t="s">
        <v>22</v>
      </c>
      <c r="Q1471" s="52"/>
    </row>
    <row r="1472" spans="1:17" ht="57.6">
      <c r="A1472" s="246" t="s">
        <v>11195</v>
      </c>
      <c r="B1472" s="407"/>
      <c r="C1472" s="76"/>
      <c r="D1472" s="65" t="s">
        <v>11196</v>
      </c>
      <c r="E1472" s="65" t="s">
        <v>11197</v>
      </c>
      <c r="F1472" s="65" t="s">
        <v>11198</v>
      </c>
      <c r="G1472" s="65" t="s">
        <v>11199</v>
      </c>
      <c r="H1472" s="65" t="s">
        <v>11200</v>
      </c>
      <c r="I1472" s="65" t="s">
        <v>11201</v>
      </c>
      <c r="J1472" s="65" t="s">
        <v>11202</v>
      </c>
      <c r="K1472" s="65" t="s">
        <v>11203</v>
      </c>
      <c r="L1472" s="6" t="s">
        <v>1367</v>
      </c>
      <c r="M1472" s="21" t="s">
        <v>1368</v>
      </c>
      <c r="N1472" s="21" t="s">
        <v>4073</v>
      </c>
      <c r="O1472" s="52"/>
      <c r="P1472" s="76" t="s">
        <v>22</v>
      </c>
      <c r="Q1472" s="52"/>
    </row>
    <row r="1473" spans="1:33">
      <c r="AG1473" s="62"/>
    </row>
    <row r="1474" spans="1:33" s="55" customFormat="1">
      <c r="A1474" s="249"/>
      <c r="C1474" s="62"/>
      <c r="D1474" s="54"/>
      <c r="E1474" s="54"/>
      <c r="F1474" s="54"/>
      <c r="G1474" s="54"/>
      <c r="H1474" s="54"/>
      <c r="I1474" s="54"/>
      <c r="J1474" s="54"/>
      <c r="K1474" s="54"/>
      <c r="L1474" s="71"/>
      <c r="M1474" s="62"/>
      <c r="P1474" s="62"/>
      <c r="Q1474" s="62"/>
      <c r="R1474" s="302"/>
      <c r="W1474" s="71"/>
      <c r="X1474" s="71"/>
      <c r="AG1474" s="21"/>
    </row>
    <row r="1476" spans="1:33" ht="57.6">
      <c r="A1476" s="253" t="s">
        <v>11204</v>
      </c>
      <c r="B1476" s="399" t="s">
        <v>11205</v>
      </c>
      <c r="C1476" s="21" t="s">
        <v>11206</v>
      </c>
      <c r="D1476" s="2" t="s">
        <v>11207</v>
      </c>
      <c r="E1476" s="2" t="s">
        <v>11208</v>
      </c>
      <c r="F1476" s="2" t="s">
        <v>11209</v>
      </c>
      <c r="G1476" s="2" t="s">
        <v>11210</v>
      </c>
      <c r="H1476" s="2" t="s">
        <v>11211</v>
      </c>
      <c r="I1476" s="2" t="s">
        <v>11212</v>
      </c>
      <c r="J1476" s="2" t="s">
        <v>11213</v>
      </c>
      <c r="K1476" s="2" t="s">
        <v>1442</v>
      </c>
      <c r="L1476" s="1" t="s">
        <v>11214</v>
      </c>
      <c r="M1476" s="21" t="s">
        <v>1368</v>
      </c>
      <c r="N1476" s="21" t="s">
        <v>1369</v>
      </c>
      <c r="O1476" s="21"/>
      <c r="P1476" s="21" t="s">
        <v>22</v>
      </c>
      <c r="R1476" s="2"/>
    </row>
    <row r="1477" spans="1:33" ht="28.9">
      <c r="A1477" s="253" t="s">
        <v>11215</v>
      </c>
      <c r="B1477" s="400"/>
      <c r="C1477" s="21" t="s">
        <v>11206</v>
      </c>
      <c r="D1477" s="2" t="s">
        <v>11216</v>
      </c>
      <c r="E1477" s="2" t="s">
        <v>11217</v>
      </c>
      <c r="F1477" s="2" t="s">
        <v>11218</v>
      </c>
      <c r="G1477" s="2" t="s">
        <v>11219</v>
      </c>
      <c r="H1477" s="2" t="s">
        <v>11220</v>
      </c>
      <c r="I1477" s="2" t="s">
        <v>11221</v>
      </c>
      <c r="J1477" s="2" t="s">
        <v>11213</v>
      </c>
      <c r="K1477" s="2" t="s">
        <v>1442</v>
      </c>
      <c r="L1477" s="1" t="s">
        <v>11214</v>
      </c>
      <c r="M1477" s="21" t="s">
        <v>1368</v>
      </c>
      <c r="N1477" s="21" t="s">
        <v>4073</v>
      </c>
      <c r="O1477" s="21"/>
      <c r="P1477" s="21" t="s">
        <v>1371</v>
      </c>
      <c r="R1477" s="2" t="s">
        <v>11222</v>
      </c>
    </row>
    <row r="1478" spans="1:33" ht="28.9">
      <c r="A1478" s="253" t="s">
        <v>11223</v>
      </c>
      <c r="B1478" s="400"/>
      <c r="C1478" s="21" t="s">
        <v>11206</v>
      </c>
      <c r="D1478" s="2" t="s">
        <v>11224</v>
      </c>
      <c r="E1478" s="2" t="s">
        <v>11225</v>
      </c>
      <c r="F1478" s="2" t="s">
        <v>11226</v>
      </c>
      <c r="G1478" s="2" t="s">
        <v>11227</v>
      </c>
      <c r="H1478" s="2" t="s">
        <v>1442</v>
      </c>
      <c r="I1478" s="2" t="s">
        <v>11228</v>
      </c>
      <c r="J1478" s="2" t="s">
        <v>11229</v>
      </c>
      <c r="K1478" s="2" t="s">
        <v>1442</v>
      </c>
      <c r="L1478" s="1" t="s">
        <v>11214</v>
      </c>
      <c r="M1478" s="21" t="s">
        <v>1368</v>
      </c>
      <c r="N1478" s="21" t="s">
        <v>4073</v>
      </c>
      <c r="O1478" s="21"/>
      <c r="P1478" s="21" t="s">
        <v>1371</v>
      </c>
      <c r="R1478" s="2" t="s">
        <v>11222</v>
      </c>
    </row>
    <row r="1479" spans="1:33" ht="43.15">
      <c r="A1479" s="253" t="s">
        <v>11230</v>
      </c>
      <c r="B1479" s="400"/>
      <c r="C1479" s="21" t="s">
        <v>11206</v>
      </c>
      <c r="D1479" s="2" t="s">
        <v>11231</v>
      </c>
      <c r="E1479" s="2" t="s">
        <v>11232</v>
      </c>
      <c r="F1479" s="2" t="s">
        <v>11233</v>
      </c>
      <c r="G1479" s="2" t="s">
        <v>11234</v>
      </c>
      <c r="H1479" s="2" t="s">
        <v>1442</v>
      </c>
      <c r="I1479" s="2" t="s">
        <v>11235</v>
      </c>
      <c r="J1479" s="2" t="s">
        <v>9222</v>
      </c>
      <c r="K1479" s="2" t="s">
        <v>1442</v>
      </c>
      <c r="L1479" s="1" t="s">
        <v>11214</v>
      </c>
      <c r="M1479" s="21" t="s">
        <v>1368</v>
      </c>
      <c r="N1479" s="21" t="s">
        <v>1369</v>
      </c>
      <c r="O1479" s="21"/>
      <c r="P1479" s="21" t="s">
        <v>1371</v>
      </c>
      <c r="R1479" s="2" t="s">
        <v>11222</v>
      </c>
    </row>
    <row r="1480" spans="1:33" ht="86.45">
      <c r="A1480" s="253" t="s">
        <v>11236</v>
      </c>
      <c r="B1480" s="400"/>
      <c r="C1480" s="21" t="s">
        <v>11206</v>
      </c>
      <c r="D1480" s="2" t="s">
        <v>11237</v>
      </c>
      <c r="E1480" s="2" t="s">
        <v>11238</v>
      </c>
      <c r="F1480" s="2" t="s">
        <v>11239</v>
      </c>
      <c r="G1480" s="2" t="s">
        <v>11240</v>
      </c>
      <c r="H1480" s="2" t="s">
        <v>11211</v>
      </c>
      <c r="I1480" s="2" t="s">
        <v>11241</v>
      </c>
      <c r="J1480" s="2" t="s">
        <v>11242</v>
      </c>
      <c r="K1480" s="2" t="s">
        <v>1442</v>
      </c>
      <c r="L1480" s="1" t="s">
        <v>11214</v>
      </c>
      <c r="M1480" s="6" t="s">
        <v>1368</v>
      </c>
      <c r="N1480" s="21" t="s">
        <v>4073</v>
      </c>
      <c r="O1480" s="21"/>
      <c r="P1480" s="21" t="s">
        <v>22</v>
      </c>
      <c r="R1480" s="2" t="s">
        <v>11222</v>
      </c>
    </row>
    <row r="1481" spans="1:33" ht="86.45">
      <c r="A1481" s="253" t="s">
        <v>11243</v>
      </c>
      <c r="B1481" s="400"/>
      <c r="C1481" s="21" t="s">
        <v>11206</v>
      </c>
      <c r="D1481" s="2" t="s">
        <v>11244</v>
      </c>
      <c r="E1481" s="2" t="s">
        <v>11245</v>
      </c>
      <c r="F1481" s="2" t="s">
        <v>11246</v>
      </c>
      <c r="G1481" s="2" t="s">
        <v>11247</v>
      </c>
      <c r="H1481" s="2" t="s">
        <v>11248</v>
      </c>
      <c r="I1481" s="2" t="s">
        <v>11249</v>
      </c>
      <c r="J1481" s="2" t="s">
        <v>11250</v>
      </c>
      <c r="K1481" s="2" t="s">
        <v>1442</v>
      </c>
      <c r="L1481" s="1" t="s">
        <v>11214</v>
      </c>
      <c r="M1481" s="6" t="s">
        <v>1368</v>
      </c>
      <c r="N1481" s="21" t="s">
        <v>1369</v>
      </c>
      <c r="O1481" s="21"/>
      <c r="P1481" s="21" t="s">
        <v>22</v>
      </c>
      <c r="R1481" s="2" t="s">
        <v>11222</v>
      </c>
    </row>
    <row r="1482" spans="1:33" ht="72">
      <c r="A1482" s="253" t="s">
        <v>11251</v>
      </c>
      <c r="B1482" s="400"/>
      <c r="C1482" s="21" t="s">
        <v>11206</v>
      </c>
      <c r="D1482" s="2" t="s">
        <v>11252</v>
      </c>
      <c r="E1482" s="2" t="s">
        <v>11253</v>
      </c>
      <c r="F1482" s="2" t="s">
        <v>11254</v>
      </c>
      <c r="G1482" s="2" t="s">
        <v>11255</v>
      </c>
      <c r="H1482" s="2" t="s">
        <v>11256</v>
      </c>
      <c r="I1482" s="2" t="s">
        <v>11257</v>
      </c>
      <c r="J1482" s="2" t="s">
        <v>11258</v>
      </c>
      <c r="K1482" s="2" t="s">
        <v>1442</v>
      </c>
      <c r="L1482" s="1" t="s">
        <v>11214</v>
      </c>
      <c r="M1482" s="6" t="s">
        <v>1368</v>
      </c>
      <c r="N1482" s="21" t="s">
        <v>4073</v>
      </c>
      <c r="O1482" s="21"/>
      <c r="P1482" s="21" t="s">
        <v>1371</v>
      </c>
      <c r="R1482" s="2" t="s">
        <v>11222</v>
      </c>
    </row>
    <row r="1483" spans="1:33" ht="144">
      <c r="A1483" s="253" t="s">
        <v>11259</v>
      </c>
      <c r="B1483" s="400"/>
      <c r="C1483" s="21" t="s">
        <v>11206</v>
      </c>
      <c r="D1483" s="2" t="s">
        <v>11260</v>
      </c>
      <c r="E1483" s="2" t="s">
        <v>11261</v>
      </c>
      <c r="F1483" s="2" t="s">
        <v>11262</v>
      </c>
      <c r="G1483" s="2" t="s">
        <v>11263</v>
      </c>
      <c r="H1483" s="2" t="s">
        <v>11264</v>
      </c>
      <c r="I1483" s="2" t="s">
        <v>11265</v>
      </c>
      <c r="J1483" s="2" t="s">
        <v>11266</v>
      </c>
      <c r="K1483" s="2" t="s">
        <v>1442</v>
      </c>
      <c r="L1483" s="1" t="s">
        <v>11214</v>
      </c>
      <c r="M1483" s="6" t="s">
        <v>1368</v>
      </c>
      <c r="N1483" s="21" t="s">
        <v>1369</v>
      </c>
      <c r="O1483" s="21"/>
      <c r="P1483" s="21" t="s">
        <v>22</v>
      </c>
      <c r="R1483" s="2" t="s">
        <v>11222</v>
      </c>
    </row>
    <row r="1484" spans="1:33" ht="57.6">
      <c r="A1484" s="253" t="s">
        <v>11267</v>
      </c>
      <c r="B1484" s="400"/>
      <c r="C1484" s="21" t="s">
        <v>11206</v>
      </c>
      <c r="D1484" s="2" t="s">
        <v>11268</v>
      </c>
      <c r="E1484" s="2" t="s">
        <v>11269</v>
      </c>
      <c r="F1484" s="2" t="s">
        <v>11270</v>
      </c>
      <c r="G1484" s="2" t="s">
        <v>11271</v>
      </c>
      <c r="H1484" s="2" t="s">
        <v>11211</v>
      </c>
      <c r="I1484" s="2" t="s">
        <v>11272</v>
      </c>
      <c r="J1484" s="2" t="s">
        <v>11273</v>
      </c>
      <c r="K1484" s="2" t="s">
        <v>1442</v>
      </c>
      <c r="L1484" s="1" t="s">
        <v>11214</v>
      </c>
      <c r="M1484" s="6" t="s">
        <v>1368</v>
      </c>
      <c r="N1484" s="21" t="s">
        <v>1369</v>
      </c>
      <c r="O1484" s="21"/>
      <c r="P1484" s="21" t="s">
        <v>22</v>
      </c>
      <c r="R1484" s="2" t="s">
        <v>11222</v>
      </c>
    </row>
    <row r="1485" spans="1:33" ht="57.6">
      <c r="A1485" s="253" t="s">
        <v>11274</v>
      </c>
      <c r="B1485" s="400"/>
      <c r="C1485" s="21" t="s">
        <v>11206</v>
      </c>
      <c r="D1485" s="2" t="s">
        <v>11275</v>
      </c>
      <c r="E1485" s="2" t="s">
        <v>11276</v>
      </c>
      <c r="F1485" s="2" t="s">
        <v>11277</v>
      </c>
      <c r="G1485" s="2" t="s">
        <v>11278</v>
      </c>
      <c r="H1485" s="2" t="s">
        <v>11211</v>
      </c>
      <c r="I1485" s="2" t="s">
        <v>11279</v>
      </c>
      <c r="J1485" s="2" t="s">
        <v>11280</v>
      </c>
      <c r="K1485" s="2" t="s">
        <v>1442</v>
      </c>
      <c r="L1485" s="1" t="s">
        <v>11214</v>
      </c>
      <c r="M1485" s="6" t="s">
        <v>1368</v>
      </c>
      <c r="N1485" s="21" t="s">
        <v>4073</v>
      </c>
      <c r="O1485" s="21"/>
      <c r="P1485" s="21" t="s">
        <v>22</v>
      </c>
      <c r="R1485" s="2" t="s">
        <v>11222</v>
      </c>
    </row>
    <row r="1486" spans="1:33" ht="72">
      <c r="A1486" s="253" t="s">
        <v>11281</v>
      </c>
      <c r="B1486" s="400"/>
      <c r="C1486" s="21" t="s">
        <v>11206</v>
      </c>
      <c r="D1486" s="2" t="s">
        <v>11282</v>
      </c>
      <c r="E1486" s="2" t="s">
        <v>11283</v>
      </c>
      <c r="F1486" s="2" t="s">
        <v>11284</v>
      </c>
      <c r="G1486" s="2" t="s">
        <v>11285</v>
      </c>
      <c r="H1486" s="2" t="s">
        <v>11286</v>
      </c>
      <c r="I1486" s="2" t="s">
        <v>11287</v>
      </c>
      <c r="J1486" s="2" t="s">
        <v>11288</v>
      </c>
      <c r="K1486" s="2" t="s">
        <v>1442</v>
      </c>
      <c r="L1486" s="1" t="s">
        <v>11214</v>
      </c>
      <c r="M1486" s="6" t="s">
        <v>1368</v>
      </c>
      <c r="N1486" s="21" t="s">
        <v>4073</v>
      </c>
      <c r="O1486" s="21"/>
      <c r="P1486" s="21" t="s">
        <v>22</v>
      </c>
      <c r="R1486" s="2" t="s">
        <v>11222</v>
      </c>
    </row>
    <row r="1487" spans="1:33" ht="57.6">
      <c r="A1487" s="253" t="s">
        <v>11289</v>
      </c>
      <c r="B1487" s="400"/>
      <c r="C1487" s="21" t="s">
        <v>11206</v>
      </c>
      <c r="D1487" s="2" t="s">
        <v>11290</v>
      </c>
      <c r="E1487" s="2" t="s">
        <v>11291</v>
      </c>
      <c r="F1487" s="2" t="s">
        <v>11292</v>
      </c>
      <c r="G1487" s="2" t="s">
        <v>11293</v>
      </c>
      <c r="H1487" s="2" t="s">
        <v>11294</v>
      </c>
      <c r="I1487" s="2" t="s">
        <v>11295</v>
      </c>
      <c r="J1487" s="2" t="s">
        <v>11296</v>
      </c>
      <c r="K1487" s="2" t="s">
        <v>1442</v>
      </c>
      <c r="L1487" s="1" t="s">
        <v>11214</v>
      </c>
      <c r="M1487" s="6" t="s">
        <v>1368</v>
      </c>
      <c r="N1487" s="21" t="s">
        <v>4073</v>
      </c>
      <c r="O1487" s="21"/>
      <c r="P1487" s="21" t="s">
        <v>22</v>
      </c>
      <c r="R1487" s="2" t="s">
        <v>11222</v>
      </c>
    </row>
    <row r="1488" spans="1:33" ht="43.15">
      <c r="A1488" s="253" t="s">
        <v>11297</v>
      </c>
      <c r="B1488" s="400"/>
      <c r="C1488" s="21" t="s">
        <v>11206</v>
      </c>
      <c r="D1488" s="2" t="s">
        <v>11298</v>
      </c>
      <c r="E1488" s="2" t="s">
        <v>11299</v>
      </c>
      <c r="F1488" s="2" t="s">
        <v>11300</v>
      </c>
      <c r="G1488" s="2" t="s">
        <v>11301</v>
      </c>
      <c r="H1488" s="2" t="s">
        <v>11302</v>
      </c>
      <c r="I1488" s="2" t="s">
        <v>11303</v>
      </c>
      <c r="J1488" s="2" t="s">
        <v>11304</v>
      </c>
      <c r="K1488" s="2" t="s">
        <v>1442</v>
      </c>
      <c r="L1488" s="1" t="s">
        <v>11214</v>
      </c>
      <c r="M1488" s="6" t="s">
        <v>1368</v>
      </c>
      <c r="N1488" s="21" t="s">
        <v>4073</v>
      </c>
      <c r="O1488" s="21"/>
      <c r="P1488" s="21" t="s">
        <v>1371</v>
      </c>
      <c r="R1488" s="2" t="s">
        <v>11222</v>
      </c>
    </row>
    <row r="1489" spans="1:18" ht="86.45">
      <c r="A1489" s="253" t="s">
        <v>11305</v>
      </c>
      <c r="B1489" s="400"/>
      <c r="C1489" s="21" t="s">
        <v>11206</v>
      </c>
      <c r="D1489" s="2" t="s">
        <v>11306</v>
      </c>
      <c r="E1489" s="2" t="s">
        <v>11307</v>
      </c>
      <c r="F1489" s="2" t="s">
        <v>11308</v>
      </c>
      <c r="G1489" s="2" t="s">
        <v>11309</v>
      </c>
      <c r="H1489" s="2" t="s">
        <v>8241</v>
      </c>
      <c r="I1489" s="2" t="s">
        <v>11310</v>
      </c>
      <c r="J1489" s="2" t="s">
        <v>11311</v>
      </c>
      <c r="K1489" s="2" t="s">
        <v>1442</v>
      </c>
      <c r="L1489" s="1" t="s">
        <v>11214</v>
      </c>
      <c r="M1489" s="6" t="s">
        <v>1368</v>
      </c>
      <c r="N1489" s="21" t="s">
        <v>1369</v>
      </c>
      <c r="O1489" s="21"/>
      <c r="P1489" s="21" t="s">
        <v>22</v>
      </c>
      <c r="R1489" s="2" t="s">
        <v>11222</v>
      </c>
    </row>
    <row r="1490" spans="1:18" ht="72">
      <c r="A1490" s="253" t="s">
        <v>11312</v>
      </c>
      <c r="B1490" s="400"/>
      <c r="C1490" s="21" t="s">
        <v>11206</v>
      </c>
      <c r="D1490" s="2" t="s">
        <v>11313</v>
      </c>
      <c r="E1490" s="2" t="s">
        <v>11314</v>
      </c>
      <c r="F1490" s="2" t="s">
        <v>11315</v>
      </c>
      <c r="G1490" s="2" t="s">
        <v>11316</v>
      </c>
      <c r="H1490" s="2" t="s">
        <v>11317</v>
      </c>
      <c r="I1490" s="2" t="s">
        <v>11318</v>
      </c>
      <c r="J1490" s="2" t="s">
        <v>11319</v>
      </c>
      <c r="K1490" s="2" t="s">
        <v>1442</v>
      </c>
      <c r="L1490" s="1" t="s">
        <v>11214</v>
      </c>
      <c r="M1490" s="6" t="s">
        <v>1368</v>
      </c>
      <c r="N1490" s="21" t="s">
        <v>1369</v>
      </c>
      <c r="O1490" s="21"/>
      <c r="P1490" s="21" t="s">
        <v>22</v>
      </c>
      <c r="R1490" s="2" t="s">
        <v>11222</v>
      </c>
    </row>
    <row r="1491" spans="1:18" ht="57.6">
      <c r="A1491" s="253" t="s">
        <v>11320</v>
      </c>
      <c r="B1491" s="400"/>
      <c r="C1491" s="21" t="s">
        <v>11206</v>
      </c>
      <c r="D1491" s="2" t="s">
        <v>11321</v>
      </c>
      <c r="E1491" s="2" t="s">
        <v>11322</v>
      </c>
      <c r="F1491" s="2" t="s">
        <v>11323</v>
      </c>
      <c r="G1491" s="2" t="s">
        <v>11324</v>
      </c>
      <c r="H1491" s="2" t="s">
        <v>11317</v>
      </c>
      <c r="I1491" s="2" t="s">
        <v>11325</v>
      </c>
      <c r="J1491" s="2" t="s">
        <v>11326</v>
      </c>
      <c r="K1491" s="2" t="s">
        <v>1442</v>
      </c>
      <c r="L1491" s="1" t="s">
        <v>11214</v>
      </c>
      <c r="M1491" s="6" t="s">
        <v>1368</v>
      </c>
      <c r="N1491" s="21" t="s">
        <v>4073</v>
      </c>
      <c r="O1491" s="21"/>
      <c r="P1491" s="21" t="s">
        <v>22</v>
      </c>
      <c r="R1491" s="2" t="s">
        <v>11222</v>
      </c>
    </row>
    <row r="1492" spans="1:18" ht="43.15">
      <c r="A1492" s="253" t="s">
        <v>11327</v>
      </c>
      <c r="B1492" s="400"/>
      <c r="C1492" s="21" t="s">
        <v>11206</v>
      </c>
      <c r="D1492" s="2" t="s">
        <v>11328</v>
      </c>
      <c r="E1492" s="2" t="s">
        <v>11329</v>
      </c>
      <c r="F1492" s="2" t="s">
        <v>11326</v>
      </c>
      <c r="G1492" s="2" t="s">
        <v>11330</v>
      </c>
      <c r="H1492" s="2" t="s">
        <v>11317</v>
      </c>
      <c r="I1492" s="2" t="s">
        <v>11331</v>
      </c>
      <c r="J1492" s="2" t="s">
        <v>11332</v>
      </c>
      <c r="K1492" s="2" t="s">
        <v>1442</v>
      </c>
      <c r="L1492" s="1" t="s">
        <v>11214</v>
      </c>
      <c r="M1492" s="6" t="s">
        <v>1368</v>
      </c>
      <c r="N1492" s="21" t="s">
        <v>4073</v>
      </c>
      <c r="O1492" s="21"/>
      <c r="P1492" s="21" t="s">
        <v>22</v>
      </c>
      <c r="R1492" s="2" t="s">
        <v>11222</v>
      </c>
    </row>
    <row r="1493" spans="1:18" ht="57.6">
      <c r="A1493" s="253" t="s">
        <v>11333</v>
      </c>
      <c r="B1493" s="400"/>
      <c r="C1493" s="21" t="s">
        <v>11206</v>
      </c>
      <c r="D1493" s="2" t="s">
        <v>11334</v>
      </c>
      <c r="E1493" s="2" t="s">
        <v>11335</v>
      </c>
      <c r="F1493" s="2" t="s">
        <v>11336</v>
      </c>
      <c r="G1493" s="2" t="s">
        <v>11337</v>
      </c>
      <c r="H1493" s="2" t="s">
        <v>11317</v>
      </c>
      <c r="I1493" s="2" t="s">
        <v>11338</v>
      </c>
      <c r="J1493" s="2" t="s">
        <v>11339</v>
      </c>
      <c r="K1493" s="2" t="s">
        <v>1442</v>
      </c>
      <c r="L1493" s="1" t="s">
        <v>11214</v>
      </c>
      <c r="M1493" s="6" t="s">
        <v>1368</v>
      </c>
      <c r="N1493" s="21" t="s">
        <v>4073</v>
      </c>
      <c r="O1493" s="21"/>
      <c r="P1493" s="21" t="s">
        <v>22</v>
      </c>
      <c r="R1493" s="2" t="s">
        <v>11222</v>
      </c>
    </row>
    <row r="1494" spans="1:18" ht="43.15">
      <c r="A1494" s="253" t="s">
        <v>11340</v>
      </c>
      <c r="B1494" s="400"/>
      <c r="C1494" s="21" t="s">
        <v>11206</v>
      </c>
      <c r="D1494" s="2" t="s">
        <v>11341</v>
      </c>
      <c r="E1494" s="2" t="s">
        <v>11342</v>
      </c>
      <c r="F1494" s="2" t="s">
        <v>11284</v>
      </c>
      <c r="G1494" s="2" t="s">
        <v>11343</v>
      </c>
      <c r="H1494" s="2" t="s">
        <v>11211</v>
      </c>
      <c r="I1494" s="2" t="s">
        <v>11344</v>
      </c>
      <c r="J1494" s="2" t="s">
        <v>11345</v>
      </c>
      <c r="K1494" s="2" t="s">
        <v>1442</v>
      </c>
      <c r="L1494" s="1" t="s">
        <v>11214</v>
      </c>
      <c r="M1494" s="6" t="s">
        <v>1368</v>
      </c>
      <c r="N1494" s="21" t="s">
        <v>1369</v>
      </c>
      <c r="O1494" s="21"/>
      <c r="P1494" s="21" t="s">
        <v>1371</v>
      </c>
      <c r="R1494" s="2" t="s">
        <v>11222</v>
      </c>
    </row>
    <row r="1495" spans="1:18" ht="43.15">
      <c r="A1495" s="253" t="s">
        <v>11346</v>
      </c>
      <c r="B1495" s="400"/>
      <c r="C1495" s="21" t="s">
        <v>11206</v>
      </c>
      <c r="D1495" s="2" t="s">
        <v>11347</v>
      </c>
      <c r="E1495" s="2" t="s">
        <v>11348</v>
      </c>
      <c r="F1495" s="2" t="s">
        <v>11349</v>
      </c>
      <c r="G1495" s="2" t="s">
        <v>11350</v>
      </c>
      <c r="H1495" s="2" t="s">
        <v>11351</v>
      </c>
      <c r="I1495" s="2" t="s">
        <v>11352</v>
      </c>
      <c r="J1495" s="2" t="s">
        <v>11353</v>
      </c>
      <c r="K1495" s="2" t="s">
        <v>1442</v>
      </c>
      <c r="L1495" s="1" t="s">
        <v>11214</v>
      </c>
      <c r="M1495" s="6" t="s">
        <v>1368</v>
      </c>
      <c r="N1495" s="21" t="s">
        <v>1369</v>
      </c>
      <c r="O1495" s="21"/>
      <c r="P1495" s="21" t="s">
        <v>1371</v>
      </c>
      <c r="R1495" s="2" t="s">
        <v>11222</v>
      </c>
    </row>
    <row r="1496" spans="1:18" ht="86.45">
      <c r="A1496" s="253" t="s">
        <v>11354</v>
      </c>
      <c r="B1496" s="400"/>
      <c r="C1496" s="21" t="s">
        <v>11206</v>
      </c>
      <c r="D1496" s="2" t="s">
        <v>11355</v>
      </c>
      <c r="E1496" s="2" t="s">
        <v>11356</v>
      </c>
      <c r="F1496" s="2" t="s">
        <v>11357</v>
      </c>
      <c r="G1496" s="2" t="s">
        <v>11358</v>
      </c>
      <c r="H1496" s="2" t="s">
        <v>11359</v>
      </c>
      <c r="I1496" s="2" t="s">
        <v>11360</v>
      </c>
      <c r="J1496" s="2" t="s">
        <v>11361</v>
      </c>
      <c r="K1496" s="2" t="s">
        <v>1442</v>
      </c>
      <c r="L1496" s="1" t="s">
        <v>11214</v>
      </c>
      <c r="M1496" s="6" t="s">
        <v>1368</v>
      </c>
      <c r="N1496" s="21" t="s">
        <v>4073</v>
      </c>
      <c r="O1496" s="21"/>
      <c r="P1496" s="21" t="s">
        <v>22</v>
      </c>
      <c r="R1496" s="2" t="s">
        <v>11222</v>
      </c>
    </row>
    <row r="1497" spans="1:18" ht="86.45">
      <c r="A1497" s="253" t="s">
        <v>11362</v>
      </c>
      <c r="B1497" s="400"/>
      <c r="C1497" s="21" t="s">
        <v>11206</v>
      </c>
      <c r="D1497" s="2" t="s">
        <v>11363</v>
      </c>
      <c r="E1497" s="2" t="s">
        <v>11364</v>
      </c>
      <c r="F1497" s="2" t="s">
        <v>11365</v>
      </c>
      <c r="G1497" s="2" t="s">
        <v>11366</v>
      </c>
      <c r="H1497" s="2" t="s">
        <v>11367</v>
      </c>
      <c r="I1497" s="2" t="s">
        <v>11368</v>
      </c>
      <c r="J1497" s="2" t="s">
        <v>11369</v>
      </c>
      <c r="K1497" s="2" t="s">
        <v>1442</v>
      </c>
      <c r="L1497" s="1" t="s">
        <v>11214</v>
      </c>
      <c r="M1497" s="6" t="s">
        <v>1368</v>
      </c>
      <c r="N1497" s="21" t="s">
        <v>1369</v>
      </c>
      <c r="O1497" s="21"/>
      <c r="P1497" s="21" t="s">
        <v>22</v>
      </c>
      <c r="R1497" s="2" t="s">
        <v>11222</v>
      </c>
    </row>
    <row r="1498" spans="1:18" ht="72">
      <c r="A1498" s="253" t="s">
        <v>11370</v>
      </c>
      <c r="B1498" s="400"/>
      <c r="C1498" s="21" t="s">
        <v>11206</v>
      </c>
      <c r="D1498" s="2" t="s">
        <v>11371</v>
      </c>
      <c r="E1498" s="2" t="s">
        <v>11372</v>
      </c>
      <c r="F1498" s="2" t="s">
        <v>11373</v>
      </c>
      <c r="G1498" s="2" t="s">
        <v>11374</v>
      </c>
      <c r="H1498" s="2" t="s">
        <v>11375</v>
      </c>
      <c r="I1498" s="2" t="s">
        <v>11376</v>
      </c>
      <c r="J1498" s="2" t="s">
        <v>11377</v>
      </c>
      <c r="K1498" s="2" t="s">
        <v>1442</v>
      </c>
      <c r="L1498" s="1" t="s">
        <v>11214</v>
      </c>
      <c r="M1498" s="6" t="s">
        <v>1368</v>
      </c>
      <c r="N1498" s="21" t="s">
        <v>1369</v>
      </c>
      <c r="O1498" s="21"/>
      <c r="P1498" s="21" t="s">
        <v>22</v>
      </c>
      <c r="R1498" s="2" t="s">
        <v>11222</v>
      </c>
    </row>
    <row r="1499" spans="1:18" ht="72">
      <c r="A1499" s="253" t="s">
        <v>11378</v>
      </c>
      <c r="B1499" s="400"/>
      <c r="C1499" s="21" t="s">
        <v>11206</v>
      </c>
      <c r="D1499" s="2" t="s">
        <v>11379</v>
      </c>
      <c r="E1499" s="2" t="s">
        <v>11380</v>
      </c>
      <c r="F1499" s="2" t="s">
        <v>11381</v>
      </c>
      <c r="G1499" s="2" t="s">
        <v>11382</v>
      </c>
      <c r="H1499" s="2" t="s">
        <v>11383</v>
      </c>
      <c r="I1499" s="2" t="s">
        <v>11384</v>
      </c>
      <c r="J1499" s="2" t="s">
        <v>11385</v>
      </c>
      <c r="K1499" s="2" t="s">
        <v>1442</v>
      </c>
      <c r="L1499" s="1" t="s">
        <v>11214</v>
      </c>
      <c r="M1499" s="6" t="s">
        <v>1368</v>
      </c>
      <c r="N1499" s="21" t="s">
        <v>4073</v>
      </c>
      <c r="O1499" s="21"/>
      <c r="P1499" s="21" t="s">
        <v>22</v>
      </c>
      <c r="R1499" s="2" t="s">
        <v>11222</v>
      </c>
    </row>
    <row r="1500" spans="1:18" ht="72">
      <c r="A1500" s="253" t="s">
        <v>11386</v>
      </c>
      <c r="B1500" s="400"/>
      <c r="C1500" s="21" t="s">
        <v>11206</v>
      </c>
      <c r="D1500" s="2" t="s">
        <v>11387</v>
      </c>
      <c r="E1500" s="2" t="s">
        <v>11388</v>
      </c>
      <c r="F1500" s="2" t="s">
        <v>11389</v>
      </c>
      <c r="G1500" s="2" t="s">
        <v>11390</v>
      </c>
      <c r="H1500" s="2" t="s">
        <v>11391</v>
      </c>
      <c r="I1500" s="2" t="s">
        <v>11392</v>
      </c>
      <c r="J1500" s="2" t="s">
        <v>11393</v>
      </c>
      <c r="K1500" s="2" t="s">
        <v>1442</v>
      </c>
      <c r="L1500" s="1" t="s">
        <v>11214</v>
      </c>
      <c r="M1500" s="6" t="s">
        <v>1368</v>
      </c>
      <c r="N1500" s="21" t="s">
        <v>4073</v>
      </c>
      <c r="O1500" s="21"/>
      <c r="P1500" s="21" t="s">
        <v>1371</v>
      </c>
      <c r="R1500" s="2" t="s">
        <v>11222</v>
      </c>
    </row>
    <row r="1501" spans="1:18" ht="57.6">
      <c r="A1501" s="253" t="s">
        <v>11394</v>
      </c>
      <c r="B1501" s="400"/>
      <c r="C1501" s="21" t="s">
        <v>11206</v>
      </c>
      <c r="D1501" s="2" t="s">
        <v>11395</v>
      </c>
      <c r="E1501" s="2" t="s">
        <v>11396</v>
      </c>
      <c r="F1501" s="2" t="s">
        <v>11397</v>
      </c>
      <c r="G1501" s="2" t="s">
        <v>11398</v>
      </c>
      <c r="H1501" s="2" t="s">
        <v>11399</v>
      </c>
      <c r="I1501" s="2" t="s">
        <v>11400</v>
      </c>
      <c r="J1501" s="2" t="s">
        <v>11401</v>
      </c>
      <c r="K1501" s="2" t="s">
        <v>1442</v>
      </c>
      <c r="L1501" s="1" t="s">
        <v>11214</v>
      </c>
      <c r="M1501" s="6" t="s">
        <v>1368</v>
      </c>
      <c r="N1501" s="21" t="s">
        <v>1369</v>
      </c>
      <c r="O1501" s="21"/>
      <c r="P1501" s="21" t="s">
        <v>1371</v>
      </c>
      <c r="R1501" s="2" t="s">
        <v>11222</v>
      </c>
    </row>
    <row r="1502" spans="1:18" ht="57.6">
      <c r="A1502" s="253" t="s">
        <v>11402</v>
      </c>
      <c r="B1502" s="400"/>
      <c r="C1502" s="21" t="s">
        <v>11206</v>
      </c>
      <c r="D1502" s="2" t="s">
        <v>11403</v>
      </c>
      <c r="E1502" s="2" t="s">
        <v>11404</v>
      </c>
      <c r="F1502" s="2" t="s">
        <v>11405</v>
      </c>
      <c r="G1502" s="2" t="s">
        <v>11406</v>
      </c>
      <c r="H1502" s="2" t="s">
        <v>10793</v>
      </c>
      <c r="I1502" s="2" t="s">
        <v>11407</v>
      </c>
      <c r="J1502" s="2" t="s">
        <v>11408</v>
      </c>
      <c r="K1502" s="2" t="s">
        <v>1442</v>
      </c>
      <c r="L1502" s="1" t="s">
        <v>11214</v>
      </c>
      <c r="M1502" s="6" t="s">
        <v>1368</v>
      </c>
      <c r="N1502" s="21" t="s">
        <v>4073</v>
      </c>
      <c r="O1502" s="21"/>
      <c r="P1502" s="21" t="s">
        <v>1371</v>
      </c>
      <c r="R1502" s="2" t="s">
        <v>11222</v>
      </c>
    </row>
    <row r="1503" spans="1:18" ht="72">
      <c r="A1503" s="253" t="s">
        <v>11409</v>
      </c>
      <c r="B1503" s="400"/>
      <c r="C1503" s="21" t="s">
        <v>11206</v>
      </c>
      <c r="D1503" s="2" t="s">
        <v>11410</v>
      </c>
      <c r="E1503" s="2" t="s">
        <v>11411</v>
      </c>
      <c r="F1503" s="2" t="s">
        <v>11412</v>
      </c>
      <c r="G1503" s="2" t="s">
        <v>11413</v>
      </c>
      <c r="H1503" s="2" t="s">
        <v>11414</v>
      </c>
      <c r="I1503" s="2" t="s">
        <v>11415</v>
      </c>
      <c r="J1503" s="2" t="s">
        <v>11416</v>
      </c>
      <c r="K1503" s="2" t="s">
        <v>1442</v>
      </c>
      <c r="L1503" s="1" t="s">
        <v>11214</v>
      </c>
      <c r="M1503" s="6" t="s">
        <v>1368</v>
      </c>
      <c r="N1503" s="21" t="s">
        <v>1369</v>
      </c>
      <c r="O1503" s="21"/>
      <c r="P1503" s="21" t="s">
        <v>1481</v>
      </c>
      <c r="R1503" s="2" t="s">
        <v>11222</v>
      </c>
    </row>
    <row r="1504" spans="1:18" ht="57.6">
      <c r="A1504" s="253" t="s">
        <v>11417</v>
      </c>
      <c r="B1504" s="400"/>
      <c r="C1504" s="21" t="s">
        <v>11206</v>
      </c>
      <c r="D1504" s="2" t="s">
        <v>11418</v>
      </c>
      <c r="E1504" s="2" t="s">
        <v>11419</v>
      </c>
      <c r="F1504" s="2" t="s">
        <v>11420</v>
      </c>
      <c r="G1504" s="2" t="s">
        <v>11421</v>
      </c>
      <c r="H1504" s="2" t="s">
        <v>11422</v>
      </c>
      <c r="I1504" s="2" t="s">
        <v>11423</v>
      </c>
      <c r="J1504" s="2" t="s">
        <v>11424</v>
      </c>
      <c r="K1504" s="2" t="s">
        <v>1442</v>
      </c>
      <c r="L1504" s="1" t="s">
        <v>11214</v>
      </c>
      <c r="M1504" s="6" t="s">
        <v>1368</v>
      </c>
      <c r="N1504" s="21" t="s">
        <v>1369</v>
      </c>
      <c r="O1504" s="21"/>
      <c r="P1504" s="21" t="s">
        <v>1371</v>
      </c>
      <c r="R1504" s="2" t="s">
        <v>11222</v>
      </c>
    </row>
    <row r="1505" spans="1:18" ht="57.6">
      <c r="A1505" s="253" t="s">
        <v>11425</v>
      </c>
      <c r="B1505" s="400"/>
      <c r="C1505" s="21" t="s">
        <v>11206</v>
      </c>
      <c r="D1505" s="2" t="s">
        <v>11426</v>
      </c>
      <c r="E1505" s="2" t="s">
        <v>11427</v>
      </c>
      <c r="F1505" s="2" t="s">
        <v>11428</v>
      </c>
      <c r="G1505" s="2" t="s">
        <v>11429</v>
      </c>
      <c r="H1505" s="2" t="s">
        <v>11430</v>
      </c>
      <c r="I1505" s="2" t="s">
        <v>11431</v>
      </c>
      <c r="J1505" s="2" t="s">
        <v>11432</v>
      </c>
      <c r="K1505" s="2" t="s">
        <v>1442</v>
      </c>
      <c r="L1505" s="1" t="s">
        <v>11214</v>
      </c>
      <c r="M1505" s="6" t="s">
        <v>1368</v>
      </c>
      <c r="N1505" s="21" t="s">
        <v>4073</v>
      </c>
      <c r="O1505" s="21"/>
      <c r="P1505" s="21" t="s">
        <v>22</v>
      </c>
      <c r="R1505" s="2" t="s">
        <v>11222</v>
      </c>
    </row>
    <row r="1506" spans="1:18" ht="57.6">
      <c r="A1506" s="253" t="s">
        <v>11433</v>
      </c>
      <c r="B1506" s="400"/>
      <c r="C1506" s="21" t="s">
        <v>11206</v>
      </c>
      <c r="D1506" s="2" t="s">
        <v>11434</v>
      </c>
      <c r="E1506" s="2" t="s">
        <v>11435</v>
      </c>
      <c r="F1506" s="2" t="s">
        <v>11436</v>
      </c>
      <c r="G1506" s="2" t="s">
        <v>11437</v>
      </c>
      <c r="H1506" s="2" t="s">
        <v>11438</v>
      </c>
      <c r="I1506" s="2" t="s">
        <v>11439</v>
      </c>
      <c r="J1506" s="2" t="s">
        <v>11440</v>
      </c>
      <c r="K1506" s="2" t="s">
        <v>1442</v>
      </c>
      <c r="L1506" s="1" t="s">
        <v>11214</v>
      </c>
      <c r="M1506" s="6" t="s">
        <v>1368</v>
      </c>
      <c r="N1506" s="21" t="s">
        <v>4073</v>
      </c>
      <c r="O1506" s="21"/>
      <c r="P1506" s="21" t="s">
        <v>22</v>
      </c>
      <c r="R1506" s="2" t="s">
        <v>11222</v>
      </c>
    </row>
    <row r="1507" spans="1:18" ht="43.15">
      <c r="A1507" s="253" t="s">
        <v>11441</v>
      </c>
      <c r="B1507" s="400"/>
      <c r="C1507" s="21" t="s">
        <v>11206</v>
      </c>
      <c r="D1507" s="2" t="s">
        <v>11442</v>
      </c>
      <c r="E1507" s="2" t="s">
        <v>11443</v>
      </c>
      <c r="F1507" s="2" t="s">
        <v>11444</v>
      </c>
      <c r="G1507" s="2" t="s">
        <v>11445</v>
      </c>
      <c r="H1507" s="2" t="s">
        <v>11446</v>
      </c>
      <c r="I1507" s="2" t="s">
        <v>11447</v>
      </c>
      <c r="J1507" s="2" t="s">
        <v>11448</v>
      </c>
      <c r="K1507" s="2" t="s">
        <v>1442</v>
      </c>
      <c r="L1507" s="1" t="s">
        <v>11214</v>
      </c>
      <c r="M1507" s="6" t="s">
        <v>1368</v>
      </c>
      <c r="N1507" s="21" t="s">
        <v>1369</v>
      </c>
      <c r="O1507" s="21"/>
      <c r="P1507" s="21" t="s">
        <v>1371</v>
      </c>
      <c r="R1507" s="2" t="s">
        <v>11222</v>
      </c>
    </row>
    <row r="1508" spans="1:18" ht="43.15">
      <c r="A1508" s="253" t="s">
        <v>11449</v>
      </c>
      <c r="B1508" s="400"/>
      <c r="C1508" s="21" t="s">
        <v>11206</v>
      </c>
      <c r="D1508" s="2" t="s">
        <v>11450</v>
      </c>
      <c r="E1508" s="2" t="s">
        <v>11451</v>
      </c>
      <c r="F1508" s="2" t="s">
        <v>11452</v>
      </c>
      <c r="G1508" s="2" t="s">
        <v>11453</v>
      </c>
      <c r="H1508" s="2" t="s">
        <v>11454</v>
      </c>
      <c r="I1508" s="2" t="s">
        <v>11455</v>
      </c>
      <c r="J1508" s="2" t="s">
        <v>10438</v>
      </c>
      <c r="K1508" s="2" t="s">
        <v>1442</v>
      </c>
      <c r="L1508" s="1" t="s">
        <v>11214</v>
      </c>
      <c r="M1508" s="6" t="s">
        <v>1368</v>
      </c>
      <c r="N1508" s="21" t="s">
        <v>1369</v>
      </c>
      <c r="O1508" s="21"/>
      <c r="P1508" s="21" t="s">
        <v>22</v>
      </c>
      <c r="R1508" s="2" t="s">
        <v>11222</v>
      </c>
    </row>
    <row r="1509" spans="1:18" ht="43.15">
      <c r="A1509" s="253" t="s">
        <v>11456</v>
      </c>
      <c r="B1509" s="400"/>
      <c r="C1509" s="21" t="s">
        <v>11206</v>
      </c>
      <c r="D1509" s="2" t="s">
        <v>11457</v>
      </c>
      <c r="E1509" s="2" t="s">
        <v>11458</v>
      </c>
      <c r="F1509" s="2" t="s">
        <v>11459</v>
      </c>
      <c r="G1509" s="2" t="s">
        <v>11460</v>
      </c>
      <c r="H1509" s="2" t="s">
        <v>11461</v>
      </c>
      <c r="I1509" s="2" t="s">
        <v>11462</v>
      </c>
      <c r="J1509" s="2" t="s">
        <v>11463</v>
      </c>
      <c r="K1509" s="2" t="s">
        <v>1442</v>
      </c>
      <c r="L1509" s="1" t="s">
        <v>11214</v>
      </c>
      <c r="M1509" s="6" t="s">
        <v>1368</v>
      </c>
      <c r="N1509" s="21" t="s">
        <v>4073</v>
      </c>
      <c r="O1509" s="21"/>
      <c r="P1509" s="21" t="s">
        <v>1371</v>
      </c>
      <c r="R1509" s="2" t="s">
        <v>11222</v>
      </c>
    </row>
    <row r="1510" spans="1:18" ht="57.6">
      <c r="A1510" s="253" t="s">
        <v>11464</v>
      </c>
      <c r="B1510" s="400"/>
      <c r="C1510" s="21" t="s">
        <v>11206</v>
      </c>
      <c r="D1510" s="2" t="s">
        <v>11465</v>
      </c>
      <c r="E1510" s="2" t="s">
        <v>11466</v>
      </c>
      <c r="F1510" s="2" t="s">
        <v>11467</v>
      </c>
      <c r="G1510" s="2" t="s">
        <v>11468</v>
      </c>
      <c r="H1510" s="2" t="s">
        <v>11469</v>
      </c>
      <c r="I1510" s="2" t="s">
        <v>11470</v>
      </c>
      <c r="J1510" s="2" t="s">
        <v>11471</v>
      </c>
      <c r="K1510" s="2" t="s">
        <v>1442</v>
      </c>
      <c r="L1510" s="1" t="s">
        <v>11214</v>
      </c>
      <c r="M1510" s="6" t="s">
        <v>1368</v>
      </c>
      <c r="N1510" s="21" t="s">
        <v>1369</v>
      </c>
      <c r="O1510" s="21"/>
      <c r="P1510" s="21" t="s">
        <v>22</v>
      </c>
      <c r="R1510" s="2" t="s">
        <v>11222</v>
      </c>
    </row>
    <row r="1511" spans="1:18" ht="86.45">
      <c r="A1511" s="253" t="s">
        <v>11472</v>
      </c>
      <c r="B1511" s="400"/>
      <c r="C1511" s="21" t="s">
        <v>11206</v>
      </c>
      <c r="D1511" s="2" t="s">
        <v>11473</v>
      </c>
      <c r="E1511" s="2" t="s">
        <v>11474</v>
      </c>
      <c r="F1511" s="2" t="s">
        <v>11475</v>
      </c>
      <c r="G1511" s="2" t="s">
        <v>11476</v>
      </c>
      <c r="H1511" s="2" t="s">
        <v>11477</v>
      </c>
      <c r="I1511" s="2" t="s">
        <v>11478</v>
      </c>
      <c r="J1511" s="2" t="s">
        <v>11479</v>
      </c>
      <c r="K1511" s="2" t="s">
        <v>1442</v>
      </c>
      <c r="L1511" s="1" t="s">
        <v>11214</v>
      </c>
      <c r="M1511" s="6" t="s">
        <v>1368</v>
      </c>
      <c r="N1511" s="21" t="s">
        <v>1369</v>
      </c>
      <c r="O1511" s="21"/>
      <c r="P1511" s="21" t="s">
        <v>22</v>
      </c>
      <c r="R1511" s="2" t="s">
        <v>11222</v>
      </c>
    </row>
    <row r="1512" spans="1:18" ht="57.6">
      <c r="A1512" s="253" t="s">
        <v>11480</v>
      </c>
      <c r="B1512" s="400"/>
      <c r="C1512" s="21" t="s">
        <v>11206</v>
      </c>
      <c r="D1512" s="2" t="s">
        <v>11481</v>
      </c>
      <c r="E1512" s="2" t="s">
        <v>11482</v>
      </c>
      <c r="F1512" s="2" t="s">
        <v>11483</v>
      </c>
      <c r="G1512" s="2" t="s">
        <v>11484</v>
      </c>
      <c r="H1512" s="2" t="s">
        <v>11485</v>
      </c>
      <c r="I1512" s="2" t="s">
        <v>11486</v>
      </c>
      <c r="J1512" s="2" t="s">
        <v>11487</v>
      </c>
      <c r="K1512" s="2" t="s">
        <v>1442</v>
      </c>
      <c r="L1512" s="1" t="s">
        <v>11214</v>
      </c>
      <c r="M1512" s="6" t="s">
        <v>1368</v>
      </c>
      <c r="N1512" s="21" t="s">
        <v>4073</v>
      </c>
      <c r="O1512" s="21"/>
      <c r="P1512" s="21" t="s">
        <v>1371</v>
      </c>
      <c r="R1512" s="2" t="s">
        <v>11222</v>
      </c>
    </row>
    <row r="1513" spans="1:18" ht="57.6">
      <c r="A1513" s="253" t="s">
        <v>11488</v>
      </c>
      <c r="B1513" s="400"/>
      <c r="C1513" s="21" t="s">
        <v>11206</v>
      </c>
      <c r="D1513" s="2" t="s">
        <v>11489</v>
      </c>
      <c r="E1513" s="2" t="s">
        <v>11490</v>
      </c>
      <c r="F1513" s="2" t="s">
        <v>11491</v>
      </c>
      <c r="G1513" s="2" t="s">
        <v>11492</v>
      </c>
      <c r="H1513" s="2" t="s">
        <v>11493</v>
      </c>
      <c r="I1513" s="2" t="s">
        <v>11494</v>
      </c>
      <c r="J1513" s="2" t="s">
        <v>11495</v>
      </c>
      <c r="K1513" s="2" t="s">
        <v>1442</v>
      </c>
      <c r="L1513" s="1" t="s">
        <v>11214</v>
      </c>
      <c r="M1513" s="6" t="s">
        <v>1368</v>
      </c>
      <c r="N1513" s="21" t="s">
        <v>4073</v>
      </c>
      <c r="O1513" s="21"/>
      <c r="P1513" s="21" t="s">
        <v>1481</v>
      </c>
      <c r="R1513" s="2" t="s">
        <v>11222</v>
      </c>
    </row>
    <row r="1514" spans="1:18" ht="43.15">
      <c r="A1514" s="253" t="s">
        <v>11496</v>
      </c>
      <c r="B1514" s="400"/>
      <c r="C1514" s="21" t="s">
        <v>11206</v>
      </c>
      <c r="D1514" s="2" t="s">
        <v>11497</v>
      </c>
      <c r="E1514" s="2" t="s">
        <v>11498</v>
      </c>
      <c r="F1514" s="2" t="s">
        <v>11499</v>
      </c>
      <c r="G1514" s="2" t="s">
        <v>11500</v>
      </c>
      <c r="H1514" s="2" t="s">
        <v>11501</v>
      </c>
      <c r="I1514" s="2" t="s">
        <v>11502</v>
      </c>
      <c r="J1514" s="2" t="s">
        <v>11503</v>
      </c>
      <c r="K1514" s="2" t="s">
        <v>1442</v>
      </c>
      <c r="L1514" s="1" t="s">
        <v>11214</v>
      </c>
      <c r="M1514" s="6" t="s">
        <v>1368</v>
      </c>
      <c r="N1514" s="21" t="s">
        <v>4073</v>
      </c>
      <c r="O1514" s="21"/>
      <c r="P1514" s="21" t="s">
        <v>1371</v>
      </c>
      <c r="R1514" s="2" t="s">
        <v>11222</v>
      </c>
    </row>
    <row r="1515" spans="1:18" ht="57.6">
      <c r="A1515" s="253" t="s">
        <v>11504</v>
      </c>
      <c r="B1515" s="400"/>
      <c r="C1515" s="21" t="s">
        <v>11206</v>
      </c>
      <c r="D1515" s="2" t="s">
        <v>11505</v>
      </c>
      <c r="E1515" s="2" t="s">
        <v>11506</v>
      </c>
      <c r="F1515" s="2" t="s">
        <v>11507</v>
      </c>
      <c r="G1515" s="2" t="s">
        <v>11508</v>
      </c>
      <c r="H1515" s="2" t="s">
        <v>11509</v>
      </c>
      <c r="I1515" s="2" t="s">
        <v>11510</v>
      </c>
      <c r="J1515" s="2" t="s">
        <v>11471</v>
      </c>
      <c r="K1515" s="2" t="s">
        <v>1442</v>
      </c>
      <c r="L1515" s="1" t="s">
        <v>11214</v>
      </c>
      <c r="M1515" s="6" t="s">
        <v>1368</v>
      </c>
      <c r="N1515" s="21" t="s">
        <v>4073</v>
      </c>
      <c r="O1515" s="21"/>
      <c r="P1515" s="21" t="s">
        <v>22</v>
      </c>
      <c r="R1515" s="2" t="s">
        <v>11222</v>
      </c>
    </row>
    <row r="1516" spans="1:18" ht="72">
      <c r="A1516" s="253" t="s">
        <v>11511</v>
      </c>
      <c r="B1516" s="400"/>
      <c r="C1516" s="21" t="s">
        <v>11206</v>
      </c>
      <c r="D1516" s="2" t="s">
        <v>11512</v>
      </c>
      <c r="E1516" s="2" t="s">
        <v>11513</v>
      </c>
      <c r="F1516" s="2" t="s">
        <v>11514</v>
      </c>
      <c r="G1516" s="2" t="s">
        <v>11515</v>
      </c>
      <c r="H1516" s="2" t="s">
        <v>11516</v>
      </c>
      <c r="I1516" s="2" t="s">
        <v>11517</v>
      </c>
      <c r="J1516" s="2" t="s">
        <v>11518</v>
      </c>
      <c r="K1516" s="2" t="s">
        <v>1442</v>
      </c>
      <c r="L1516" s="1" t="s">
        <v>11214</v>
      </c>
      <c r="M1516" s="6" t="s">
        <v>1368</v>
      </c>
      <c r="N1516" s="21" t="s">
        <v>4073</v>
      </c>
      <c r="O1516" s="21"/>
      <c r="P1516" s="21" t="s">
        <v>22</v>
      </c>
      <c r="R1516" s="2" t="s">
        <v>11222</v>
      </c>
    </row>
    <row r="1517" spans="1:18" ht="72">
      <c r="A1517" s="253" t="s">
        <v>11519</v>
      </c>
      <c r="B1517" s="400"/>
      <c r="C1517" s="21" t="s">
        <v>11206</v>
      </c>
      <c r="D1517" s="2" t="s">
        <v>11520</v>
      </c>
      <c r="E1517" s="2" t="s">
        <v>11521</v>
      </c>
      <c r="F1517" s="2" t="s">
        <v>11522</v>
      </c>
      <c r="G1517" s="2" t="s">
        <v>11523</v>
      </c>
      <c r="H1517" s="2" t="s">
        <v>11524</v>
      </c>
      <c r="I1517" s="2" t="s">
        <v>11525</v>
      </c>
      <c r="J1517" s="2" t="s">
        <v>11526</v>
      </c>
      <c r="K1517" s="2" t="s">
        <v>1442</v>
      </c>
      <c r="L1517" s="1" t="s">
        <v>11214</v>
      </c>
      <c r="M1517" s="6" t="s">
        <v>1368</v>
      </c>
      <c r="N1517" s="21" t="s">
        <v>1369</v>
      </c>
      <c r="O1517" s="21"/>
      <c r="P1517" s="21" t="s">
        <v>22</v>
      </c>
      <c r="R1517" s="2" t="s">
        <v>11222</v>
      </c>
    </row>
    <row r="1518" spans="1:18" ht="57.6">
      <c r="A1518" s="253" t="s">
        <v>11527</v>
      </c>
      <c r="B1518" s="400"/>
      <c r="C1518" s="21" t="s">
        <v>11206</v>
      </c>
      <c r="D1518" s="2" t="s">
        <v>11528</v>
      </c>
      <c r="E1518" s="2" t="s">
        <v>11529</v>
      </c>
      <c r="F1518" s="2" t="s">
        <v>11530</v>
      </c>
      <c r="G1518" s="2" t="s">
        <v>11531</v>
      </c>
      <c r="H1518" s="2" t="s">
        <v>11532</v>
      </c>
      <c r="I1518" s="2" t="s">
        <v>11533</v>
      </c>
      <c r="J1518" s="2" t="s">
        <v>11534</v>
      </c>
      <c r="K1518" s="2" t="s">
        <v>1442</v>
      </c>
      <c r="L1518" s="1" t="s">
        <v>11214</v>
      </c>
      <c r="M1518" s="6" t="s">
        <v>1368</v>
      </c>
      <c r="N1518" s="21" t="s">
        <v>4073</v>
      </c>
      <c r="O1518" s="21"/>
      <c r="P1518" s="21" t="s">
        <v>1371</v>
      </c>
      <c r="R1518" s="2" t="s">
        <v>11222</v>
      </c>
    </row>
    <row r="1519" spans="1:18" ht="43.15">
      <c r="A1519" s="253" t="s">
        <v>11535</v>
      </c>
      <c r="B1519" s="400"/>
      <c r="C1519" s="21" t="s">
        <v>11206</v>
      </c>
      <c r="D1519" s="2" t="s">
        <v>11536</v>
      </c>
      <c r="E1519" s="2" t="s">
        <v>11537</v>
      </c>
      <c r="F1519" s="2" t="s">
        <v>11538</v>
      </c>
      <c r="G1519" s="2" t="s">
        <v>11539</v>
      </c>
      <c r="H1519" s="2" t="s">
        <v>11540</v>
      </c>
      <c r="I1519" s="2" t="s">
        <v>11541</v>
      </c>
      <c r="J1519" s="2" t="s">
        <v>11542</v>
      </c>
      <c r="K1519" s="2" t="s">
        <v>1442</v>
      </c>
      <c r="L1519" s="1" t="s">
        <v>11214</v>
      </c>
      <c r="M1519" s="6" t="s">
        <v>1368</v>
      </c>
      <c r="N1519" s="21" t="s">
        <v>4073</v>
      </c>
      <c r="O1519" s="21"/>
      <c r="P1519" s="21" t="s">
        <v>22</v>
      </c>
      <c r="R1519" s="2" t="s">
        <v>11222</v>
      </c>
    </row>
    <row r="1520" spans="1:18" ht="57.6">
      <c r="A1520" s="253" t="s">
        <v>11543</v>
      </c>
      <c r="B1520" s="400"/>
      <c r="C1520" s="21" t="s">
        <v>11206</v>
      </c>
      <c r="D1520" s="2" t="s">
        <v>11544</v>
      </c>
      <c r="E1520" s="2" t="s">
        <v>11545</v>
      </c>
      <c r="F1520" s="2" t="s">
        <v>11546</v>
      </c>
      <c r="G1520" s="2" t="s">
        <v>11547</v>
      </c>
      <c r="H1520" s="2" t="s">
        <v>11524</v>
      </c>
      <c r="I1520" s="2" t="s">
        <v>11548</v>
      </c>
      <c r="J1520" s="2" t="s">
        <v>11549</v>
      </c>
      <c r="K1520" s="2" t="s">
        <v>1442</v>
      </c>
      <c r="L1520" s="1" t="s">
        <v>11214</v>
      </c>
      <c r="M1520" s="6" t="s">
        <v>1368</v>
      </c>
      <c r="N1520" s="21" t="s">
        <v>1369</v>
      </c>
      <c r="O1520" s="21"/>
      <c r="P1520" s="21" t="s">
        <v>22</v>
      </c>
      <c r="R1520" s="2" t="s">
        <v>11222</v>
      </c>
    </row>
    <row r="1521" spans="1:33" ht="57.6">
      <c r="A1521" s="253" t="s">
        <v>11550</v>
      </c>
      <c r="B1521" s="400"/>
      <c r="C1521" s="21" t="s">
        <v>11206</v>
      </c>
      <c r="D1521" s="2" t="s">
        <v>11551</v>
      </c>
      <c r="E1521" s="2" t="s">
        <v>11552</v>
      </c>
      <c r="F1521" s="2" t="s">
        <v>11553</v>
      </c>
      <c r="G1521" s="2" t="s">
        <v>11554</v>
      </c>
      <c r="H1521" s="2" t="s">
        <v>11555</v>
      </c>
      <c r="I1521" s="2" t="s">
        <v>11556</v>
      </c>
      <c r="J1521" s="2" t="s">
        <v>11557</v>
      </c>
      <c r="K1521" s="2" t="s">
        <v>1442</v>
      </c>
      <c r="L1521" s="1" t="s">
        <v>11214</v>
      </c>
      <c r="M1521" s="6" t="s">
        <v>1368</v>
      </c>
      <c r="N1521" s="21" t="s">
        <v>4073</v>
      </c>
      <c r="O1521" s="21"/>
      <c r="P1521" s="21" t="s">
        <v>1393</v>
      </c>
      <c r="R1521" s="2" t="s">
        <v>11222</v>
      </c>
    </row>
    <row r="1522" spans="1:33" ht="57.6">
      <c r="A1522" s="253" t="s">
        <v>11558</v>
      </c>
      <c r="B1522" s="400"/>
      <c r="C1522" s="21" t="s">
        <v>11206</v>
      </c>
      <c r="D1522" s="2" t="s">
        <v>11559</v>
      </c>
      <c r="E1522" s="2" t="s">
        <v>11560</v>
      </c>
      <c r="F1522" s="2" t="s">
        <v>11561</v>
      </c>
      <c r="G1522" s="2" t="s">
        <v>11562</v>
      </c>
      <c r="H1522" s="2" t="s">
        <v>11563</v>
      </c>
      <c r="I1522" s="2" t="s">
        <v>11564</v>
      </c>
      <c r="J1522" s="2" t="s">
        <v>11565</v>
      </c>
      <c r="K1522" s="2" t="s">
        <v>1442</v>
      </c>
      <c r="L1522" s="1" t="s">
        <v>11214</v>
      </c>
      <c r="M1522" s="6" t="s">
        <v>1368</v>
      </c>
      <c r="N1522" s="21" t="s">
        <v>1369</v>
      </c>
      <c r="O1522" s="21"/>
      <c r="P1522" s="21" t="s">
        <v>1393</v>
      </c>
      <c r="R1522" s="2" t="s">
        <v>11222</v>
      </c>
    </row>
    <row r="1523" spans="1:33" ht="72">
      <c r="A1523" s="253" t="s">
        <v>11566</v>
      </c>
      <c r="B1523" s="400"/>
      <c r="C1523" s="21" t="s">
        <v>11206</v>
      </c>
      <c r="D1523" s="2" t="s">
        <v>11567</v>
      </c>
      <c r="E1523" s="2" t="s">
        <v>11568</v>
      </c>
      <c r="F1523" s="2" t="s">
        <v>11569</v>
      </c>
      <c r="G1523" s="2" t="s">
        <v>11570</v>
      </c>
      <c r="H1523" s="2" t="s">
        <v>11571</v>
      </c>
      <c r="I1523" s="2" t="s">
        <v>11572</v>
      </c>
      <c r="J1523" s="2" t="s">
        <v>11573</v>
      </c>
      <c r="K1523" s="2" t="s">
        <v>1442</v>
      </c>
      <c r="L1523" s="1" t="s">
        <v>11214</v>
      </c>
      <c r="M1523" s="6" t="s">
        <v>1368</v>
      </c>
      <c r="N1523" s="21" t="s">
        <v>4073</v>
      </c>
      <c r="O1523" s="21"/>
      <c r="P1523" s="21" t="s">
        <v>1393</v>
      </c>
      <c r="R1523" s="2" t="s">
        <v>11222</v>
      </c>
    </row>
    <row r="1524" spans="1:33" ht="57.6">
      <c r="A1524" s="253" t="s">
        <v>11574</v>
      </c>
      <c r="B1524" s="400"/>
      <c r="C1524" s="21" t="s">
        <v>11206</v>
      </c>
      <c r="D1524" s="2" t="s">
        <v>11575</v>
      </c>
      <c r="E1524" s="2" t="s">
        <v>11576</v>
      </c>
      <c r="F1524" s="2" t="s">
        <v>11577</v>
      </c>
      <c r="G1524" s="2" t="s">
        <v>11578</v>
      </c>
      <c r="H1524" s="2" t="s">
        <v>11579</v>
      </c>
      <c r="I1524" s="2" t="s">
        <v>11580</v>
      </c>
      <c r="J1524" s="2" t="s">
        <v>11581</v>
      </c>
      <c r="K1524" s="2" t="s">
        <v>1442</v>
      </c>
      <c r="L1524" s="1" t="s">
        <v>11214</v>
      </c>
      <c r="M1524" s="6" t="s">
        <v>1368</v>
      </c>
      <c r="N1524" s="21" t="s">
        <v>4073</v>
      </c>
      <c r="O1524" s="21"/>
      <c r="P1524" s="21" t="s">
        <v>1393</v>
      </c>
      <c r="R1524" s="2" t="s">
        <v>11222</v>
      </c>
    </row>
    <row r="1525" spans="1:33" ht="57.6">
      <c r="A1525" s="253" t="s">
        <v>11582</v>
      </c>
      <c r="B1525" s="400"/>
      <c r="C1525" s="21" t="s">
        <v>11206</v>
      </c>
      <c r="D1525" s="2" t="s">
        <v>11583</v>
      </c>
      <c r="E1525" s="2" t="s">
        <v>11584</v>
      </c>
      <c r="F1525" s="2" t="s">
        <v>11585</v>
      </c>
      <c r="G1525" s="2" t="s">
        <v>11586</v>
      </c>
      <c r="H1525" s="2" t="s">
        <v>11587</v>
      </c>
      <c r="I1525" s="2" t="s">
        <v>11588</v>
      </c>
      <c r="J1525" s="2" t="s">
        <v>11589</v>
      </c>
      <c r="K1525" s="2" t="s">
        <v>1442</v>
      </c>
      <c r="L1525" s="1" t="s">
        <v>11214</v>
      </c>
      <c r="M1525" s="6" t="s">
        <v>1368</v>
      </c>
      <c r="N1525" s="21" t="s">
        <v>1369</v>
      </c>
      <c r="O1525" s="21"/>
      <c r="P1525" s="21" t="s">
        <v>1393</v>
      </c>
      <c r="R1525" s="2" t="s">
        <v>11222</v>
      </c>
      <c r="AG1525"/>
    </row>
    <row r="1526" spans="1:33" ht="57.6">
      <c r="A1526" s="253" t="s">
        <v>11590</v>
      </c>
      <c r="B1526" s="400"/>
      <c r="C1526" s="21" t="s">
        <v>11206</v>
      </c>
      <c r="D1526" s="2" t="s">
        <v>11591</v>
      </c>
      <c r="E1526" s="2" t="s">
        <v>11592</v>
      </c>
      <c r="F1526" s="2" t="s">
        <v>11593</v>
      </c>
      <c r="G1526" s="2" t="s">
        <v>11594</v>
      </c>
      <c r="H1526" s="2" t="s">
        <v>11595</v>
      </c>
      <c r="I1526" s="2" t="s">
        <v>11596</v>
      </c>
      <c r="J1526" s="2" t="s">
        <v>11597</v>
      </c>
      <c r="K1526" s="2" t="s">
        <v>11598</v>
      </c>
      <c r="L1526" s="25" t="s">
        <v>11599</v>
      </c>
      <c r="M1526" s="21" t="s">
        <v>1368</v>
      </c>
      <c r="N1526" s="21" t="s">
        <v>4073</v>
      </c>
      <c r="O1526" t="s">
        <v>8671</v>
      </c>
      <c r="P1526" s="21" t="s">
        <v>22</v>
      </c>
      <c r="Q1526"/>
      <c r="AG1526"/>
    </row>
    <row r="1527" spans="1:33" ht="43.15">
      <c r="A1527" s="253" t="s">
        <v>11600</v>
      </c>
      <c r="B1527" s="400"/>
      <c r="C1527" s="21" t="s">
        <v>11206</v>
      </c>
      <c r="D1527" s="2" t="s">
        <v>11601</v>
      </c>
      <c r="E1527" s="2" t="s">
        <v>11602</v>
      </c>
      <c r="F1527" s="2" t="s">
        <v>11603</v>
      </c>
      <c r="G1527" s="2" t="s">
        <v>11604</v>
      </c>
      <c r="H1527" s="2" t="s">
        <v>11605</v>
      </c>
      <c r="I1527" s="2" t="s">
        <v>11606</v>
      </c>
      <c r="J1527" s="2" t="s">
        <v>11607</v>
      </c>
      <c r="K1527" s="2" t="s">
        <v>11598</v>
      </c>
      <c r="L1527" s="25" t="s">
        <v>11599</v>
      </c>
      <c r="M1527" s="21" t="s">
        <v>1368</v>
      </c>
      <c r="N1527" s="21" t="s">
        <v>4073</v>
      </c>
      <c r="O1527" t="s">
        <v>9571</v>
      </c>
      <c r="P1527" s="21" t="s">
        <v>22</v>
      </c>
      <c r="Q1527"/>
      <c r="AG1527"/>
    </row>
    <row r="1528" spans="1:33" ht="43.15">
      <c r="A1528" s="253" t="s">
        <v>11608</v>
      </c>
      <c r="B1528" s="400"/>
      <c r="C1528" s="21" t="s">
        <v>11206</v>
      </c>
      <c r="D1528" s="2" t="s">
        <v>11609</v>
      </c>
      <c r="E1528" s="2" t="s">
        <v>11610</v>
      </c>
      <c r="F1528" s="2" t="s">
        <v>11611</v>
      </c>
      <c r="G1528" s="2" t="s">
        <v>11612</v>
      </c>
      <c r="H1528" s="2" t="s">
        <v>11613</v>
      </c>
      <c r="I1528" s="2" t="s">
        <v>11614</v>
      </c>
      <c r="J1528" s="2" t="s">
        <v>11615</v>
      </c>
      <c r="K1528" s="2" t="s">
        <v>11598</v>
      </c>
      <c r="L1528" s="25" t="s">
        <v>11599</v>
      </c>
      <c r="M1528" s="21" t="s">
        <v>1368</v>
      </c>
      <c r="N1528" s="21" t="s">
        <v>4073</v>
      </c>
      <c r="O1528" t="s">
        <v>8671</v>
      </c>
      <c r="P1528" s="21" t="s">
        <v>22</v>
      </c>
      <c r="Q1528"/>
      <c r="AG1528"/>
    </row>
    <row r="1529" spans="1:33" ht="43.15">
      <c r="A1529" s="253" t="s">
        <v>11616</v>
      </c>
      <c r="B1529" s="400"/>
      <c r="C1529" s="21" t="s">
        <v>11206</v>
      </c>
      <c r="D1529" s="2" t="s">
        <v>11617</v>
      </c>
      <c r="E1529" s="2" t="s">
        <v>11618</v>
      </c>
      <c r="F1529" s="2" t="s">
        <v>11619</v>
      </c>
      <c r="G1529" s="2" t="s">
        <v>11620</v>
      </c>
      <c r="H1529" s="2" t="s">
        <v>11621</v>
      </c>
      <c r="I1529" s="2" t="s">
        <v>11622</v>
      </c>
      <c r="J1529" s="2" t="s">
        <v>11623</v>
      </c>
      <c r="K1529" s="2" t="s">
        <v>11598</v>
      </c>
      <c r="L1529" s="25" t="s">
        <v>11599</v>
      </c>
      <c r="M1529" s="21" t="s">
        <v>1368</v>
      </c>
      <c r="N1529" s="21" t="s">
        <v>4073</v>
      </c>
      <c r="O1529" t="s">
        <v>9571</v>
      </c>
      <c r="P1529" s="21" t="s">
        <v>22</v>
      </c>
      <c r="Q1529"/>
      <c r="AG1529"/>
    </row>
    <row r="1530" spans="1:33" ht="72">
      <c r="A1530" s="253" t="s">
        <v>11624</v>
      </c>
      <c r="B1530" s="400"/>
      <c r="C1530" s="21" t="s">
        <v>11206</v>
      </c>
      <c r="D1530" s="2" t="s">
        <v>11625</v>
      </c>
      <c r="E1530" s="2" t="s">
        <v>11626</v>
      </c>
      <c r="F1530" s="2" t="s">
        <v>11627</v>
      </c>
      <c r="G1530" s="2" t="s">
        <v>11628</v>
      </c>
      <c r="H1530" s="2" t="s">
        <v>11629</v>
      </c>
      <c r="I1530" s="2" t="s">
        <v>11630</v>
      </c>
      <c r="J1530" s="2" t="s">
        <v>11631</v>
      </c>
      <c r="K1530" s="2" t="s">
        <v>11598</v>
      </c>
      <c r="L1530" s="25" t="s">
        <v>11599</v>
      </c>
      <c r="M1530" s="21" t="s">
        <v>1368</v>
      </c>
      <c r="N1530" s="21" t="s">
        <v>4073</v>
      </c>
      <c r="O1530" t="s">
        <v>8671</v>
      </c>
      <c r="P1530" s="21" t="s">
        <v>22</v>
      </c>
      <c r="Q1530"/>
    </row>
    <row r="1532" spans="1:33">
      <c r="A1532" s="249"/>
      <c r="B1532" s="55"/>
      <c r="C1532" s="62"/>
      <c r="D1532" s="54"/>
      <c r="E1532" s="54"/>
      <c r="F1532" s="54"/>
      <c r="G1532" s="54"/>
      <c r="H1532" s="54"/>
      <c r="I1532" s="54"/>
      <c r="J1532" s="54"/>
      <c r="K1532" s="54"/>
      <c r="L1532" s="71"/>
      <c r="M1532" s="62"/>
      <c r="P1532" s="62"/>
      <c r="Q1532" s="62"/>
      <c r="R1532" s="302"/>
    </row>
    <row r="1533" spans="1:33">
      <c r="W1533" s="71"/>
      <c r="X1533" s="71"/>
    </row>
    <row r="1534" spans="1:33" ht="57.6">
      <c r="A1534" s="253" t="s">
        <v>11632</v>
      </c>
      <c r="B1534" s="391" t="s">
        <v>11633</v>
      </c>
      <c r="C1534" s="76"/>
      <c r="D1534" s="65" t="s">
        <v>11634</v>
      </c>
      <c r="E1534" s="65" t="s">
        <v>11635</v>
      </c>
      <c r="F1534" s="65" t="s">
        <v>11636</v>
      </c>
      <c r="G1534" s="65" t="s">
        <v>11637</v>
      </c>
      <c r="H1534" s="65" t="s">
        <v>11638</v>
      </c>
      <c r="I1534" s="65" t="s">
        <v>11639</v>
      </c>
      <c r="J1534" s="65" t="s">
        <v>11640</v>
      </c>
      <c r="K1534" s="65" t="s">
        <v>11641</v>
      </c>
      <c r="L1534" s="6" t="s">
        <v>1367</v>
      </c>
      <c r="M1534" s="21" t="s">
        <v>1368</v>
      </c>
      <c r="N1534" s="21" t="s">
        <v>1369</v>
      </c>
      <c r="O1534" s="52"/>
      <c r="P1534" s="76" t="s">
        <v>22</v>
      </c>
      <c r="Q1534" s="52"/>
    </row>
    <row r="1535" spans="1:33" ht="57.6">
      <c r="A1535" s="253" t="s">
        <v>11642</v>
      </c>
      <c r="B1535" s="392"/>
      <c r="C1535" s="76"/>
      <c r="D1535" s="65" t="s">
        <v>11643</v>
      </c>
      <c r="E1535" s="65" t="s">
        <v>11644</v>
      </c>
      <c r="F1535" s="65" t="s">
        <v>11645</v>
      </c>
      <c r="G1535" s="65" t="s">
        <v>11646</v>
      </c>
      <c r="H1535" s="65" t="s">
        <v>11647</v>
      </c>
      <c r="I1535" s="65" t="s">
        <v>11648</v>
      </c>
      <c r="J1535" s="65" t="s">
        <v>11649</v>
      </c>
      <c r="K1535" s="65" t="s">
        <v>11650</v>
      </c>
      <c r="L1535" s="6" t="s">
        <v>1367</v>
      </c>
      <c r="M1535" s="21" t="s">
        <v>1368</v>
      </c>
      <c r="N1535" s="21" t="s">
        <v>4073</v>
      </c>
      <c r="O1535" s="52"/>
      <c r="P1535" s="76" t="s">
        <v>22</v>
      </c>
      <c r="Q1535" s="52"/>
    </row>
    <row r="1536" spans="1:33" ht="43.15">
      <c r="A1536" s="253" t="s">
        <v>11651</v>
      </c>
      <c r="B1536" s="392"/>
      <c r="C1536" s="76"/>
      <c r="D1536" s="65" t="s">
        <v>11652</v>
      </c>
      <c r="E1536" s="65" t="s">
        <v>11653</v>
      </c>
      <c r="F1536" s="65" t="s">
        <v>11654</v>
      </c>
      <c r="G1536" s="65" t="s">
        <v>11655</v>
      </c>
      <c r="H1536" s="65" t="s">
        <v>11656</v>
      </c>
      <c r="I1536" s="65" t="s">
        <v>11657</v>
      </c>
      <c r="J1536" s="65" t="s">
        <v>11658</v>
      </c>
      <c r="K1536" s="257" t="s">
        <v>11659</v>
      </c>
      <c r="L1536" s="6" t="s">
        <v>1367</v>
      </c>
      <c r="M1536" s="21" t="s">
        <v>1368</v>
      </c>
      <c r="N1536" s="21" t="s">
        <v>1369</v>
      </c>
      <c r="O1536" s="52"/>
      <c r="P1536" s="76" t="s">
        <v>1371</v>
      </c>
      <c r="Q1536" s="52"/>
    </row>
    <row r="1537" spans="1:33" ht="57.6">
      <c r="A1537" s="253" t="s">
        <v>11660</v>
      </c>
      <c r="B1537" s="392"/>
      <c r="C1537" s="76"/>
      <c r="D1537" s="65" t="s">
        <v>11661</v>
      </c>
      <c r="E1537" s="65" t="s">
        <v>11662</v>
      </c>
      <c r="F1537" s="65" t="s">
        <v>11663</v>
      </c>
      <c r="G1537" s="65" t="s">
        <v>11664</v>
      </c>
      <c r="H1537" s="65" t="s">
        <v>11665</v>
      </c>
      <c r="I1537" s="65" t="s">
        <v>11666</v>
      </c>
      <c r="J1537" s="65" t="s">
        <v>11667</v>
      </c>
      <c r="K1537" s="65" t="s">
        <v>11668</v>
      </c>
      <c r="L1537" s="6" t="s">
        <v>1367</v>
      </c>
      <c r="M1537" s="21" t="s">
        <v>1368</v>
      </c>
      <c r="N1537" s="21" t="s">
        <v>4073</v>
      </c>
      <c r="O1537" s="52"/>
      <c r="P1537" s="76" t="s">
        <v>22</v>
      </c>
      <c r="Q1537" s="52"/>
    </row>
    <row r="1538" spans="1:33" ht="72">
      <c r="A1538" s="253" t="s">
        <v>11669</v>
      </c>
      <c r="B1538" s="392"/>
      <c r="C1538" s="76"/>
      <c r="D1538" s="65" t="s">
        <v>11670</v>
      </c>
      <c r="E1538" s="65" t="s">
        <v>11671</v>
      </c>
      <c r="F1538" s="65" t="s">
        <v>11672</v>
      </c>
      <c r="G1538" s="65" t="s">
        <v>11673</v>
      </c>
      <c r="H1538" s="65" t="s">
        <v>11674</v>
      </c>
      <c r="I1538" s="65" t="s">
        <v>11675</v>
      </c>
      <c r="J1538" s="65" t="s">
        <v>11676</v>
      </c>
      <c r="K1538" s="65" t="s">
        <v>11677</v>
      </c>
      <c r="L1538" s="6" t="s">
        <v>1367</v>
      </c>
      <c r="M1538" s="21" t="s">
        <v>1368</v>
      </c>
      <c r="N1538" s="21" t="s">
        <v>1369</v>
      </c>
      <c r="O1538" s="52"/>
      <c r="P1538" s="76" t="s">
        <v>22</v>
      </c>
      <c r="Q1538" s="52"/>
    </row>
    <row r="1539" spans="1:33" ht="57.6">
      <c r="A1539" s="253" t="s">
        <v>11678</v>
      </c>
      <c r="B1539" s="392"/>
      <c r="C1539" s="76"/>
      <c r="D1539" s="65" t="s">
        <v>11679</v>
      </c>
      <c r="E1539" s="65" t="s">
        <v>11680</v>
      </c>
      <c r="F1539" s="65" t="s">
        <v>11681</v>
      </c>
      <c r="G1539" s="65" t="s">
        <v>11682</v>
      </c>
      <c r="H1539" s="65" t="s">
        <v>11683</v>
      </c>
      <c r="I1539" s="65" t="s">
        <v>11684</v>
      </c>
      <c r="J1539" s="65" t="s">
        <v>11685</v>
      </c>
      <c r="K1539" s="65" t="s">
        <v>11686</v>
      </c>
      <c r="L1539" s="6" t="s">
        <v>1367</v>
      </c>
      <c r="M1539" s="21" t="s">
        <v>1368</v>
      </c>
      <c r="N1539" s="21" t="s">
        <v>4073</v>
      </c>
      <c r="O1539" s="52"/>
      <c r="P1539" s="76" t="s">
        <v>1371</v>
      </c>
      <c r="Q1539" s="52"/>
    </row>
    <row r="1540" spans="1:33" ht="43.15">
      <c r="A1540" s="253" t="s">
        <v>11687</v>
      </c>
      <c r="B1540" s="392"/>
      <c r="C1540" s="76"/>
      <c r="D1540" s="65" t="s">
        <v>11688</v>
      </c>
      <c r="E1540" s="65" t="s">
        <v>11689</v>
      </c>
      <c r="F1540" s="65" t="s">
        <v>11690</v>
      </c>
      <c r="G1540" s="65" t="s">
        <v>11691</v>
      </c>
      <c r="H1540" s="65" t="s">
        <v>11692</v>
      </c>
      <c r="I1540" s="65" t="s">
        <v>11693</v>
      </c>
      <c r="J1540" s="65" t="s">
        <v>11694</v>
      </c>
      <c r="K1540" s="65" t="s">
        <v>11695</v>
      </c>
      <c r="L1540" s="6" t="s">
        <v>1367</v>
      </c>
      <c r="M1540" s="21" t="s">
        <v>1368</v>
      </c>
      <c r="N1540" s="21" t="s">
        <v>1369</v>
      </c>
      <c r="O1540" s="52"/>
      <c r="P1540" s="76" t="s">
        <v>1393</v>
      </c>
      <c r="Q1540" s="52"/>
    </row>
    <row r="1541" spans="1:33" ht="57.6">
      <c r="A1541" s="253" t="s">
        <v>11696</v>
      </c>
      <c r="B1541" s="392"/>
      <c r="C1541" s="76"/>
      <c r="D1541" s="65" t="s">
        <v>11697</v>
      </c>
      <c r="E1541" s="65" t="s">
        <v>11698</v>
      </c>
      <c r="F1541" s="65" t="s">
        <v>11699</v>
      </c>
      <c r="G1541" s="65" t="s">
        <v>11700</v>
      </c>
      <c r="H1541" s="65" t="s">
        <v>11701</v>
      </c>
      <c r="I1541" s="65" t="s">
        <v>11702</v>
      </c>
      <c r="J1541" s="65" t="s">
        <v>11703</v>
      </c>
      <c r="K1541" s="65" t="s">
        <v>11704</v>
      </c>
      <c r="L1541" s="6" t="s">
        <v>1367</v>
      </c>
      <c r="M1541" s="21" t="s">
        <v>1368</v>
      </c>
      <c r="N1541" s="21" t="s">
        <v>4073</v>
      </c>
      <c r="O1541" s="52"/>
      <c r="P1541" s="76" t="s">
        <v>1393</v>
      </c>
      <c r="Q1541" s="52"/>
    </row>
    <row r="1542" spans="1:33" ht="72">
      <c r="A1542" s="253" t="s">
        <v>11705</v>
      </c>
      <c r="B1542" s="392"/>
      <c r="C1542" s="76"/>
      <c r="D1542" s="65" t="s">
        <v>11706</v>
      </c>
      <c r="E1542" s="65" t="s">
        <v>11707</v>
      </c>
      <c r="F1542" s="65" t="s">
        <v>11708</v>
      </c>
      <c r="G1542" s="65" t="s">
        <v>11709</v>
      </c>
      <c r="H1542" s="65" t="s">
        <v>11710</v>
      </c>
      <c r="I1542" s="65" t="s">
        <v>11711</v>
      </c>
      <c r="J1542" s="65" t="s">
        <v>11712</v>
      </c>
      <c r="K1542" s="65" t="s">
        <v>11713</v>
      </c>
      <c r="L1542" s="6" t="s">
        <v>1367</v>
      </c>
      <c r="M1542" s="21" t="s">
        <v>1368</v>
      </c>
      <c r="N1542" s="21" t="s">
        <v>4073</v>
      </c>
      <c r="O1542" s="52"/>
      <c r="P1542" s="76" t="s">
        <v>22</v>
      </c>
      <c r="Q1542" s="52"/>
    </row>
    <row r="1543" spans="1:33" ht="57.6">
      <c r="A1543" s="253" t="s">
        <v>11714</v>
      </c>
      <c r="B1543" s="392"/>
      <c r="C1543" s="76"/>
      <c r="D1543" s="65" t="s">
        <v>11715</v>
      </c>
      <c r="E1543" s="65" t="s">
        <v>11716</v>
      </c>
      <c r="F1543" s="65" t="s">
        <v>11717</v>
      </c>
      <c r="G1543" s="65" t="s">
        <v>11718</v>
      </c>
      <c r="H1543" s="65" t="s">
        <v>11719</v>
      </c>
      <c r="I1543" s="65" t="s">
        <v>11720</v>
      </c>
      <c r="J1543" s="65" t="s">
        <v>11721</v>
      </c>
      <c r="K1543" s="65" t="s">
        <v>11722</v>
      </c>
      <c r="L1543" s="6" t="s">
        <v>1367</v>
      </c>
      <c r="M1543" s="21" t="s">
        <v>1368</v>
      </c>
      <c r="N1543" s="21" t="s">
        <v>1369</v>
      </c>
      <c r="O1543" s="52"/>
      <c r="P1543" s="76" t="s">
        <v>22</v>
      </c>
      <c r="Q1543" s="52"/>
    </row>
    <row r="1544" spans="1:33" ht="72">
      <c r="A1544" s="253" t="s">
        <v>11723</v>
      </c>
      <c r="B1544" s="392"/>
      <c r="C1544" s="76"/>
      <c r="D1544" s="65" t="s">
        <v>11724</v>
      </c>
      <c r="E1544" s="65" t="s">
        <v>11725</v>
      </c>
      <c r="F1544" s="65" t="s">
        <v>11726</v>
      </c>
      <c r="G1544" s="65" t="s">
        <v>11727</v>
      </c>
      <c r="H1544" s="65" t="s">
        <v>11728</v>
      </c>
      <c r="I1544" s="65" t="s">
        <v>11729</v>
      </c>
      <c r="J1544" s="65" t="s">
        <v>11730</v>
      </c>
      <c r="K1544" s="65" t="s">
        <v>11731</v>
      </c>
      <c r="L1544" s="6" t="s">
        <v>1367</v>
      </c>
      <c r="M1544" s="21" t="s">
        <v>1368</v>
      </c>
      <c r="N1544" s="21" t="s">
        <v>4073</v>
      </c>
      <c r="O1544" s="52"/>
      <c r="P1544" s="76" t="s">
        <v>22</v>
      </c>
      <c r="Q1544" s="52"/>
    </row>
    <row r="1545" spans="1:33" ht="72">
      <c r="A1545" s="253" t="s">
        <v>11732</v>
      </c>
      <c r="B1545" s="392"/>
      <c r="C1545" s="76"/>
      <c r="D1545" s="65" t="s">
        <v>11733</v>
      </c>
      <c r="E1545" s="65" t="s">
        <v>11734</v>
      </c>
      <c r="F1545" s="65" t="s">
        <v>11735</v>
      </c>
      <c r="G1545" s="65" t="s">
        <v>11736</v>
      </c>
      <c r="H1545" s="65" t="s">
        <v>11737</v>
      </c>
      <c r="I1545" s="65" t="s">
        <v>11738</v>
      </c>
      <c r="J1545" s="65" t="s">
        <v>11739</v>
      </c>
      <c r="K1545" s="65" t="s">
        <v>11740</v>
      </c>
      <c r="L1545" s="6" t="s">
        <v>1367</v>
      </c>
      <c r="M1545" s="21" t="s">
        <v>1368</v>
      </c>
      <c r="N1545" s="21" t="s">
        <v>4073</v>
      </c>
      <c r="O1545" s="52"/>
      <c r="P1545" s="76" t="s">
        <v>22</v>
      </c>
      <c r="Q1545" s="52"/>
    </row>
    <row r="1547" spans="1:33" s="55" customFormat="1">
      <c r="A1547" s="249"/>
      <c r="C1547" s="62"/>
      <c r="D1547" s="54"/>
      <c r="E1547" s="54"/>
      <c r="F1547" s="54"/>
      <c r="G1547" s="54"/>
      <c r="H1547" s="54"/>
      <c r="I1547" s="54"/>
      <c r="J1547" s="54"/>
      <c r="K1547" s="54"/>
      <c r="L1547" s="71"/>
      <c r="M1547" s="62"/>
      <c r="O1547"/>
      <c r="P1547" s="62"/>
      <c r="Q1547" s="62"/>
      <c r="R1547" s="302"/>
      <c r="S1547"/>
      <c r="W1547" s="6"/>
      <c r="X1547" s="6"/>
      <c r="AG1547" s="21"/>
    </row>
    <row r="1548" spans="1:33">
      <c r="W1548" s="71"/>
      <c r="X1548" s="71"/>
    </row>
    <row r="1549" spans="1:33" ht="72">
      <c r="A1549" s="253" t="s">
        <v>11741</v>
      </c>
      <c r="B1549" s="393" t="s">
        <v>11742</v>
      </c>
      <c r="C1549" s="76"/>
      <c r="D1549" s="65" t="s">
        <v>11743</v>
      </c>
      <c r="E1549" s="65" t="s">
        <v>11744</v>
      </c>
      <c r="F1549" s="65" t="s">
        <v>11745</v>
      </c>
      <c r="G1549" s="65" t="s">
        <v>11746</v>
      </c>
      <c r="H1549" s="65" t="s">
        <v>11747</v>
      </c>
      <c r="I1549" s="65" t="s">
        <v>11748</v>
      </c>
      <c r="J1549" s="65" t="s">
        <v>11749</v>
      </c>
      <c r="K1549" s="65" t="s">
        <v>11750</v>
      </c>
      <c r="L1549" s="6" t="s">
        <v>1367</v>
      </c>
      <c r="M1549" s="21" t="s">
        <v>1368</v>
      </c>
      <c r="N1549" s="21" t="s">
        <v>1369</v>
      </c>
      <c r="O1549" s="52"/>
      <c r="P1549" s="76" t="s">
        <v>1393</v>
      </c>
      <c r="Q1549" s="52"/>
      <c r="R1549" s="64" t="s">
        <v>11751</v>
      </c>
    </row>
    <row r="1550" spans="1:33" ht="72">
      <c r="A1550" s="253" t="s">
        <v>11752</v>
      </c>
      <c r="B1550" s="394"/>
      <c r="C1550" s="76"/>
      <c r="D1550" s="65" t="s">
        <v>11753</v>
      </c>
      <c r="E1550" s="65" t="s">
        <v>11754</v>
      </c>
      <c r="F1550" s="65" t="s">
        <v>11755</v>
      </c>
      <c r="G1550" s="65" t="s">
        <v>11756</v>
      </c>
      <c r="H1550" s="65" t="s">
        <v>11757</v>
      </c>
      <c r="I1550" s="65" t="s">
        <v>11758</v>
      </c>
      <c r="J1550" s="65" t="s">
        <v>11759</v>
      </c>
      <c r="K1550" s="65" t="s">
        <v>11760</v>
      </c>
      <c r="L1550" s="6" t="s">
        <v>1367</v>
      </c>
      <c r="M1550" s="21" t="s">
        <v>1368</v>
      </c>
      <c r="N1550" s="21" t="s">
        <v>1369</v>
      </c>
      <c r="O1550" s="52"/>
      <c r="P1550" s="76" t="s">
        <v>22</v>
      </c>
      <c r="Q1550" s="52"/>
      <c r="R1550" s="64"/>
    </row>
    <row r="1551" spans="1:33" ht="57.6">
      <c r="A1551" s="253" t="s">
        <v>11761</v>
      </c>
      <c r="B1551" s="394"/>
      <c r="C1551" s="76"/>
      <c r="D1551" s="65" t="s">
        <v>11762</v>
      </c>
      <c r="E1551" s="65" t="s">
        <v>11763</v>
      </c>
      <c r="F1551" s="65" t="s">
        <v>11764</v>
      </c>
      <c r="G1551" s="65" t="s">
        <v>11765</v>
      </c>
      <c r="H1551" s="65" t="s">
        <v>11766</v>
      </c>
      <c r="I1551" s="65" t="s">
        <v>11767</v>
      </c>
      <c r="J1551" s="65" t="s">
        <v>11768</v>
      </c>
      <c r="K1551" s="65" t="s">
        <v>11769</v>
      </c>
      <c r="L1551" s="6" t="s">
        <v>1367</v>
      </c>
      <c r="M1551" s="21" t="s">
        <v>1368</v>
      </c>
      <c r="N1551" s="21" t="s">
        <v>1369</v>
      </c>
      <c r="O1551" s="52"/>
      <c r="P1551" s="76" t="s">
        <v>1393</v>
      </c>
      <c r="Q1551" s="52"/>
      <c r="R1551" s="64"/>
    </row>
    <row r="1552" spans="1:33" ht="57.6">
      <c r="A1552" s="253" t="s">
        <v>11770</v>
      </c>
      <c r="B1552" s="394"/>
      <c r="C1552" s="76"/>
      <c r="D1552" s="65" t="s">
        <v>11771</v>
      </c>
      <c r="E1552" s="65" t="s">
        <v>11772</v>
      </c>
      <c r="F1552" s="65" t="s">
        <v>11773</v>
      </c>
      <c r="G1552" s="65" t="s">
        <v>11774</v>
      </c>
      <c r="H1552" s="65" t="s">
        <v>11775</v>
      </c>
      <c r="I1552" s="65" t="s">
        <v>11776</v>
      </c>
      <c r="J1552" s="65" t="s">
        <v>11777</v>
      </c>
      <c r="K1552" s="65" t="s">
        <v>11778</v>
      </c>
      <c r="L1552" s="6" t="s">
        <v>1367</v>
      </c>
      <c r="M1552" s="21" t="s">
        <v>1368</v>
      </c>
      <c r="N1552" s="21" t="s">
        <v>4073</v>
      </c>
      <c r="O1552" s="52"/>
      <c r="P1552" s="76" t="s">
        <v>1393</v>
      </c>
      <c r="Q1552" s="52"/>
      <c r="R1552" s="64" t="s">
        <v>11779</v>
      </c>
    </row>
    <row r="1553" spans="1:33" ht="57.6">
      <c r="A1553" s="253" t="s">
        <v>11780</v>
      </c>
      <c r="B1553" s="394"/>
      <c r="C1553" s="76"/>
      <c r="D1553" s="65" t="s">
        <v>11781</v>
      </c>
      <c r="E1553" s="65" t="s">
        <v>11782</v>
      </c>
      <c r="F1553" s="65" t="s">
        <v>11783</v>
      </c>
      <c r="G1553" s="65" t="s">
        <v>11784</v>
      </c>
      <c r="H1553" s="65" t="s">
        <v>11785</v>
      </c>
      <c r="I1553" s="65" t="s">
        <v>11786</v>
      </c>
      <c r="J1553" s="65" t="s">
        <v>11787</v>
      </c>
      <c r="K1553" s="65" t="s">
        <v>11788</v>
      </c>
      <c r="L1553" s="6" t="s">
        <v>1367</v>
      </c>
      <c r="M1553" s="21" t="s">
        <v>1368</v>
      </c>
      <c r="N1553" s="21" t="s">
        <v>4073</v>
      </c>
      <c r="O1553" s="52"/>
      <c r="P1553" s="76" t="s">
        <v>22</v>
      </c>
      <c r="Q1553" s="52"/>
      <c r="R1553" s="64" t="s">
        <v>11789</v>
      </c>
    </row>
    <row r="1554" spans="1:33" ht="57.6">
      <c r="A1554" s="253" t="s">
        <v>11790</v>
      </c>
      <c r="B1554" s="394"/>
      <c r="C1554" s="76"/>
      <c r="D1554" s="65" t="s">
        <v>11791</v>
      </c>
      <c r="E1554" s="65" t="s">
        <v>11792</v>
      </c>
      <c r="F1554" s="65" t="s">
        <v>11793</v>
      </c>
      <c r="G1554" s="65" t="s">
        <v>11794</v>
      </c>
      <c r="H1554" s="65" t="s">
        <v>11795</v>
      </c>
      <c r="I1554" s="65" t="s">
        <v>11796</v>
      </c>
      <c r="J1554" s="65" t="s">
        <v>11797</v>
      </c>
      <c r="K1554" s="65" t="s">
        <v>11798</v>
      </c>
      <c r="L1554" s="6" t="s">
        <v>1367</v>
      </c>
      <c r="M1554" s="21" t="s">
        <v>1368</v>
      </c>
      <c r="N1554" s="21" t="s">
        <v>1369</v>
      </c>
      <c r="O1554" s="52"/>
      <c r="P1554" s="76" t="s">
        <v>22</v>
      </c>
      <c r="Q1554" s="52"/>
      <c r="R1554" s="64"/>
    </row>
    <row r="1555" spans="1:33" ht="72">
      <c r="A1555" s="253" t="s">
        <v>11799</v>
      </c>
      <c r="B1555" s="394"/>
      <c r="C1555" s="76"/>
      <c r="D1555" s="65" t="s">
        <v>11800</v>
      </c>
      <c r="E1555" s="65" t="s">
        <v>11801</v>
      </c>
      <c r="F1555" s="65" t="s">
        <v>11802</v>
      </c>
      <c r="G1555" s="65" t="s">
        <v>11803</v>
      </c>
      <c r="H1555" s="65" t="s">
        <v>11804</v>
      </c>
      <c r="I1555" s="65" t="s">
        <v>11805</v>
      </c>
      <c r="J1555" s="65" t="s">
        <v>11806</v>
      </c>
      <c r="K1555" s="65" t="s">
        <v>11807</v>
      </c>
      <c r="L1555" s="6" t="s">
        <v>1367</v>
      </c>
      <c r="M1555" s="21" t="s">
        <v>1368</v>
      </c>
      <c r="N1555" s="21" t="s">
        <v>1369</v>
      </c>
      <c r="O1555" s="52"/>
      <c r="P1555" s="76" t="s">
        <v>22</v>
      </c>
      <c r="Q1555" s="52"/>
      <c r="R1555" s="64"/>
    </row>
    <row r="1556" spans="1:33" ht="57.6">
      <c r="A1556" s="253" t="s">
        <v>11808</v>
      </c>
      <c r="B1556" s="394"/>
      <c r="C1556" s="76"/>
      <c r="D1556" s="65" t="s">
        <v>11809</v>
      </c>
      <c r="E1556" s="65" t="s">
        <v>11810</v>
      </c>
      <c r="F1556" s="65" t="s">
        <v>11811</v>
      </c>
      <c r="G1556" s="65" t="s">
        <v>11812</v>
      </c>
      <c r="H1556" s="65" t="s">
        <v>11813</v>
      </c>
      <c r="I1556" s="65" t="s">
        <v>11814</v>
      </c>
      <c r="J1556" s="65" t="s">
        <v>11815</v>
      </c>
      <c r="K1556" s="65" t="s">
        <v>11816</v>
      </c>
      <c r="L1556" s="6" t="s">
        <v>1367</v>
      </c>
      <c r="M1556" s="21" t="s">
        <v>1368</v>
      </c>
      <c r="N1556" s="21" t="s">
        <v>1369</v>
      </c>
      <c r="O1556" s="52"/>
      <c r="P1556" s="76" t="s">
        <v>22</v>
      </c>
      <c r="Q1556" s="52"/>
      <c r="R1556" s="64"/>
    </row>
    <row r="1557" spans="1:33" ht="57.6">
      <c r="A1557" s="253" t="s">
        <v>11817</v>
      </c>
      <c r="B1557" s="394"/>
      <c r="C1557" s="76"/>
      <c r="D1557" s="65" t="s">
        <v>11818</v>
      </c>
      <c r="E1557" s="65" t="s">
        <v>11819</v>
      </c>
      <c r="F1557" s="65" t="s">
        <v>11820</v>
      </c>
      <c r="G1557" s="65" t="s">
        <v>11821</v>
      </c>
      <c r="H1557" s="65" t="s">
        <v>11822</v>
      </c>
      <c r="I1557" s="65" t="s">
        <v>11823</v>
      </c>
      <c r="J1557" s="65" t="s">
        <v>11824</v>
      </c>
      <c r="K1557" s="65" t="s">
        <v>11825</v>
      </c>
      <c r="L1557" s="6" t="s">
        <v>1367</v>
      </c>
      <c r="M1557" s="21" t="s">
        <v>1368</v>
      </c>
      <c r="N1557" s="21" t="s">
        <v>1369</v>
      </c>
      <c r="O1557" s="52"/>
      <c r="P1557" s="76" t="s">
        <v>22</v>
      </c>
      <c r="Q1557" s="52"/>
      <c r="R1557" s="64"/>
    </row>
    <row r="1558" spans="1:33" ht="57.6">
      <c r="A1558" s="253" t="s">
        <v>11826</v>
      </c>
      <c r="B1558" s="394"/>
      <c r="C1558" s="76"/>
      <c r="D1558" s="65" t="s">
        <v>11827</v>
      </c>
      <c r="E1558" s="65" t="s">
        <v>11828</v>
      </c>
      <c r="F1558" s="65" t="s">
        <v>11829</v>
      </c>
      <c r="G1558" s="65" t="s">
        <v>11830</v>
      </c>
      <c r="H1558" s="65" t="s">
        <v>11831</v>
      </c>
      <c r="I1558" s="65" t="s">
        <v>11832</v>
      </c>
      <c r="J1558" s="65" t="s">
        <v>11833</v>
      </c>
      <c r="K1558" s="65" t="s">
        <v>11834</v>
      </c>
      <c r="L1558" s="6" t="s">
        <v>1367</v>
      </c>
      <c r="M1558" s="21" t="s">
        <v>1368</v>
      </c>
      <c r="N1558" s="21" t="s">
        <v>1369</v>
      </c>
      <c r="O1558" s="52"/>
      <c r="P1558" s="76" t="s">
        <v>22</v>
      </c>
      <c r="Q1558" s="52"/>
      <c r="R1558" s="64"/>
    </row>
    <row r="1559" spans="1:33" ht="57.6">
      <c r="A1559" s="253" t="s">
        <v>11835</v>
      </c>
      <c r="B1559" s="394"/>
      <c r="C1559" s="76"/>
      <c r="D1559" s="65" t="s">
        <v>11836</v>
      </c>
      <c r="E1559" s="65" t="s">
        <v>11837</v>
      </c>
      <c r="F1559" s="65" t="s">
        <v>11838</v>
      </c>
      <c r="G1559" s="65" t="s">
        <v>11839</v>
      </c>
      <c r="H1559" s="65" t="s">
        <v>11840</v>
      </c>
      <c r="I1559" s="65" t="s">
        <v>11841</v>
      </c>
      <c r="J1559" s="65" t="s">
        <v>11842</v>
      </c>
      <c r="K1559" s="65" t="s">
        <v>11843</v>
      </c>
      <c r="L1559" s="6" t="s">
        <v>1367</v>
      </c>
      <c r="M1559" s="21" t="s">
        <v>1368</v>
      </c>
      <c r="N1559" s="21" t="s">
        <v>1369</v>
      </c>
      <c r="O1559" s="52"/>
      <c r="P1559" s="76" t="s">
        <v>1371</v>
      </c>
      <c r="Q1559" s="52"/>
      <c r="R1559" s="64"/>
    </row>
    <row r="1560" spans="1:33" ht="57.6">
      <c r="A1560" s="253" t="s">
        <v>11844</v>
      </c>
      <c r="B1560" s="394"/>
      <c r="C1560" s="76"/>
      <c r="D1560" s="65" t="s">
        <v>11845</v>
      </c>
      <c r="E1560" s="65" t="s">
        <v>11846</v>
      </c>
      <c r="F1560" s="65" t="s">
        <v>11847</v>
      </c>
      <c r="G1560" s="65" t="s">
        <v>11848</v>
      </c>
      <c r="H1560" s="65" t="s">
        <v>11849</v>
      </c>
      <c r="I1560" s="65" t="s">
        <v>11850</v>
      </c>
      <c r="J1560" s="65" t="s">
        <v>11851</v>
      </c>
      <c r="K1560" s="65" t="s">
        <v>11852</v>
      </c>
      <c r="L1560" s="6" t="s">
        <v>1367</v>
      </c>
      <c r="M1560" s="21" t="s">
        <v>1368</v>
      </c>
      <c r="N1560" s="21" t="s">
        <v>4073</v>
      </c>
      <c r="O1560" s="52"/>
      <c r="P1560" s="76" t="s">
        <v>1393</v>
      </c>
      <c r="Q1560" s="52"/>
      <c r="R1560" s="64"/>
    </row>
    <row r="1561" spans="1:33" ht="57.6">
      <c r="A1561" s="253" t="s">
        <v>11853</v>
      </c>
      <c r="B1561" s="394"/>
      <c r="C1561" s="76"/>
      <c r="D1561" s="65" t="s">
        <v>11854</v>
      </c>
      <c r="E1561" s="65" t="s">
        <v>11855</v>
      </c>
      <c r="F1561" s="65" t="s">
        <v>11856</v>
      </c>
      <c r="G1561" s="65" t="s">
        <v>11857</v>
      </c>
      <c r="H1561" s="65" t="s">
        <v>11858</v>
      </c>
      <c r="I1561" s="65" t="s">
        <v>11859</v>
      </c>
      <c r="J1561" s="65" t="s">
        <v>11860</v>
      </c>
      <c r="K1561" s="65" t="s">
        <v>11861</v>
      </c>
      <c r="L1561" s="6" t="s">
        <v>1367</v>
      </c>
      <c r="M1561" s="21" t="s">
        <v>1368</v>
      </c>
      <c r="N1561" s="21" t="s">
        <v>1369</v>
      </c>
      <c r="O1561" s="52"/>
      <c r="P1561" s="76" t="s">
        <v>1393</v>
      </c>
      <c r="Q1561" s="52"/>
      <c r="R1561" s="64" t="s">
        <v>11862</v>
      </c>
    </row>
    <row r="1562" spans="1:33" ht="57.6">
      <c r="A1562" s="253" t="s">
        <v>11863</v>
      </c>
      <c r="B1562" s="394"/>
      <c r="C1562" s="76"/>
      <c r="D1562" s="65" t="s">
        <v>11864</v>
      </c>
      <c r="E1562" s="65" t="s">
        <v>11865</v>
      </c>
      <c r="F1562" s="65" t="s">
        <v>11866</v>
      </c>
      <c r="G1562" s="65" t="s">
        <v>11867</v>
      </c>
      <c r="H1562" s="65" t="s">
        <v>11868</v>
      </c>
      <c r="I1562" s="65" t="s">
        <v>11869</v>
      </c>
      <c r="J1562" s="65" t="s">
        <v>11870</v>
      </c>
      <c r="K1562" s="65" t="s">
        <v>11871</v>
      </c>
      <c r="L1562" s="6" t="s">
        <v>1367</v>
      </c>
      <c r="M1562" s="21" t="s">
        <v>1368</v>
      </c>
      <c r="N1562" s="21" t="s">
        <v>1369</v>
      </c>
      <c r="O1562" s="52"/>
      <c r="P1562" s="76" t="s">
        <v>22</v>
      </c>
      <c r="Q1562" s="52"/>
      <c r="R1562" s="64"/>
    </row>
    <row r="1564" spans="1:33" s="55" customFormat="1">
      <c r="A1564" s="249"/>
      <c r="C1564" s="62"/>
      <c r="D1564" s="54"/>
      <c r="E1564" s="54"/>
      <c r="F1564" s="54"/>
      <c r="G1564" s="54"/>
      <c r="H1564" s="54"/>
      <c r="I1564" s="54"/>
      <c r="J1564" s="54"/>
      <c r="K1564" s="54"/>
      <c r="L1564" s="71"/>
      <c r="M1564" s="62"/>
      <c r="O1564"/>
      <c r="P1564" s="62"/>
      <c r="Q1564" s="62"/>
      <c r="R1564" s="302"/>
      <c r="S1564"/>
      <c r="W1564" s="6"/>
      <c r="X1564" s="6"/>
      <c r="AG1564" s="21"/>
    </row>
    <row r="1565" spans="1:33">
      <c r="W1565" s="71"/>
      <c r="X1565" s="71"/>
    </row>
    <row r="1566" spans="1:33" ht="72">
      <c r="A1566" s="253" t="s">
        <v>11872</v>
      </c>
      <c r="B1566" s="386" t="s">
        <v>11873</v>
      </c>
      <c r="C1566" s="76"/>
      <c r="D1566" s="65" t="s">
        <v>11874</v>
      </c>
      <c r="E1566" s="65" t="s">
        <v>11875</v>
      </c>
      <c r="F1566" s="65" t="s">
        <v>11876</v>
      </c>
      <c r="G1566" s="65" t="s">
        <v>11877</v>
      </c>
      <c r="H1566" s="65" t="s">
        <v>11878</v>
      </c>
      <c r="I1566" s="65" t="s">
        <v>11879</v>
      </c>
      <c r="J1566" s="65" t="s">
        <v>11880</v>
      </c>
      <c r="K1566" s="65" t="s">
        <v>11881</v>
      </c>
      <c r="L1566" s="6" t="s">
        <v>1367</v>
      </c>
      <c r="M1566" s="21" t="s">
        <v>1368</v>
      </c>
      <c r="N1566" s="21" t="s">
        <v>4073</v>
      </c>
      <c r="O1566" s="52"/>
      <c r="P1566" s="76" t="s">
        <v>22</v>
      </c>
      <c r="Q1566" s="52"/>
    </row>
    <row r="1567" spans="1:33" ht="57.6">
      <c r="A1567" s="253" t="s">
        <v>11882</v>
      </c>
      <c r="B1567" s="387"/>
      <c r="C1567" s="76"/>
      <c r="D1567" s="65" t="s">
        <v>11883</v>
      </c>
      <c r="E1567" s="65" t="s">
        <v>11884</v>
      </c>
      <c r="F1567" s="65" t="s">
        <v>11885</v>
      </c>
      <c r="G1567" s="65" t="s">
        <v>11886</v>
      </c>
      <c r="H1567" s="65" t="s">
        <v>11887</v>
      </c>
      <c r="I1567" s="65" t="s">
        <v>11888</v>
      </c>
      <c r="J1567" s="65" t="s">
        <v>11889</v>
      </c>
      <c r="K1567" s="65" t="s">
        <v>11890</v>
      </c>
      <c r="L1567" s="6" t="s">
        <v>1367</v>
      </c>
      <c r="M1567" s="21" t="s">
        <v>1368</v>
      </c>
      <c r="N1567" s="21" t="s">
        <v>1369</v>
      </c>
      <c r="O1567" s="52"/>
      <c r="P1567" s="76" t="s">
        <v>22</v>
      </c>
      <c r="Q1567" s="52"/>
    </row>
    <row r="1568" spans="1:33" ht="57.6">
      <c r="A1568" s="253" t="s">
        <v>11891</v>
      </c>
      <c r="B1568" s="387"/>
      <c r="C1568" s="76"/>
      <c r="D1568" s="65" t="s">
        <v>11892</v>
      </c>
      <c r="E1568" s="65" t="s">
        <v>11893</v>
      </c>
      <c r="F1568" s="65" t="s">
        <v>11894</v>
      </c>
      <c r="G1568" s="65" t="s">
        <v>11895</v>
      </c>
      <c r="H1568" s="65" t="s">
        <v>11896</v>
      </c>
      <c r="I1568" s="65" t="s">
        <v>11897</v>
      </c>
      <c r="J1568" s="65" t="s">
        <v>11898</v>
      </c>
      <c r="K1568" s="65" t="s">
        <v>11899</v>
      </c>
      <c r="L1568" s="6" t="s">
        <v>1367</v>
      </c>
      <c r="M1568" s="21" t="s">
        <v>1368</v>
      </c>
      <c r="N1568" s="21" t="s">
        <v>1369</v>
      </c>
      <c r="O1568" s="52"/>
      <c r="P1568" s="76" t="s">
        <v>22</v>
      </c>
      <c r="Q1568" s="52"/>
    </row>
    <row r="1569" spans="1:33" ht="57.6">
      <c r="A1569" s="253" t="s">
        <v>11900</v>
      </c>
      <c r="B1569" s="387"/>
      <c r="C1569" s="76"/>
      <c r="D1569" s="65" t="s">
        <v>11901</v>
      </c>
      <c r="E1569" s="65" t="s">
        <v>11902</v>
      </c>
      <c r="F1569" s="65" t="s">
        <v>11903</v>
      </c>
      <c r="G1569" s="65" t="s">
        <v>11904</v>
      </c>
      <c r="H1569" s="65" t="s">
        <v>11905</v>
      </c>
      <c r="I1569" s="65" t="s">
        <v>11906</v>
      </c>
      <c r="J1569" s="65" t="s">
        <v>11907</v>
      </c>
      <c r="K1569" s="65" t="s">
        <v>11908</v>
      </c>
      <c r="L1569" s="6" t="s">
        <v>1367</v>
      </c>
      <c r="M1569" s="21" t="s">
        <v>1368</v>
      </c>
      <c r="N1569" s="21" t="s">
        <v>4073</v>
      </c>
      <c r="O1569" s="52"/>
      <c r="P1569" s="76" t="s">
        <v>22</v>
      </c>
      <c r="Q1569" s="52"/>
    </row>
    <row r="1570" spans="1:33" ht="57.6">
      <c r="A1570" s="253" t="s">
        <v>11909</v>
      </c>
      <c r="B1570" s="387"/>
      <c r="C1570" s="76"/>
      <c r="D1570" s="65" t="s">
        <v>11910</v>
      </c>
      <c r="E1570" s="65" t="s">
        <v>11911</v>
      </c>
      <c r="F1570" s="65" t="s">
        <v>11912</v>
      </c>
      <c r="G1570" s="65" t="s">
        <v>11913</v>
      </c>
      <c r="H1570" s="65" t="s">
        <v>11914</v>
      </c>
      <c r="I1570" s="65" t="s">
        <v>11915</v>
      </c>
      <c r="J1570" s="65" t="s">
        <v>11916</v>
      </c>
      <c r="K1570" s="65" t="s">
        <v>11917</v>
      </c>
      <c r="L1570" s="6" t="s">
        <v>1367</v>
      </c>
      <c r="M1570" s="21" t="s">
        <v>1368</v>
      </c>
      <c r="N1570" s="21" t="s">
        <v>1369</v>
      </c>
      <c r="O1570" s="52"/>
      <c r="P1570" s="76" t="s">
        <v>22</v>
      </c>
      <c r="Q1570" s="52"/>
    </row>
    <row r="1571" spans="1:33" ht="57.6">
      <c r="A1571" s="253" t="s">
        <v>11918</v>
      </c>
      <c r="B1571" s="387"/>
      <c r="C1571" s="76"/>
      <c r="D1571" s="65" t="s">
        <v>11919</v>
      </c>
      <c r="E1571" s="65" t="s">
        <v>11920</v>
      </c>
      <c r="F1571" s="65" t="s">
        <v>11921</v>
      </c>
      <c r="G1571" s="65" t="s">
        <v>11922</v>
      </c>
      <c r="H1571" s="65" t="s">
        <v>11923</v>
      </c>
      <c r="I1571" s="65" t="s">
        <v>11924</v>
      </c>
      <c r="J1571" s="65" t="s">
        <v>11925</v>
      </c>
      <c r="K1571" s="65" t="s">
        <v>11926</v>
      </c>
      <c r="L1571" s="6" t="s">
        <v>1367</v>
      </c>
      <c r="M1571" s="21" t="s">
        <v>1368</v>
      </c>
      <c r="N1571" s="21" t="s">
        <v>1369</v>
      </c>
      <c r="O1571" s="52"/>
      <c r="P1571" s="76" t="s">
        <v>1393</v>
      </c>
      <c r="Q1571" s="52"/>
    </row>
    <row r="1572" spans="1:33" ht="43.15">
      <c r="A1572" s="253" t="s">
        <v>11927</v>
      </c>
      <c r="B1572" s="387"/>
      <c r="C1572" s="76"/>
      <c r="D1572" s="65" t="s">
        <v>11928</v>
      </c>
      <c r="E1572" s="65" t="s">
        <v>11929</v>
      </c>
      <c r="F1572" s="65" t="s">
        <v>11930</v>
      </c>
      <c r="G1572" s="65" t="s">
        <v>11931</v>
      </c>
      <c r="H1572" s="65" t="s">
        <v>11932</v>
      </c>
      <c r="I1572" s="65" t="s">
        <v>11933</v>
      </c>
      <c r="J1572" s="65" t="s">
        <v>11934</v>
      </c>
      <c r="K1572" s="65" t="s">
        <v>11935</v>
      </c>
      <c r="L1572" s="6" t="s">
        <v>1367</v>
      </c>
      <c r="M1572" s="21" t="s">
        <v>1368</v>
      </c>
      <c r="N1572" s="21" t="s">
        <v>4073</v>
      </c>
      <c r="O1572" s="52"/>
      <c r="P1572" s="76" t="s">
        <v>22</v>
      </c>
      <c r="Q1572" s="52"/>
    </row>
    <row r="1573" spans="1:33" ht="43.15">
      <c r="A1573" s="253" t="s">
        <v>11936</v>
      </c>
      <c r="B1573" s="387"/>
      <c r="C1573" s="76"/>
      <c r="D1573" s="65" t="s">
        <v>11937</v>
      </c>
      <c r="E1573" s="65" t="s">
        <v>11938</v>
      </c>
      <c r="F1573" s="65" t="s">
        <v>11939</v>
      </c>
      <c r="G1573" s="65" t="s">
        <v>11940</v>
      </c>
      <c r="H1573" s="65" t="s">
        <v>11941</v>
      </c>
      <c r="I1573" s="65" t="s">
        <v>11942</v>
      </c>
      <c r="J1573" s="65" t="s">
        <v>11943</v>
      </c>
      <c r="K1573" s="65" t="s">
        <v>11944</v>
      </c>
      <c r="L1573" s="6" t="s">
        <v>1367</v>
      </c>
      <c r="M1573" s="21" t="s">
        <v>1368</v>
      </c>
      <c r="N1573" s="21" t="s">
        <v>1369</v>
      </c>
      <c r="O1573" s="52"/>
      <c r="P1573" s="76" t="s">
        <v>22</v>
      </c>
      <c r="Q1573" s="52"/>
    </row>
    <row r="1574" spans="1:33" ht="57.6">
      <c r="A1574" s="253" t="s">
        <v>11945</v>
      </c>
      <c r="B1574" s="387"/>
      <c r="C1574" s="76"/>
      <c r="D1574" s="65" t="s">
        <v>11946</v>
      </c>
      <c r="E1574" s="65" t="s">
        <v>11947</v>
      </c>
      <c r="F1574" s="65" t="s">
        <v>11948</v>
      </c>
      <c r="G1574" s="65" t="s">
        <v>11949</v>
      </c>
      <c r="H1574" s="65" t="s">
        <v>11950</v>
      </c>
      <c r="I1574" s="65" t="s">
        <v>11951</v>
      </c>
      <c r="J1574" s="65" t="s">
        <v>11952</v>
      </c>
      <c r="K1574" s="65" t="s">
        <v>11953</v>
      </c>
      <c r="L1574" s="6" t="s">
        <v>1367</v>
      </c>
      <c r="M1574" s="21" t="s">
        <v>1368</v>
      </c>
      <c r="N1574" s="21" t="s">
        <v>4073</v>
      </c>
      <c r="O1574" s="52"/>
      <c r="P1574" s="76" t="s">
        <v>22</v>
      </c>
      <c r="Q1574" s="52"/>
    </row>
    <row r="1575" spans="1:33" ht="57.6">
      <c r="A1575" s="253" t="s">
        <v>11954</v>
      </c>
      <c r="B1575" s="387"/>
      <c r="C1575" s="76"/>
      <c r="D1575" s="65" t="s">
        <v>11955</v>
      </c>
      <c r="E1575" s="65" t="s">
        <v>11956</v>
      </c>
      <c r="F1575" s="65" t="s">
        <v>11957</v>
      </c>
      <c r="G1575" s="65" t="s">
        <v>11958</v>
      </c>
      <c r="H1575" s="65" t="s">
        <v>11959</v>
      </c>
      <c r="I1575" s="65" t="s">
        <v>11960</v>
      </c>
      <c r="J1575" s="65" t="s">
        <v>11961</v>
      </c>
      <c r="K1575" s="65" t="s">
        <v>11962</v>
      </c>
      <c r="L1575" s="6" t="s">
        <v>1367</v>
      </c>
      <c r="M1575" s="21" t="s">
        <v>1368</v>
      </c>
      <c r="N1575" s="21" t="s">
        <v>1369</v>
      </c>
      <c r="O1575" s="52"/>
      <c r="P1575" s="76" t="s">
        <v>1393</v>
      </c>
      <c r="Q1575" s="52"/>
    </row>
    <row r="1576" spans="1:33" ht="72">
      <c r="A1576" s="253" t="s">
        <v>11963</v>
      </c>
      <c r="B1576" s="387"/>
      <c r="C1576" s="76"/>
      <c r="D1576" s="65" t="s">
        <v>11964</v>
      </c>
      <c r="E1576" s="65" t="s">
        <v>11965</v>
      </c>
      <c r="F1576" s="65" t="s">
        <v>11966</v>
      </c>
      <c r="G1576" s="65" t="s">
        <v>11967</v>
      </c>
      <c r="H1576" s="65" t="s">
        <v>11968</v>
      </c>
      <c r="I1576" s="65" t="s">
        <v>11969</v>
      </c>
      <c r="J1576" s="65" t="s">
        <v>11970</v>
      </c>
      <c r="K1576" s="65" t="s">
        <v>11971</v>
      </c>
      <c r="L1576" s="6" t="s">
        <v>1367</v>
      </c>
      <c r="M1576" s="21" t="s">
        <v>1368</v>
      </c>
      <c r="N1576" s="21" t="s">
        <v>4073</v>
      </c>
      <c r="O1576" s="52"/>
      <c r="P1576" s="76" t="s">
        <v>22</v>
      </c>
      <c r="Q1576" s="52"/>
    </row>
    <row r="1577" spans="1:33" ht="57.6">
      <c r="A1577" s="253" t="s">
        <v>11972</v>
      </c>
      <c r="B1577" s="387"/>
      <c r="C1577" s="76"/>
      <c r="D1577" s="65" t="s">
        <v>11973</v>
      </c>
      <c r="E1577" s="65" t="s">
        <v>11974</v>
      </c>
      <c r="F1577" s="65" t="s">
        <v>11975</v>
      </c>
      <c r="G1577" s="65" t="s">
        <v>11976</v>
      </c>
      <c r="H1577" s="65" t="s">
        <v>11977</v>
      </c>
      <c r="I1577" s="65" t="s">
        <v>11978</v>
      </c>
      <c r="J1577" s="65" t="s">
        <v>11979</v>
      </c>
      <c r="K1577" s="65" t="s">
        <v>11980</v>
      </c>
      <c r="L1577" s="6" t="s">
        <v>1367</v>
      </c>
      <c r="M1577" s="21" t="s">
        <v>1368</v>
      </c>
      <c r="N1577" s="21" t="s">
        <v>1369</v>
      </c>
      <c r="O1577" s="52"/>
      <c r="P1577" s="76" t="s">
        <v>22</v>
      </c>
      <c r="Q1577" s="52"/>
    </row>
    <row r="1578" spans="1:33" ht="72">
      <c r="A1578" s="253" t="s">
        <v>11981</v>
      </c>
      <c r="B1578" s="387"/>
      <c r="C1578" s="76"/>
      <c r="D1578" s="65" t="s">
        <v>11982</v>
      </c>
      <c r="E1578" s="65" t="s">
        <v>11983</v>
      </c>
      <c r="F1578" s="65" t="s">
        <v>11984</v>
      </c>
      <c r="G1578" s="65" t="s">
        <v>11985</v>
      </c>
      <c r="H1578" s="65" t="s">
        <v>11986</v>
      </c>
      <c r="I1578" s="65" t="s">
        <v>11987</v>
      </c>
      <c r="J1578" s="65" t="s">
        <v>11988</v>
      </c>
      <c r="K1578" s="65" t="s">
        <v>11989</v>
      </c>
      <c r="L1578" s="6" t="s">
        <v>1367</v>
      </c>
      <c r="M1578" s="21" t="s">
        <v>1368</v>
      </c>
      <c r="N1578" s="21" t="s">
        <v>1369</v>
      </c>
      <c r="O1578" s="52"/>
      <c r="P1578" s="76" t="s">
        <v>22</v>
      </c>
      <c r="Q1578" s="52"/>
    </row>
    <row r="1579" spans="1:33" ht="57.6">
      <c r="A1579" s="253" t="s">
        <v>11990</v>
      </c>
      <c r="B1579" s="387"/>
      <c r="C1579" s="76"/>
      <c r="D1579" s="65" t="s">
        <v>11991</v>
      </c>
      <c r="E1579" s="65" t="s">
        <v>11992</v>
      </c>
      <c r="F1579" s="65" t="s">
        <v>11993</v>
      </c>
      <c r="G1579" s="65" t="s">
        <v>11994</v>
      </c>
      <c r="H1579" s="65" t="s">
        <v>11995</v>
      </c>
      <c r="I1579" s="65" t="s">
        <v>11996</v>
      </c>
      <c r="J1579" s="65" t="s">
        <v>11997</v>
      </c>
      <c r="K1579" s="65" t="s">
        <v>11998</v>
      </c>
      <c r="L1579" s="6" t="s">
        <v>1367</v>
      </c>
      <c r="M1579" s="21" t="s">
        <v>1368</v>
      </c>
      <c r="N1579" s="21" t="s">
        <v>4073</v>
      </c>
      <c r="O1579" s="52"/>
      <c r="P1579" s="76" t="s">
        <v>22</v>
      </c>
      <c r="Q1579" s="52"/>
    </row>
    <row r="1580" spans="1:33" ht="57.6">
      <c r="A1580" s="253" t="s">
        <v>11999</v>
      </c>
      <c r="B1580" s="387"/>
      <c r="C1580" s="76"/>
      <c r="D1580" s="65" t="s">
        <v>12000</v>
      </c>
      <c r="E1580" s="65" t="s">
        <v>12001</v>
      </c>
      <c r="F1580" s="65" t="s">
        <v>12002</v>
      </c>
      <c r="G1580" s="65" t="s">
        <v>12003</v>
      </c>
      <c r="H1580" s="65" t="s">
        <v>12004</v>
      </c>
      <c r="I1580" s="65" t="s">
        <v>12005</v>
      </c>
      <c r="J1580" s="65" t="s">
        <v>12006</v>
      </c>
      <c r="K1580" s="65" t="s">
        <v>12007</v>
      </c>
      <c r="L1580" s="6" t="s">
        <v>1367</v>
      </c>
      <c r="M1580" s="21" t="s">
        <v>1368</v>
      </c>
      <c r="N1580" s="21" t="s">
        <v>4073</v>
      </c>
      <c r="O1580" s="52"/>
      <c r="P1580" s="76" t="s">
        <v>22</v>
      </c>
      <c r="Q1580" s="52"/>
    </row>
    <row r="1581" spans="1:33" ht="57.6">
      <c r="A1581" s="253" t="s">
        <v>12008</v>
      </c>
      <c r="B1581" s="387"/>
      <c r="C1581" s="76"/>
      <c r="D1581" s="65" t="s">
        <v>12009</v>
      </c>
      <c r="E1581" s="65" t="s">
        <v>12010</v>
      </c>
      <c r="F1581" s="65" t="s">
        <v>12011</v>
      </c>
      <c r="G1581" s="65" t="s">
        <v>12012</v>
      </c>
      <c r="H1581" s="65" t="s">
        <v>12013</v>
      </c>
      <c r="I1581" s="65" t="s">
        <v>12014</v>
      </c>
      <c r="J1581" s="65" t="s">
        <v>12015</v>
      </c>
      <c r="K1581" s="65" t="s">
        <v>12016</v>
      </c>
      <c r="L1581" s="6" t="s">
        <v>1367</v>
      </c>
      <c r="M1581" s="21" t="s">
        <v>1368</v>
      </c>
      <c r="N1581" s="21" t="s">
        <v>1369</v>
      </c>
      <c r="O1581" s="52"/>
      <c r="P1581" s="76" t="s">
        <v>22</v>
      </c>
      <c r="Q1581" s="52"/>
    </row>
    <row r="1582" spans="1:33" ht="57.6">
      <c r="A1582" s="253" t="s">
        <v>12017</v>
      </c>
      <c r="B1582" s="387"/>
      <c r="C1582" s="76"/>
      <c r="D1582" s="65" t="s">
        <v>12018</v>
      </c>
      <c r="E1582" s="65" t="s">
        <v>12019</v>
      </c>
      <c r="F1582" s="65" t="s">
        <v>12020</v>
      </c>
      <c r="G1582" s="65" t="s">
        <v>12021</v>
      </c>
      <c r="H1582" s="65" t="s">
        <v>12022</v>
      </c>
      <c r="I1582" s="65" t="s">
        <v>12023</v>
      </c>
      <c r="J1582" s="65" t="s">
        <v>12024</v>
      </c>
      <c r="K1582" s="65" t="s">
        <v>12025</v>
      </c>
      <c r="L1582" s="6" t="s">
        <v>1367</v>
      </c>
      <c r="M1582" s="21" t="s">
        <v>1368</v>
      </c>
      <c r="N1582" s="21" t="s">
        <v>1369</v>
      </c>
      <c r="O1582" s="52"/>
      <c r="P1582" s="76" t="s">
        <v>22</v>
      </c>
      <c r="Q1582" s="52"/>
    </row>
    <row r="1584" spans="1:33" s="55" customFormat="1">
      <c r="A1584" s="249"/>
      <c r="C1584" s="62"/>
      <c r="D1584" s="54"/>
      <c r="E1584" s="54"/>
      <c r="F1584" s="54"/>
      <c r="G1584" s="54"/>
      <c r="H1584" s="54"/>
      <c r="I1584" s="54"/>
      <c r="J1584" s="54"/>
      <c r="K1584" s="54"/>
      <c r="L1584" s="71"/>
      <c r="M1584" s="62"/>
      <c r="O1584"/>
      <c r="P1584" s="62"/>
      <c r="Q1584" s="62"/>
      <c r="R1584" s="302"/>
      <c r="S1584"/>
      <c r="W1584" s="6"/>
      <c r="X1584" s="6"/>
      <c r="AG1584" s="21"/>
    </row>
    <row r="1585" spans="1:24">
      <c r="W1585" s="71"/>
      <c r="X1585" s="71"/>
    </row>
    <row r="1586" spans="1:24" ht="57.6">
      <c r="A1586" s="253" t="s">
        <v>12026</v>
      </c>
      <c r="B1586" s="388" t="s">
        <v>12027</v>
      </c>
      <c r="C1586" s="76"/>
      <c r="D1586" s="65" t="s">
        <v>12028</v>
      </c>
      <c r="E1586" s="65" t="s">
        <v>12029</v>
      </c>
      <c r="F1586" s="65" t="s">
        <v>12030</v>
      </c>
      <c r="G1586" s="65" t="s">
        <v>12031</v>
      </c>
      <c r="H1586" s="65" t="s">
        <v>12032</v>
      </c>
      <c r="I1586" s="65" t="s">
        <v>12033</v>
      </c>
      <c r="J1586" s="65" t="s">
        <v>12034</v>
      </c>
      <c r="K1586" s="65" t="s">
        <v>12035</v>
      </c>
      <c r="L1586" s="6" t="s">
        <v>1367</v>
      </c>
      <c r="M1586" s="21" t="s">
        <v>1368</v>
      </c>
      <c r="N1586" s="21" t="s">
        <v>4073</v>
      </c>
      <c r="O1586" s="52"/>
      <c r="P1586" s="76" t="s">
        <v>22</v>
      </c>
      <c r="Q1586" s="52"/>
    </row>
    <row r="1587" spans="1:24" ht="57.6">
      <c r="A1587" s="253" t="s">
        <v>12036</v>
      </c>
      <c r="B1587" s="389"/>
      <c r="C1587" s="76"/>
      <c r="D1587" s="65" t="s">
        <v>12037</v>
      </c>
      <c r="E1587" s="65" t="s">
        <v>12038</v>
      </c>
      <c r="F1587" s="65" t="s">
        <v>12039</v>
      </c>
      <c r="G1587" s="65" t="s">
        <v>12040</v>
      </c>
      <c r="H1587" s="65" t="s">
        <v>12041</v>
      </c>
      <c r="I1587" s="65" t="s">
        <v>12042</v>
      </c>
      <c r="J1587" s="65" t="s">
        <v>12043</v>
      </c>
      <c r="K1587" s="65" t="s">
        <v>12044</v>
      </c>
      <c r="L1587" s="6" t="s">
        <v>1367</v>
      </c>
      <c r="M1587" s="21" t="s">
        <v>1368</v>
      </c>
      <c r="N1587" s="21" t="s">
        <v>4073</v>
      </c>
      <c r="O1587" s="52"/>
      <c r="P1587" s="76" t="s">
        <v>22</v>
      </c>
      <c r="Q1587" s="52"/>
    </row>
    <row r="1588" spans="1:24" ht="72">
      <c r="A1588" s="253" t="s">
        <v>12045</v>
      </c>
      <c r="B1588" s="389"/>
      <c r="C1588" s="76"/>
      <c r="D1588" s="65" t="s">
        <v>12046</v>
      </c>
      <c r="E1588" s="65" t="s">
        <v>12047</v>
      </c>
      <c r="F1588" s="65" t="s">
        <v>12048</v>
      </c>
      <c r="G1588" s="65" t="s">
        <v>12049</v>
      </c>
      <c r="H1588" s="65" t="s">
        <v>12050</v>
      </c>
      <c r="I1588" s="65" t="s">
        <v>12051</v>
      </c>
      <c r="J1588" s="65" t="s">
        <v>12052</v>
      </c>
      <c r="K1588" s="65" t="s">
        <v>12053</v>
      </c>
      <c r="L1588" s="6" t="s">
        <v>1367</v>
      </c>
      <c r="M1588" s="21" t="s">
        <v>1368</v>
      </c>
      <c r="N1588" s="21" t="s">
        <v>1369</v>
      </c>
      <c r="O1588" s="52"/>
      <c r="P1588" s="76" t="s">
        <v>1371</v>
      </c>
      <c r="Q1588" s="52"/>
    </row>
    <row r="1589" spans="1:24" ht="57.6">
      <c r="A1589" s="253" t="s">
        <v>12054</v>
      </c>
      <c r="B1589" s="389"/>
      <c r="C1589" s="76"/>
      <c r="D1589" s="65" t="s">
        <v>12055</v>
      </c>
      <c r="E1589" s="65" t="s">
        <v>12056</v>
      </c>
      <c r="F1589" s="65" t="s">
        <v>12057</v>
      </c>
      <c r="G1589" s="65" t="s">
        <v>12058</v>
      </c>
      <c r="H1589" s="65" t="s">
        <v>12059</v>
      </c>
      <c r="I1589" s="65" t="s">
        <v>12060</v>
      </c>
      <c r="J1589" s="65" t="s">
        <v>12061</v>
      </c>
      <c r="K1589" s="65" t="s">
        <v>12062</v>
      </c>
      <c r="L1589" s="6" t="s">
        <v>1367</v>
      </c>
      <c r="M1589" s="21" t="s">
        <v>1368</v>
      </c>
      <c r="N1589" s="21" t="s">
        <v>4073</v>
      </c>
      <c r="O1589" s="52"/>
      <c r="P1589" s="76" t="s">
        <v>22</v>
      </c>
      <c r="Q1589" s="52"/>
    </row>
    <row r="1590" spans="1:24" ht="57.6">
      <c r="A1590" s="253" t="s">
        <v>12063</v>
      </c>
      <c r="B1590" s="389"/>
      <c r="C1590" s="76"/>
      <c r="D1590" s="65" t="s">
        <v>12064</v>
      </c>
      <c r="E1590" s="65" t="s">
        <v>12065</v>
      </c>
      <c r="F1590" s="65" t="s">
        <v>12066</v>
      </c>
      <c r="G1590" s="65" t="s">
        <v>12067</v>
      </c>
      <c r="H1590" s="65" t="s">
        <v>12068</v>
      </c>
      <c r="I1590" s="65" t="s">
        <v>12069</v>
      </c>
      <c r="J1590" s="65" t="s">
        <v>12070</v>
      </c>
      <c r="K1590" s="65" t="s">
        <v>12071</v>
      </c>
      <c r="L1590" s="6" t="s">
        <v>1367</v>
      </c>
      <c r="M1590" s="21" t="s">
        <v>1368</v>
      </c>
      <c r="N1590" s="21" t="s">
        <v>4073</v>
      </c>
      <c r="O1590" s="52"/>
      <c r="P1590" s="76" t="s">
        <v>22</v>
      </c>
      <c r="Q1590" s="52"/>
    </row>
    <row r="1591" spans="1:24" ht="57.6">
      <c r="A1591" s="253" t="s">
        <v>12072</v>
      </c>
      <c r="B1591" s="389"/>
      <c r="C1591" s="76"/>
      <c r="D1591" s="65" t="s">
        <v>12073</v>
      </c>
      <c r="E1591" s="65" t="s">
        <v>12074</v>
      </c>
      <c r="F1591" s="65" t="s">
        <v>12075</v>
      </c>
      <c r="G1591" s="65" t="s">
        <v>12076</v>
      </c>
      <c r="H1591" s="65" t="s">
        <v>12077</v>
      </c>
      <c r="I1591" s="65" t="s">
        <v>12078</v>
      </c>
      <c r="J1591" s="65" t="s">
        <v>12079</v>
      </c>
      <c r="K1591" s="65" t="s">
        <v>12080</v>
      </c>
      <c r="L1591" s="6" t="s">
        <v>1367</v>
      </c>
      <c r="M1591" s="21" t="s">
        <v>1368</v>
      </c>
      <c r="N1591" s="21" t="s">
        <v>1369</v>
      </c>
      <c r="O1591" s="52"/>
      <c r="P1591" s="76" t="s">
        <v>22</v>
      </c>
      <c r="Q1591" s="52"/>
    </row>
    <row r="1048576" spans="33:33">
      <c r="AG1048576"/>
    </row>
  </sheetData>
  <mergeCells count="16">
    <mergeCell ref="W10:X10"/>
    <mergeCell ref="W14:X14"/>
    <mergeCell ref="W17:X17"/>
    <mergeCell ref="B862:B1058"/>
    <mergeCell ref="B1476:B1530"/>
    <mergeCell ref="B1330:B1377"/>
    <mergeCell ref="B1062:B1326"/>
    <mergeCell ref="B1381:B1421"/>
    <mergeCell ref="B1425:B1442"/>
    <mergeCell ref="B1446:B1472"/>
    <mergeCell ref="B87:B137"/>
    <mergeCell ref="B1566:B1582"/>
    <mergeCell ref="B1586:B1591"/>
    <mergeCell ref="B2:B83"/>
    <mergeCell ref="B1534:B1545"/>
    <mergeCell ref="B1549:B1562"/>
  </mergeCells>
  <phoneticPr fontId="5" type="noConversion"/>
  <conditionalFormatting sqref="L5 L7:L20 L23:L24">
    <cfRule type="cellIs" dxfId="50" priority="236" operator="equal">
      <formula>"Rejected"</formula>
    </cfRule>
  </conditionalFormatting>
  <conditionalFormatting sqref="L53:L71">
    <cfRule type="cellIs" dxfId="49" priority="206" operator="equal">
      <formula>"Rejected"</formula>
    </cfRule>
    <cfRule type="cellIs" dxfId="48" priority="207" operator="equal">
      <formula>"Not_Executed"</formula>
    </cfRule>
    <cfRule type="cellIs" dxfId="47" priority="208" operator="equal">
      <formula>"Failed"</formula>
    </cfRule>
    <cfRule type="cellIs" dxfId="46" priority="209" operator="equal">
      <formula>"Passed"</formula>
    </cfRule>
    <cfRule type="cellIs" dxfId="45" priority="210" operator="equal">
      <formula>"Passed"</formula>
    </cfRule>
    <cfRule type="cellIs" priority="211" operator="equal">
      <formula>"Not_Executed"</formula>
    </cfRule>
    <cfRule type="cellIs" dxfId="44" priority="212" operator="equal">
      <formula>"Failed"</formula>
    </cfRule>
    <cfRule type="cellIs" dxfId="43" priority="213" operator="equal">
      <formula>"Passed"</formula>
    </cfRule>
  </conditionalFormatting>
  <conditionalFormatting sqref="L374:L572">
    <cfRule type="cellIs" dxfId="42" priority="50" operator="equal">
      <formula>"Not_Executed"</formula>
    </cfRule>
    <cfRule type="cellIs" dxfId="41" priority="51" operator="equal">
      <formula>"Failed"</formula>
    </cfRule>
    <cfRule type="cellIs" dxfId="40" priority="52" operator="equal">
      <formula>"Passed"</formula>
    </cfRule>
    <cfRule type="cellIs" dxfId="39" priority="53" operator="equal">
      <formula>"Passed"</formula>
    </cfRule>
    <cfRule type="cellIs" priority="54" operator="equal">
      <formula>"Not_Executed"</formula>
    </cfRule>
    <cfRule type="cellIs" dxfId="38" priority="55" operator="equal">
      <formula>"Failed"</formula>
    </cfRule>
    <cfRule type="cellIs" dxfId="37" priority="56" operator="equal">
      <formula>"Passed"</formula>
    </cfRule>
  </conditionalFormatting>
  <conditionalFormatting sqref="L811:L820 L1425:L1048576">
    <cfRule type="cellIs" dxfId="36" priority="157" operator="equal">
      <formula>"Not_Executed"</formula>
    </cfRule>
    <cfRule type="cellIs" dxfId="35" priority="158" operator="equal">
      <formula>"Failed"</formula>
    </cfRule>
    <cfRule type="cellIs" dxfId="34" priority="159" operator="equal">
      <formula>"Passed"</formula>
    </cfRule>
    <cfRule type="cellIs" dxfId="33" priority="160" operator="equal">
      <formula>"Passed"</formula>
    </cfRule>
    <cfRule type="cellIs" priority="161" operator="equal">
      <formula>"Not_Executed"</formula>
    </cfRule>
    <cfRule type="cellIs" dxfId="32" priority="162" operator="equal">
      <formula>"Failed"</formula>
    </cfRule>
    <cfRule type="cellIs" dxfId="31" priority="163" operator="equal">
      <formula>"Passed"</formula>
    </cfRule>
  </conditionalFormatting>
  <conditionalFormatting sqref="L1531:L1532 P375:P384 N1 L1:L24 AG1:AG800 L85:L86 L164:L226 L306:L307 L314:L315 L325:L347 O374:O385 L575:L730 L802:L809 AG809:AG857 AG859:AG1049 L860:L984 L986:L1421 AG1051:AG1260 AG1326:AG1420 O1476:O1525 M1480:M1525">
    <cfRule type="cellIs" dxfId="30" priority="238" operator="equal">
      <formula>"Failed"</formula>
    </cfRule>
    <cfRule type="cellIs" dxfId="29" priority="239" operator="equal">
      <formula>"Passed"</formula>
    </cfRule>
  </conditionalFormatting>
  <conditionalFormatting sqref="N1 L1:L24 AG1:AG800 L85:L86 L164:L226 L306:L307 L314:L315 L325:L347 O374:O385 P375:P384 L575:L730 L802:L809 AG809:AG857 AG859:AG1049 L860:L984 L986:L1421 AG1051:AG1260 AG1326:AG1420 O1476:O1525 M1480:M1525 L1531:L1532">
    <cfRule type="cellIs" dxfId="28" priority="242" operator="equal">
      <formula>"Failed"</formula>
    </cfRule>
    <cfRule type="cellIs" dxfId="27" priority="243" operator="equal">
      <formula>"Passed"</formula>
    </cfRule>
  </conditionalFormatting>
  <conditionalFormatting sqref="N1 L1:L24 AG1:AG800 L85:L86 L164:L226 L306:L307 L314:L315 L325:L347 O374:O385 P375:P384 L575:L730 L802:L809 AG809:AG857 AG859:AG1049 L860:L984 L986:L1421 AG1051:AG1260 AG1326:AG1420 O1476:O1525 M1480:M1525">
    <cfRule type="cellIs" priority="241" operator="equal">
      <formula>"Not_Executed"</formula>
    </cfRule>
  </conditionalFormatting>
  <conditionalFormatting sqref="P1:P1048576">
    <cfRule type="containsText" dxfId="26" priority="116" operator="containsText" text="Low">
      <formula>NOT(ISERROR(SEARCH("Low",P1)))</formula>
    </cfRule>
    <cfRule type="containsText" dxfId="25" priority="117" operator="containsText" text="Medium">
      <formula>NOT(ISERROR(SEARCH("Medium",P1)))</formula>
    </cfRule>
    <cfRule type="containsText" dxfId="24" priority="118" operator="containsText" text="High">
      <formula>NOT(ISERROR(SEARCH("High",P1)))</formula>
    </cfRule>
    <cfRule type="containsText" dxfId="23" priority="119" operator="containsText" text="Critical">
      <formula>NOT(ISERROR(SEARCH("Critical",P1)))</formula>
    </cfRule>
    <cfRule type="colorScale" priority="120">
      <colorScale>
        <cfvo type="min"/>
        <cfvo type="percentile" val="50"/>
        <cfvo type="max"/>
        <color rgb="FF63BE7B"/>
        <color rgb="FFFFEB84"/>
        <color rgb="FFF8696B"/>
      </colorScale>
    </cfRule>
    <cfRule type="colorScale" priority="121">
      <colorScale>
        <cfvo type="min"/>
        <cfvo type="max"/>
        <color rgb="FFFF7128"/>
        <color rgb="FFFFEF9C"/>
      </colorScale>
    </cfRule>
  </conditionalFormatting>
  <conditionalFormatting sqref="P375:P384 N1 L1:L24 AG1:AG800 L85:L86 L164:L226 L306:L307 L314:L315 L325:L347 O374:O385 L575:L730 L802:L809 AG809:AG857 AG859:AG1049 L860:L984 L986:L1421 AG1051:AG1260 AG1326:AG1420 O1476:O1525 M1480:M1525">
    <cfRule type="cellIs" dxfId="22" priority="237" operator="equal">
      <formula>"Not_Executed"</formula>
    </cfRule>
    <cfRule type="cellIs" dxfId="21" priority="240" operator="equal">
      <formula>"Passed"</formula>
    </cfRule>
  </conditionalFormatting>
  <conditionalFormatting sqref="AG1424:AG1048575">
    <cfRule type="cellIs" dxfId="20" priority="1" operator="equal">
      <formula>"Not_Executed"</formula>
    </cfRule>
    <cfRule type="cellIs" dxfId="19" priority="2" operator="equal">
      <formula>"Failed"</formula>
    </cfRule>
    <cfRule type="cellIs" dxfId="18" priority="3" operator="equal">
      <formula>"Passed"</formula>
    </cfRule>
    <cfRule type="cellIs" dxfId="17" priority="4" operator="equal">
      <formula>"Passed"</formula>
    </cfRule>
    <cfRule type="cellIs" priority="5" operator="equal">
      <formula>"Not_Executed"</formula>
    </cfRule>
    <cfRule type="cellIs" dxfId="16" priority="6" operator="equal">
      <formula>"Failed"</formula>
    </cfRule>
    <cfRule type="cellIs" dxfId="15" priority="7" operator="equal">
      <formula>"Passed"</formula>
    </cfRule>
  </conditionalFormatting>
  <conditionalFormatting sqref="AI613">
    <cfRule type="cellIs" dxfId="14" priority="98" operator="equal">
      <formula>"Not_Executed"</formula>
    </cfRule>
    <cfRule type="cellIs" dxfId="13" priority="99" operator="equal">
      <formula>"Failed"</formula>
    </cfRule>
    <cfRule type="cellIs" dxfId="12" priority="100" operator="equal">
      <formula>"Passed"</formula>
    </cfRule>
    <cfRule type="cellIs" dxfId="11" priority="101" operator="equal">
      <formula>"Passed"</formula>
    </cfRule>
    <cfRule type="cellIs" priority="102" operator="equal">
      <formula>"Not_Executed"</formula>
    </cfRule>
    <cfRule type="cellIs" dxfId="10" priority="103" operator="equal">
      <formula>"Failed"</formula>
    </cfRule>
    <cfRule type="cellIs" dxfId="9" priority="104" operator="equal">
      <formula>"Passed"</formula>
    </cfRule>
  </conditionalFormatting>
  <dataValidations count="4">
    <dataValidation type="list" allowBlank="1" showInputMessage="1" showErrorMessage="1" sqref="N1 L1:L24 L811:L820 L85:L86 L306:L307 L314:L315 L802:L809 L325:L347 O374:O385 L164:L226 L860:L984 L575:L730 M1480:M1525 L1425:L1048576 L986:L1421 L53:L71 L374:L572" xr:uid="{00000000-0002-0000-0300-000000000000}">
      <formula1>"Passed,Failed,Not_Executed,Rejected"</formula1>
    </dataValidation>
    <dataValidation type="list" allowBlank="1" showInputMessage="1" showErrorMessage="1" sqref="M1040:M1046 M1330:M1377 M1381:M1421 M1425:M1442 M1446:M1472 M1534:M1546 M1549:M1562 M1566:M1582 M811:M820 M802:M809 M253:M289 M1586:M1591 M87:M163 M165:M194 M196:M225 M227:M251 M291:M347 M349:M373 M375:M384 M386:M415 M417:M446 M448:M476 M478:M505 M507:M536 M538:M574 M922:M925 M964:M972 M957:M962 M937:M955 M927:M935 M974:M984 M986:M1014 M1016:M1031 M1033:M1038 M1476:M1479 M1526:M1530 AH613 AI661 M861:M920 M822:M858 R1476:R1525 M1062:M1326 M1048:M1059 M576:M800 Q2:Q1048576 M2:M83" xr:uid="{B0D03DE4-4132-4EA3-B2FE-C9BD5FD09329}">
      <formula1>"AY,Afram,Omar,Aly,Ayman"</formula1>
    </dataValidation>
    <dataValidation type="list" allowBlank="1" showInputMessage="1" showErrorMessage="1" sqref="AI613 O1476:O1525 AG1:AG1048575" xr:uid="{31BB6CE0-873A-4A1E-BCA8-82D80355BDB6}">
      <formula1>"Yes,No"</formula1>
    </dataValidation>
    <dataValidation type="list" allowBlank="1" showInputMessage="1" showErrorMessage="1" sqref="P2:P1048576" xr:uid="{58A505D7-C8B5-4DC2-8006-0FF5B7A14E41}">
      <formula1>"Critical,High,Medium,Low"</formula1>
    </dataValidation>
  </dataValidations>
  <hyperlinks>
    <hyperlink ref="C3" location="'User_Stories'!C6" display="AC_002" xr:uid="{B4EC4509-FD65-4446-BC0D-12FBFBFADF94}"/>
    <hyperlink ref="C4" location="'User_Stories'!C6" display="AC_003" xr:uid="{672B6B39-6FA0-4316-8381-8BCD5C1539C0}"/>
    <hyperlink ref="C6" location="'User_Stories'!C7" display="AC_005" xr:uid="{C73F0222-2C3A-464B-90DB-646EE6CCF13E}"/>
    <hyperlink ref="C5" location="User_Stories!C11" display="AC_004" xr:uid="{C9E58971-9DFF-4D2F-B17E-77311D6E0040}"/>
    <hyperlink ref="C18" location="'User_Stories'!C9" display="AC_017" xr:uid="{33F8D903-9D0A-48FD-8E7D-16F629A9CF31}"/>
    <hyperlink ref="C19" location="'User_Stories'!C2" display="AC_018" xr:uid="{2425AF30-9273-45DE-80B0-2A0C55CD454D}"/>
    <hyperlink ref="C17" location="'User_Stories'!C3" display="AC_016" xr:uid="{735BB750-F633-4DE3-B1BC-B38AD296E605}"/>
    <hyperlink ref="C20" location="'User_Stories'!C8" display="AC_019" xr:uid="{5704ED93-1414-40A3-9827-AD58B2A0DEE0}"/>
    <hyperlink ref="C16" location="'User_Stories'!C5" display="AC_015" xr:uid="{3A9D8CFC-A0FD-4A3B-8C8A-CF95D39E6603}"/>
    <hyperlink ref="C22" location="'User_Stories'!C2" display="AC_021" xr:uid="{49C26151-0522-4F69-B144-D2A56522752A}"/>
    <hyperlink ref="C15" location="'User_Stories'!C4" display="AC_014" xr:uid="{0DDD3E29-CD52-4365-B0A2-70E6F0DA36A3}"/>
    <hyperlink ref="C23" location="'User_Stories'!C4" display="AC_022" xr:uid="{08533718-376A-4A9C-A0C7-5D194B399AFF}"/>
    <hyperlink ref="C24" location="'User_Stories'!C2" display="AC_023" xr:uid="{69A3165F-6DA6-4115-BBD4-79FDCDBE3E9D}"/>
    <hyperlink ref="C11" location="'User_Stories'!C5" display="AC_010" xr:uid="{310C3414-B7FE-424A-B8D3-5CA058A6740A}"/>
    <hyperlink ref="C10" location="'User_Stories'!C5" display="AC_009" xr:uid="{1771A236-1762-4E56-9667-ACC510F7547B}"/>
    <hyperlink ref="C14" location="'User_Stories'!C2" display="AC_013" xr:uid="{7A214761-4F1D-490E-A03A-0CB3E4C88B91}"/>
    <hyperlink ref="C9" location="'User_Stories'!C4" display="AC_008" xr:uid="{3C7D2DC8-9C9F-4D5D-B0E2-4928ECCA03A1}"/>
    <hyperlink ref="C8" location="'User_Stories'!C5" display="AC_007" xr:uid="{83DC1D5C-DF4D-4B35-ACCE-3B0EBC2077CD}"/>
    <hyperlink ref="C13" location="'User_Stories'!C10" display="AC_012" xr:uid="{893EE287-696E-4BAB-A7D6-6561B930850A}"/>
    <hyperlink ref="C7" location="'User_Stories'!C5" display="AC_006" xr:uid="{02A274D4-21AD-4855-9444-340195A8EE09}"/>
    <hyperlink ref="C12" location="'User_Stories'!C4" display="AC_011" xr:uid="{867E8AA5-E0F6-4FE4-B7E3-F0B1B6A7B37E}"/>
    <hyperlink ref="C2" location="'User_Stories'!C2" display="AC_001" xr:uid="{C4315C34-3D3C-4DC1-BC3C-2276AAD5F537}"/>
    <hyperlink ref="C21" location="'User_Stories'!C8" display="AC_020" xr:uid="{88E946BA-ACC8-47F6-9BB9-18E032B76275}"/>
    <hyperlink ref="C49" location="'User_Stories'!C8" display="AC_036" xr:uid="{EFD08853-5646-43C7-BDCE-106A5D6CCCF1}"/>
    <hyperlink ref="C50:C51" location="'User_Stories'!C8" display="AC_036" xr:uid="{042CB771-1BF2-4040-A7F5-4F3BDA3B9ACC}"/>
    <hyperlink ref="C48" location="'User_Stories'!C8" display="AC_035" xr:uid="{74B88A3A-920F-43C1-A2C5-ED1DD80D1836}"/>
    <hyperlink ref="C53" location="'User_Stories'!C13" display="AC_039" xr:uid="{02372DCE-48BF-4D13-B9FB-6753A8F1EE2D}"/>
    <hyperlink ref="C57:C62" location="'User_Stories'!C13" display="AC_039" xr:uid="{C1324CE7-FE47-47DD-BE1C-C74D826F2679}"/>
    <hyperlink ref="C62" location="'User_Stories'!C13" display="AC_045" xr:uid="{2D1AD017-D283-4EEA-83BA-A87108C7DCD9}"/>
    <hyperlink ref="C63" location="'User_Stories'!C14" display="AC_046" xr:uid="{0CF089D8-55FD-486D-8189-60AAB227A915}"/>
    <hyperlink ref="C64:C67" location="'User_Stories'!C14" display="AC_046" xr:uid="{E9CD8612-4D8C-405E-B67C-9B6E170D9A02}"/>
    <hyperlink ref="C68" location="'User_Stories'!C15" display="AC_052" xr:uid="{1EE4C444-1F2B-4C50-8013-0132A48F08E6}"/>
    <hyperlink ref="C69" location="'User_Stories'!C15" display="AC_052" xr:uid="{24A610AA-991B-4304-BF18-7F43943E7112}"/>
    <hyperlink ref="C70" location="'User_Stories'!C16" display="AC_055" xr:uid="{ED257789-1D04-41A8-8F49-63937FD16CB3}"/>
    <hyperlink ref="C71" location="'User_Stories'!C16" display="AC_055" xr:uid="{60263EA4-F5D5-463E-8ECD-99A2EAA38D32}"/>
    <hyperlink ref="C26" location="'User_Stories'!C4" display="AC_025" xr:uid="{BB7CEF99-AB43-4BDD-91A1-549C5E444841}"/>
    <hyperlink ref="C27" location="'User_Stories'!C3" display="AC_026" xr:uid="{3EF91477-4972-4279-A43C-CFD48768944E}"/>
    <hyperlink ref="C28" location="'User_Stories'!C3" display="AC_027" xr:uid="{FA75755A-0077-47AC-B240-A2F4B03D522C}"/>
    <hyperlink ref="C29" location="'User_Stories'!C3" display="AC_028" xr:uid="{770FA0C3-48FF-45B8-AFD2-9E8C86746692}"/>
    <hyperlink ref="A2" location="User_Stories!A4" display="TC_LOGIN_001" xr:uid="{BDBD28D8-00B4-48AD-AFC6-60C1B2DE1CCB}"/>
    <hyperlink ref="H281" r:id="rId1" display="mailto:admin@gmail.com" xr:uid="{0889A868-A58C-4B2B-8386-E9F813DA3183}"/>
    <hyperlink ref="H269" r:id="rId2" display="mailto:alysalem@gmail.com" xr:uid="{051CDA8B-0076-4945-9040-9D7E80E63826}"/>
    <hyperlink ref="H675" r:id="rId3" display="mailto:admin@veryveryveryveryveryveryverylongdomainnametestexamplemailserver.com" xr:uid="{23803033-1187-40DB-9DD2-CED33FF06AB1}"/>
    <hyperlink ref="H627" r:id="rId4" display="mailto:admin@veryveryveryveryveryveryverylongdomainnametestexamplemailserver.com" xr:uid="{350B8F68-806B-4AE0-BB65-A4FC33DDCE0A}"/>
    <hyperlink ref="A1476" location="User_Stories!A994" display="TC_DASH_001" xr:uid="{B5D292D8-A602-4877-9E60-27C6BBF13579}"/>
    <hyperlink ref="A1477:A1530" location="User_Stories!A994" display="TC_DASH_001" xr:uid="{ECB13DD6-2169-43B7-8E88-08D99E954D96}"/>
    <hyperlink ref="A1425:A1442" location="User_Stories!A867" display="TC_MYINFO-001" xr:uid="{AA8F58D8-D04E-42BA-951B-CE03B0419252}"/>
    <hyperlink ref="A1534" location="User_Stories!A1015" display="TC_DIR_001" xr:uid="{4EAA7F3A-6A83-4E93-B003-6C5ADCC2F23D}"/>
    <hyperlink ref="A1535:A1545" location="User_Stories!A1015" display="TC_DIR_001" xr:uid="{6B97259E-89B1-4721-9C52-106B55CE7814}"/>
    <hyperlink ref="A1586" location="User_Stories!A1160" display="TC_BUZZ_001" xr:uid="{7C6A169D-EB67-4BB0-A13F-5D3C561BF9B8}"/>
    <hyperlink ref="A1587:A1591" location="User_Stories!A1160" display="TC_BUZZ_001" xr:uid="{D439E7C0-EF86-4226-950B-8070522FD776}"/>
    <hyperlink ref="A87" location="Test_Cases!A24" display="TC_ADMIN_001" xr:uid="{C4D5D280-F94E-4EE6-85B9-05614D07492D}"/>
    <hyperlink ref="A88:A111" location="Test_Cases!A24" display="TC_ADMIN_001" xr:uid="{25EA6466-0F8E-4E39-BFB9-0D4C47A8D52F}"/>
    <hyperlink ref="A113" location="User_Stories!A31" display="TC_ADMIN_026" xr:uid="{F273F221-5328-4EB0-A654-D49165504AF5}"/>
    <hyperlink ref="A87:A111" location="User_Stories!A24" display="TC_ADMIN_001" xr:uid="{3BF3F858-F030-40B2-B17E-0D2C175D29B6}"/>
    <hyperlink ref="A114:A137" location="User_Stories!A31" display="TC_ADMIN_026" xr:uid="{BDDACE23-906C-40DC-9464-13322C692427}"/>
    <hyperlink ref="A139:A163" location="User_Stories!A45" display="TC_ADMIN_051" xr:uid="{0D27F7AC-D9BC-4169-B77C-29D561E0B114}"/>
    <hyperlink ref="A165:A194" location="User_Stories!A53" display="TC_ADMIN_076" xr:uid="{5AF20B1D-E780-4D0C-9E4B-31FD0B214726}"/>
    <hyperlink ref="A196:A225" location="User_Stories!A63" display="TC_ADMIN_107" xr:uid="{3C5383AF-F1BF-4AFA-A45E-1F219015214C}"/>
    <hyperlink ref="A227:A251" location="User_Stories!A73" display="TC_ADMIN_137" xr:uid="{7BDD7912-F177-4DCC-9AFC-33C7FA9A9117}"/>
    <hyperlink ref="A253:A289" location="User_Stories!A85" display="TC_ADMIN_162" xr:uid="{9E303249-99C0-45E8-8D02-85D003EAF8A9}"/>
    <hyperlink ref="A291:A347" location="User_Stories!A94" display="TC_ADMIN_199" xr:uid="{0F6CC54B-2FAF-4F0E-B518-E52A1F2803E5}"/>
    <hyperlink ref="A349:A373" location="User_Stories!A107" display="TC_ADMIN_256" xr:uid="{8DF556D9-3642-4D9D-A4AA-E75064EB4E2B}"/>
    <hyperlink ref="A375:A384" location="User_Stories!A118" display="TC_ADMIN_281" xr:uid="{0DB04971-25B4-4D34-B04D-FE73030EB5A8}"/>
    <hyperlink ref="A386:A415" location="User_Stories!A129" display="TC_ADMIN_291" xr:uid="{B6DF8656-FC65-4666-A0E9-16D728E8F4F0}"/>
    <hyperlink ref="A417:A446" location="User_Stories!A139" display="TC_ADMIN_321" xr:uid="{E0CDD3C6-9B88-4531-9B59-CE139B8869A4}"/>
    <hyperlink ref="A448:A476" location="User_Stories!A149" display="TC_ADMIN_351" xr:uid="{1E3755E5-5193-4A14-8940-D9AC71FF868A}"/>
    <hyperlink ref="A478:A505" location="User_Stories!A157" display="TC_ADMIN_380" xr:uid="{5FAA4CAC-859B-48FA-8D64-862274F0C9BC}"/>
    <hyperlink ref="A507:A536" location="User_Stories!A165" display="TC_ADMIN_407" xr:uid="{414083A3-4975-4579-A4EF-6F0C51947513}"/>
    <hyperlink ref="A538:A574" location="User_Stories!A175" display="TC_ADMIN_437" xr:uid="{2085AB50-EE1B-4E26-9AC5-035C89A5579A}"/>
    <hyperlink ref="A576:A638" location="User_Stories!A186" display="TC_ADMIN_474" xr:uid="{254944A8-E382-4553-AF1F-C7E3C0D6F14D}"/>
    <hyperlink ref="A640:A694" location="User_Stories!A197" display="TC_ADMIN_537" xr:uid="{DD64D283-917E-42F0-97FE-3C6A8832F9B8}"/>
    <hyperlink ref="A696:A729" location="User_Stories!A208" display="TC_ADMIN_592" xr:uid="{B0F6B705-57D4-4CED-8008-AC92420C7C2A}"/>
    <hyperlink ref="A731:A769" location="User_Stories!A219" display="TC_ADMIN_626" xr:uid="{99B02389-1067-4F59-B0B4-D19CCC266F10}"/>
    <hyperlink ref="A769:A800" location="User_Stories!A230" display="TC_ADMIN_663" xr:uid="{81921FD1-DE95-4533-849F-5E91C3C6364D}"/>
    <hyperlink ref="A802:A809" location="User_Stories!A241" display="TC_ADMIN_695" xr:uid="{36397DEF-5344-48FC-9594-FC5750153193}"/>
    <hyperlink ref="A811:A820" location="User_Stories!A250" display="TC_ADMIN_703" xr:uid="{EEBF85AF-C5D6-4CE6-83C4-F9684A9DAFDE}"/>
    <hyperlink ref="A822:A858" location="User_Stories!A261" display="TC_ADMIN_713" xr:uid="{8D982069-82DB-4348-A12B-7C1D69F4F97F}"/>
    <hyperlink ref="A1062:A1071" location="User_Stories!A384" display="TC_LEAVE_001" xr:uid="{2F33B714-D845-43DA-934F-0C5616BA43B8}"/>
    <hyperlink ref="A1072:A1124" location="User_Stories!A401" display="TC_LEAVE_011" xr:uid="{F3DD329B-17C4-460A-8E16-ED39DB7D546E}"/>
    <hyperlink ref="A1125:A1142" location="User_Stories!A420" display="TC_LEAVE_064" xr:uid="{AB21B007-9AF2-4D42-9F46-37B7E93BDBC0}"/>
    <hyperlink ref="A1143:A1162" location="User_Stories!A439" display="TC_LEAVE_082" xr:uid="{9716D9DF-E376-44A2-B05A-37B3BE326B2D}"/>
    <hyperlink ref="A1163:A1180" location="User_Stories!A460" display="TC_LEAVE_102" xr:uid="{6F28D1C8-8739-4D15-B76A-6018005D98EC}"/>
    <hyperlink ref="A1181:A1194" location="User_Stories!A479" display="TC_LEAVE_120" xr:uid="{92E0207D-F00C-4947-B815-E70C94C74ECA}"/>
    <hyperlink ref="A1195:A1208" location="User_Stories!A494" display="TC_LEAVE_134" xr:uid="{DFD357CA-6CC2-4AAB-A69F-3A4595EF15EE}"/>
    <hyperlink ref="A1209:A1223" location="User_Stories!A509" display="TC_LEAVE_148" xr:uid="{EC1B1752-29F0-438B-9FED-D2EF149B07EC}"/>
    <hyperlink ref="A1224:A1241" location="User_Stories!A525" display="TC_LEAVE_163" xr:uid="{6C3D7802-616E-4CBA-9B39-C06917939907}"/>
    <hyperlink ref="A1242:A1258" location="User_Stories!A544" display="TC_LEAVE_181" xr:uid="{0994136A-CD65-42E6-86B2-F4DC7C488F43}"/>
    <hyperlink ref="A1259:A1278" location="User_Stories!A562" display="TC_LEAVE_198" xr:uid="{FFBFEA01-234B-42E7-B25A-A422A73C50E9}"/>
    <hyperlink ref="A1279:A1302" location="User_Stories!A583" display="TC_LEAVE_218" xr:uid="{C2121458-1F08-4FF3-9F67-59BB1C78E3CC}"/>
    <hyperlink ref="A1303:A1326" location="User_Stories!A608" display="TC_LEAVE_242" xr:uid="{C1B99FC4-EF5D-4ECD-B5BF-3FCB3E5679F5}"/>
    <hyperlink ref="A1330:A1338" location="User_Stories!A635" display="TC_TIME_001" xr:uid="{DCCEE376-84B1-40D4-BFE8-2BBFD6E56F98}"/>
    <hyperlink ref="A1339:A1349" location="User_Stories!A653" display="TC_TIME_010" xr:uid="{2E90F6DE-7D5F-484F-A95B-FBBC85B48EF5}"/>
    <hyperlink ref="A1350:A1360" location="User_Stories!A670" display="TC_TIME_021" xr:uid="{3BDF1A50-BC90-4CE8-91FA-24B5CE11FA1D}"/>
    <hyperlink ref="A1361:A1369" location="User_Stories!A686" display="TC_TIME_032" xr:uid="{EED15869-2F39-4D08-A459-F78F286D080C}"/>
    <hyperlink ref="A1370:A1375" location="User_Stories!A702" display="TC_TIME_041" xr:uid="{FE8DCC86-7969-4DF0-BC81-AE37B90590A4}"/>
    <hyperlink ref="A1381:A1400" location="User_Stories!A824" display="TC_REC-001" xr:uid="{334D4FC9-A0B5-452D-99C0-B52167B03D11}"/>
    <hyperlink ref="A1401:A1421" location="User_Stories!A844" display="TC_REC-021" xr:uid="{D3B56CCE-EE68-4932-9719-ECAABF82DB63}"/>
    <hyperlink ref="A1446:A1452" location="User_Stories!A888" display="TC_PERF_001" xr:uid="{EE38A16A-3FEC-40EA-AC6E-2E425DBE68B9}"/>
    <hyperlink ref="A1453:A1456" location="User_Stories!A903" display="TC_PERF_008" xr:uid="{E9BC6D44-34AC-4412-A739-FF53F4F49435}"/>
    <hyperlink ref="A1468:A1472" location="User_Stories!A981" display="TC_PERF_023" xr:uid="{F6FEEC20-08D8-4E9A-BFE6-491E5EAD46A8}"/>
    <hyperlink ref="A1466:A1467" location="User_Stories!A970" display="TC_PERF_021" xr:uid="{F7432048-D15F-425F-84B8-C72A8A2B4104}"/>
    <hyperlink ref="A1464:A1465" location="User_Stories!A959" display="TC_PERF_019" xr:uid="{8ECFE8BC-D2FC-4C47-AFEC-C0263EC27204}"/>
    <hyperlink ref="A1460:A1463" location="Test_Cases!A946" display="TC_PERF_015" xr:uid="{8D866829-56F2-462F-9C0C-3DE2DEAE9461}"/>
    <hyperlink ref="A1457:A1459" location="User_Stories!A918" display="TC_PERF_012" xr:uid="{8F68ED96-38C4-449F-82A3-A8BBFBCF9E6E}"/>
    <hyperlink ref="A1549" location="User_Stories!A1027" display="TC_MAINT_001" xr:uid="{BBBEDB03-0504-40D7-AFE5-AA8647AEA30A}"/>
    <hyperlink ref="A1550:A1553" location="User_Stories!A1041" display="TC_MAINT_002" xr:uid="{FD729711-F469-4F3D-937E-BFB041B13F07}"/>
    <hyperlink ref="A1554:A1557" location="User_Stories!A1057" display="TC_MAINT_006" xr:uid="{FC9C085D-5FB7-41B2-8875-21AADB410AA3}"/>
    <hyperlink ref="A1558:A1562" location="User_Stories!A1073" display="TC_MAINT_010" xr:uid="{96DA9FB6-D843-461E-B676-075643A17AA2}"/>
    <hyperlink ref="A1566:A1571" location="User_Stories!A1089" display="TC_CLAIM_001" xr:uid="{97B73802-EF1C-4228-80B6-3D33F17E5B35}"/>
    <hyperlink ref="A1572:A1575" location="User_Stories!A1103" display="TC_CLAIM_007" xr:uid="{0E3A4F03-DBBB-4FFF-8BFE-28B6B19C35DF}"/>
    <hyperlink ref="A1576:A1578" location="User_Stories!A1116" display="TC_CLAIM_011" xr:uid="{25B01902-E4A5-48BE-B0DB-87BA3196D597}"/>
    <hyperlink ref="A1579:A1582" location="User_Stories!A1130" display="TC_CLAIM_014" xr:uid="{DE997474-8D48-4E9A-9C64-46CF19757295}"/>
    <hyperlink ref="A3:A51" location="User_Stories!A4" display="TC_LOGIN_001" xr:uid="{A651A952-5F6B-4503-AF4E-87F58D3EAD54}"/>
    <hyperlink ref="A53" location="User_Stories!A15" display="TC_LOGIN_029" xr:uid="{F431733F-C93C-47F0-8AD3-157A73F1072E}"/>
    <hyperlink ref="A54:A83" location="User_Stories!A15" display="TC_LOGIN_029" xr:uid="{535C4620-E6FF-4DD4-8E87-20330C91AA9E}"/>
  </hyperlinks>
  <pageMargins left="0.75" right="0.75" top="1" bottom="1" header="0.5" footer="0.5"/>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T148"/>
  <sheetViews>
    <sheetView zoomScale="78" zoomScaleNormal="100" workbookViewId="0">
      <pane xSplit="1" ySplit="1" topLeftCell="B2" activePane="bottomRight" state="frozen"/>
      <selection pane="bottomRight" sqref="A1:XFD6"/>
      <selection pane="bottomLeft" activeCell="A2" sqref="A2"/>
      <selection pane="topRight" activeCell="B1" sqref="B1"/>
    </sheetView>
  </sheetViews>
  <sheetFormatPr defaultColWidth="9.140625" defaultRowHeight="14.45"/>
  <cols>
    <col min="1" max="1" width="19.85546875" bestFit="1" customWidth="1"/>
    <col min="2" max="2" width="24.42578125" style="21" customWidth="1"/>
    <col min="3" max="3" width="52.140625" style="21" customWidth="1"/>
    <col min="4" max="4" width="12.140625" style="6" customWidth="1"/>
    <col min="5" max="5" width="11.28515625" customWidth="1"/>
    <col min="6" max="6" width="9.140625" style="291"/>
    <col min="7" max="7" width="18" customWidth="1"/>
    <col min="8" max="8" width="18.140625" style="21" bestFit="1" customWidth="1"/>
    <col min="9" max="9" width="7.85546875" customWidth="1"/>
    <col min="10" max="10" width="45.85546875" style="21" customWidth="1"/>
    <col min="11" max="11" width="41.85546875" style="21" customWidth="1"/>
    <col min="12" max="12" width="40.28515625" style="21" customWidth="1"/>
    <col min="13" max="13" width="36.42578125" style="21" customWidth="1"/>
    <col min="14" max="14" width="22.28515625" customWidth="1"/>
    <col min="15" max="15" width="9.28515625" customWidth="1"/>
    <col min="16" max="16" width="17.42578125" style="21" customWidth="1"/>
    <col min="17" max="17" width="12.85546875" style="21" customWidth="1"/>
    <col min="19" max="19" width="50" customWidth="1"/>
    <col min="20" max="20" width="36.5703125" style="5" bestFit="1" customWidth="1"/>
  </cols>
  <sheetData>
    <row r="1" spans="1:20" s="310" customFormat="1" ht="28.9">
      <c r="A1" s="311" t="s">
        <v>12081</v>
      </c>
      <c r="B1" s="311" t="s">
        <v>12082</v>
      </c>
      <c r="C1" s="311" t="s">
        <v>12083</v>
      </c>
      <c r="D1" s="311" t="s">
        <v>12084</v>
      </c>
      <c r="E1" s="311" t="s">
        <v>12085</v>
      </c>
      <c r="F1" s="311" t="s">
        <v>12086</v>
      </c>
      <c r="G1" s="311" t="s">
        <v>12087</v>
      </c>
      <c r="H1" s="311" t="s">
        <v>1341</v>
      </c>
      <c r="I1" s="311" t="s">
        <v>12088</v>
      </c>
      <c r="J1" s="311" t="s">
        <v>7</v>
      </c>
      <c r="K1" s="311" t="s">
        <v>12089</v>
      </c>
      <c r="L1" s="311" t="s">
        <v>1347</v>
      </c>
      <c r="M1" s="311" t="s">
        <v>1349</v>
      </c>
      <c r="N1" s="311" t="s">
        <v>12090</v>
      </c>
      <c r="O1" s="311" t="s">
        <v>10</v>
      </c>
      <c r="P1" s="311" t="s">
        <v>12091</v>
      </c>
      <c r="Q1" s="311" t="s">
        <v>12092</v>
      </c>
      <c r="R1" s="311" t="s">
        <v>12093</v>
      </c>
      <c r="S1" s="311" t="s">
        <v>12094</v>
      </c>
      <c r="T1" s="309"/>
    </row>
    <row r="2" spans="1:20" ht="57.6">
      <c r="A2" s="2" t="s">
        <v>12095</v>
      </c>
      <c r="B2" s="2" t="s">
        <v>1357</v>
      </c>
      <c r="C2" s="15" t="s">
        <v>12096</v>
      </c>
      <c r="D2" s="1" t="s">
        <v>1404</v>
      </c>
      <c r="E2" s="2"/>
      <c r="F2" s="269" t="s">
        <v>1371</v>
      </c>
      <c r="G2" s="2" t="s">
        <v>12097</v>
      </c>
      <c r="H2" s="75" t="s">
        <v>1372</v>
      </c>
      <c r="I2" s="75"/>
      <c r="J2" s="2" t="s">
        <v>12098</v>
      </c>
      <c r="K2" s="2" t="s">
        <v>12099</v>
      </c>
      <c r="L2" s="2" t="s">
        <v>1378</v>
      </c>
      <c r="M2" s="2" t="s">
        <v>12100</v>
      </c>
      <c r="N2" s="2"/>
      <c r="O2" s="2" t="s">
        <v>12101</v>
      </c>
      <c r="P2" s="2"/>
      <c r="Q2" s="2" t="s">
        <v>1368</v>
      </c>
      <c r="R2" s="90"/>
      <c r="S2" s="2"/>
      <c r="T2" s="2"/>
    </row>
    <row r="3" spans="1:20" s="21" customFormat="1" ht="43.15">
      <c r="A3" s="2" t="s">
        <v>12102</v>
      </c>
      <c r="B3" s="2" t="s">
        <v>1357</v>
      </c>
      <c r="C3" s="2" t="s">
        <v>1386</v>
      </c>
      <c r="D3" s="1" t="s">
        <v>1404</v>
      </c>
      <c r="E3" s="2"/>
      <c r="F3" s="269" t="s">
        <v>1393</v>
      </c>
      <c r="G3" s="2" t="s">
        <v>12097</v>
      </c>
      <c r="H3" s="75" t="s">
        <v>1384</v>
      </c>
      <c r="I3" s="2"/>
      <c r="J3" s="2" t="s">
        <v>12103</v>
      </c>
      <c r="K3" s="2" t="s">
        <v>1389</v>
      </c>
      <c r="L3" s="2" t="s">
        <v>1390</v>
      </c>
      <c r="M3" s="2" t="s">
        <v>1392</v>
      </c>
      <c r="N3" s="2"/>
      <c r="O3" s="2" t="s">
        <v>12101</v>
      </c>
      <c r="P3" s="2"/>
      <c r="Q3" s="2" t="s">
        <v>1368</v>
      </c>
      <c r="R3" s="2"/>
      <c r="S3" s="2"/>
      <c r="T3" s="2"/>
    </row>
    <row r="4" spans="1:20" ht="72">
      <c r="A4" s="2" t="s">
        <v>12104</v>
      </c>
      <c r="B4" s="65" t="s">
        <v>1357</v>
      </c>
      <c r="C4" s="65" t="s">
        <v>12105</v>
      </c>
      <c r="D4" s="70" t="s">
        <v>1415</v>
      </c>
      <c r="E4" s="65"/>
      <c r="F4" s="271" t="s">
        <v>22</v>
      </c>
      <c r="G4" s="2" t="s">
        <v>12097</v>
      </c>
      <c r="H4" s="3" t="s">
        <v>1394</v>
      </c>
      <c r="I4" s="65"/>
      <c r="J4" s="65" t="s">
        <v>12106</v>
      </c>
      <c r="K4" s="65" t="s">
        <v>12107</v>
      </c>
      <c r="L4" s="65" t="s">
        <v>12108</v>
      </c>
      <c r="M4" s="65" t="s">
        <v>12109</v>
      </c>
      <c r="N4" s="75" t="s">
        <v>12110</v>
      </c>
      <c r="O4" s="2" t="s">
        <v>12101</v>
      </c>
      <c r="P4" s="65" t="s">
        <v>1415</v>
      </c>
      <c r="Q4" s="65" t="s">
        <v>1415</v>
      </c>
      <c r="R4" s="94"/>
      <c r="S4" s="2" t="s">
        <v>12111</v>
      </c>
      <c r="T4" s="2"/>
    </row>
    <row r="5" spans="1:20" s="21" customFormat="1" ht="86.45">
      <c r="A5" s="2" t="s">
        <v>12112</v>
      </c>
      <c r="B5" s="2" t="s">
        <v>1357</v>
      </c>
      <c r="C5" s="2" t="s">
        <v>12113</v>
      </c>
      <c r="D5" s="1" t="s">
        <v>1404</v>
      </c>
      <c r="E5" s="2"/>
      <c r="F5" s="269" t="s">
        <v>22</v>
      </c>
      <c r="G5" s="2" t="s">
        <v>12097</v>
      </c>
      <c r="H5" s="75" t="s">
        <v>1416</v>
      </c>
      <c r="I5" s="2"/>
      <c r="J5" s="2" t="s">
        <v>12114</v>
      </c>
      <c r="K5" s="2" t="s">
        <v>12115</v>
      </c>
      <c r="L5" s="2" t="s">
        <v>1422</v>
      </c>
      <c r="M5" s="2" t="s">
        <v>1424</v>
      </c>
      <c r="N5" s="2"/>
      <c r="O5" s="2" t="s">
        <v>12101</v>
      </c>
      <c r="P5" s="2"/>
      <c r="Q5" s="2" t="s">
        <v>1368</v>
      </c>
      <c r="R5" s="2"/>
      <c r="S5" s="2"/>
      <c r="T5" s="2"/>
    </row>
    <row r="6" spans="1:20" s="2" customFormat="1" ht="43.15">
      <c r="A6" s="2" t="s">
        <v>12116</v>
      </c>
      <c r="B6" s="2" t="s">
        <v>1357</v>
      </c>
      <c r="C6" s="2" t="s">
        <v>12117</v>
      </c>
      <c r="D6" s="1" t="s">
        <v>1404</v>
      </c>
      <c r="F6" s="269" t="s">
        <v>22</v>
      </c>
      <c r="G6" s="2" t="s">
        <v>12097</v>
      </c>
      <c r="H6" s="75" t="s">
        <v>1446</v>
      </c>
      <c r="J6" s="2" t="s">
        <v>12118</v>
      </c>
      <c r="K6" s="91" t="s">
        <v>12119</v>
      </c>
      <c r="L6" s="2" t="s">
        <v>1443</v>
      </c>
      <c r="M6" s="2" t="s">
        <v>12120</v>
      </c>
      <c r="N6" s="75"/>
      <c r="O6" s="2" t="s">
        <v>12101</v>
      </c>
      <c r="Q6" s="2" t="s">
        <v>1368</v>
      </c>
      <c r="T6" s="2" t="s">
        <v>5735</v>
      </c>
    </row>
    <row r="7" spans="1:20" s="2" customFormat="1" ht="72">
      <c r="A7" s="2" t="s">
        <v>12121</v>
      </c>
      <c r="B7" s="2" t="s">
        <v>1357</v>
      </c>
      <c r="C7" s="2" t="s">
        <v>12122</v>
      </c>
      <c r="D7" s="1" t="s">
        <v>1404</v>
      </c>
      <c r="F7" s="269" t="s">
        <v>22</v>
      </c>
      <c r="G7" s="2" t="s">
        <v>12097</v>
      </c>
      <c r="H7" s="75" t="s">
        <v>1455</v>
      </c>
      <c r="J7" s="2" t="s">
        <v>12123</v>
      </c>
      <c r="K7" s="2" t="s">
        <v>1459</v>
      </c>
      <c r="L7" s="2" t="s">
        <v>1461</v>
      </c>
      <c r="M7" s="2" t="s">
        <v>1462</v>
      </c>
      <c r="N7" s="3" t="s">
        <v>12124</v>
      </c>
      <c r="O7" s="2" t="s">
        <v>12101</v>
      </c>
      <c r="Q7" s="2" t="s">
        <v>1368</v>
      </c>
    </row>
    <row r="8" spans="1:20" s="2" customFormat="1" ht="72">
      <c r="A8" s="2" t="s">
        <v>12125</v>
      </c>
      <c r="C8" s="2" t="s">
        <v>12126</v>
      </c>
      <c r="D8" s="1" t="s">
        <v>1404</v>
      </c>
      <c r="F8" s="269" t="s">
        <v>1481</v>
      </c>
      <c r="G8" s="2" t="s">
        <v>12097</v>
      </c>
      <c r="H8" s="75" t="s">
        <v>1474</v>
      </c>
      <c r="J8" s="2" t="s">
        <v>12127</v>
      </c>
      <c r="K8" s="2" t="s">
        <v>12128</v>
      </c>
      <c r="L8" s="2" t="s">
        <v>12129</v>
      </c>
      <c r="M8" s="2" t="s">
        <v>12129</v>
      </c>
      <c r="N8" s="3"/>
      <c r="O8" s="2" t="s">
        <v>12101</v>
      </c>
      <c r="Q8" s="2" t="s">
        <v>1368</v>
      </c>
      <c r="S8" s="2" t="s">
        <v>12130</v>
      </c>
    </row>
    <row r="9" spans="1:20" s="21" customFormat="1" ht="86.45">
      <c r="A9" s="2" t="s">
        <v>12131</v>
      </c>
      <c r="B9" s="2" t="s">
        <v>1357</v>
      </c>
      <c r="C9" s="2" t="s">
        <v>12132</v>
      </c>
      <c r="D9" s="1" t="s">
        <v>1404</v>
      </c>
      <c r="E9" s="2"/>
      <c r="F9" s="269" t="s">
        <v>22</v>
      </c>
      <c r="G9" s="2" t="s">
        <v>12097</v>
      </c>
      <c r="H9" s="75" t="s">
        <v>1518</v>
      </c>
      <c r="I9" s="2"/>
      <c r="J9" s="2" t="s">
        <v>12133</v>
      </c>
      <c r="K9" s="2" t="s">
        <v>12134</v>
      </c>
      <c r="L9" s="2" t="s">
        <v>12135</v>
      </c>
      <c r="M9" s="2" t="s">
        <v>1526</v>
      </c>
      <c r="N9" s="2"/>
      <c r="O9" s="2" t="s">
        <v>12101</v>
      </c>
      <c r="P9" s="2"/>
      <c r="Q9" s="2" t="s">
        <v>1368</v>
      </c>
      <c r="R9" s="2"/>
      <c r="S9" s="2"/>
      <c r="T9" s="2"/>
    </row>
    <row r="10" spans="1:20" ht="100.9">
      <c r="A10" s="2" t="s">
        <v>12136</v>
      </c>
      <c r="B10" s="65" t="s">
        <v>1357</v>
      </c>
      <c r="C10" s="65" t="s">
        <v>12137</v>
      </c>
      <c r="D10" s="70" t="s">
        <v>1415</v>
      </c>
      <c r="E10" s="65"/>
      <c r="F10" s="271" t="s">
        <v>1371</v>
      </c>
      <c r="G10" s="2" t="s">
        <v>12097</v>
      </c>
      <c r="H10" s="3" t="s">
        <v>1588</v>
      </c>
      <c r="I10" s="65"/>
      <c r="J10" s="65" t="s">
        <v>12138</v>
      </c>
      <c r="K10" s="65" t="s">
        <v>12139</v>
      </c>
      <c r="L10" s="65" t="s">
        <v>12140</v>
      </c>
      <c r="M10" s="65" t="s">
        <v>12141</v>
      </c>
      <c r="N10" s="76" t="s">
        <v>1649</v>
      </c>
      <c r="O10" s="2" t="s">
        <v>12101</v>
      </c>
      <c r="P10" s="65" t="s">
        <v>1415</v>
      </c>
      <c r="Q10" s="65" t="s">
        <v>1415</v>
      </c>
      <c r="R10" s="94"/>
      <c r="S10" s="2" t="s">
        <v>12142</v>
      </c>
      <c r="T10" s="2"/>
    </row>
    <row r="11" spans="1:20" s="61" customFormat="1" ht="115.15">
      <c r="A11" s="2" t="s">
        <v>12143</v>
      </c>
      <c r="B11" s="264" t="s">
        <v>1357</v>
      </c>
      <c r="C11" s="264" t="s">
        <v>12144</v>
      </c>
      <c r="D11" s="312" t="s">
        <v>1415</v>
      </c>
      <c r="E11" s="264"/>
      <c r="F11" s="272"/>
      <c r="G11" s="60" t="s">
        <v>12097</v>
      </c>
      <c r="H11" s="264"/>
      <c r="I11" s="264"/>
      <c r="J11" s="264" t="s">
        <v>12145</v>
      </c>
      <c r="K11" s="264" t="s">
        <v>12146</v>
      </c>
      <c r="L11" s="264" t="s">
        <v>12147</v>
      </c>
      <c r="M11" s="264" t="s">
        <v>12148</v>
      </c>
      <c r="N11" s="265" t="s">
        <v>1649</v>
      </c>
      <c r="O11" s="60" t="s">
        <v>12101</v>
      </c>
      <c r="P11" s="264" t="s">
        <v>1415</v>
      </c>
      <c r="Q11" s="264" t="s">
        <v>1415</v>
      </c>
      <c r="R11" s="266"/>
      <c r="S11" s="60" t="s">
        <v>12149</v>
      </c>
      <c r="T11" s="60"/>
    </row>
    <row r="12" spans="1:20" ht="110.45">
      <c r="A12" s="2" t="s">
        <v>12150</v>
      </c>
      <c r="B12" s="95" t="s">
        <v>1357</v>
      </c>
      <c r="C12" s="95" t="s">
        <v>12151</v>
      </c>
      <c r="D12" s="313" t="s">
        <v>1415</v>
      </c>
      <c r="E12" s="95"/>
      <c r="F12" s="273"/>
      <c r="G12" s="2" t="s">
        <v>12097</v>
      </c>
      <c r="H12" s="21" t="s">
        <v>12152</v>
      </c>
      <c r="I12" s="95"/>
      <c r="J12" s="95" t="s">
        <v>12153</v>
      </c>
      <c r="K12" s="95" t="s">
        <v>12154</v>
      </c>
      <c r="L12" s="95" t="s">
        <v>12155</v>
      </c>
      <c r="M12" s="95" t="s">
        <v>12156</v>
      </c>
      <c r="N12" s="96"/>
      <c r="O12" s="2" t="s">
        <v>12101</v>
      </c>
      <c r="P12" s="65" t="s">
        <v>1415</v>
      </c>
      <c r="Q12" s="65" t="s">
        <v>1415</v>
      </c>
      <c r="R12" s="94"/>
      <c r="S12" s="2" t="s">
        <v>12142</v>
      </c>
      <c r="T12" s="2" t="s">
        <v>12152</v>
      </c>
    </row>
    <row r="13" spans="1:20" ht="129.6">
      <c r="A13" s="2" t="s">
        <v>12157</v>
      </c>
      <c r="B13" s="95" t="s">
        <v>1357</v>
      </c>
      <c r="C13" s="95" t="s">
        <v>12158</v>
      </c>
      <c r="D13" s="313" t="s">
        <v>1415</v>
      </c>
      <c r="E13" s="95"/>
      <c r="F13" s="273" t="s">
        <v>1393</v>
      </c>
      <c r="G13" s="2" t="s">
        <v>12097</v>
      </c>
      <c r="H13" s="3" t="s">
        <v>1621</v>
      </c>
      <c r="I13" s="95"/>
      <c r="J13" s="95" t="s">
        <v>12159</v>
      </c>
      <c r="K13" s="95" t="s">
        <v>12160</v>
      </c>
      <c r="L13" s="95" t="s">
        <v>12161</v>
      </c>
      <c r="M13" s="95" t="s">
        <v>12162</v>
      </c>
      <c r="N13" s="96"/>
      <c r="O13" s="2" t="s">
        <v>12101</v>
      </c>
      <c r="P13" s="65" t="s">
        <v>1415</v>
      </c>
      <c r="Q13" s="65" t="s">
        <v>1415</v>
      </c>
      <c r="R13" s="94"/>
      <c r="S13" s="2" t="s">
        <v>12163</v>
      </c>
      <c r="T13" s="2" t="s">
        <v>12164</v>
      </c>
    </row>
    <row r="14" spans="1:20" ht="151.9">
      <c r="A14" s="2" t="s">
        <v>12165</v>
      </c>
      <c r="B14" s="95" t="s">
        <v>1357</v>
      </c>
      <c r="C14" s="95" t="s">
        <v>12166</v>
      </c>
      <c r="D14" s="313" t="s">
        <v>1415</v>
      </c>
      <c r="E14" s="95"/>
      <c r="F14" s="273" t="s">
        <v>22</v>
      </c>
      <c r="G14" s="2" t="s">
        <v>12097</v>
      </c>
      <c r="H14" s="3" t="s">
        <v>1631</v>
      </c>
      <c r="I14" s="95"/>
      <c r="J14" s="95" t="s">
        <v>12167</v>
      </c>
      <c r="K14" s="95" t="s">
        <v>12168</v>
      </c>
      <c r="L14" s="95" t="s">
        <v>12169</v>
      </c>
      <c r="M14" s="95" t="s">
        <v>12170</v>
      </c>
      <c r="N14" s="96"/>
      <c r="O14" s="2" t="s">
        <v>12101</v>
      </c>
      <c r="P14" s="65" t="s">
        <v>1415</v>
      </c>
      <c r="Q14" s="65" t="s">
        <v>1415</v>
      </c>
      <c r="R14" s="94"/>
      <c r="S14" s="2" t="s">
        <v>12171</v>
      </c>
      <c r="T14" s="2" t="s">
        <v>12172</v>
      </c>
    </row>
    <row r="15" spans="1:20" ht="115.15">
      <c r="A15" s="2" t="s">
        <v>12173</v>
      </c>
      <c r="B15" s="98" t="s">
        <v>12174</v>
      </c>
      <c r="C15" s="98" t="s">
        <v>12175</v>
      </c>
      <c r="D15" s="314" t="s">
        <v>1415</v>
      </c>
      <c r="E15" s="98"/>
      <c r="F15" s="270" t="s">
        <v>1371</v>
      </c>
      <c r="G15" s="2" t="s">
        <v>12097</v>
      </c>
      <c r="H15" s="3" t="s">
        <v>1722</v>
      </c>
      <c r="I15" s="98"/>
      <c r="J15" s="98" t="s">
        <v>12176</v>
      </c>
      <c r="K15" s="98" t="s">
        <v>12177</v>
      </c>
      <c r="L15" s="98" t="s">
        <v>12178</v>
      </c>
      <c r="M15" s="98" t="s">
        <v>12179</v>
      </c>
      <c r="N15" s="98"/>
      <c r="O15" s="2" t="s">
        <v>12101</v>
      </c>
      <c r="P15" s="65" t="s">
        <v>1415</v>
      </c>
      <c r="Q15" s="65" t="s">
        <v>1415</v>
      </c>
      <c r="R15" s="98"/>
      <c r="S15" s="98" t="s">
        <v>12180</v>
      </c>
      <c r="T15" s="2"/>
    </row>
    <row r="16" spans="1:20" ht="115.15">
      <c r="A16" s="2" t="s">
        <v>12181</v>
      </c>
      <c r="B16" s="97" t="s">
        <v>1357</v>
      </c>
      <c r="C16" s="97" t="s">
        <v>12182</v>
      </c>
      <c r="D16" s="314" t="s">
        <v>1415</v>
      </c>
      <c r="E16" s="97" t="s">
        <v>1649</v>
      </c>
      <c r="F16" s="273" t="s">
        <v>1371</v>
      </c>
      <c r="G16" s="2" t="s">
        <v>12097</v>
      </c>
      <c r="H16" s="3" t="s">
        <v>1749</v>
      </c>
      <c r="I16" s="97" t="s">
        <v>1649</v>
      </c>
      <c r="J16" s="97" t="s">
        <v>12183</v>
      </c>
      <c r="K16" s="97" t="s">
        <v>12184</v>
      </c>
      <c r="L16" s="97" t="s">
        <v>12185</v>
      </c>
      <c r="M16" s="97" t="s">
        <v>12186</v>
      </c>
      <c r="N16" s="97" t="s">
        <v>1649</v>
      </c>
      <c r="O16" s="2" t="s">
        <v>12101</v>
      </c>
      <c r="P16" s="65" t="s">
        <v>1415</v>
      </c>
      <c r="Q16" s="97" t="s">
        <v>1415</v>
      </c>
      <c r="R16" s="21"/>
      <c r="S16" s="2" t="s">
        <v>12187</v>
      </c>
      <c r="T16" s="2"/>
    </row>
    <row r="17" spans="1:20" ht="115.15">
      <c r="A17" s="2" t="s">
        <v>12188</v>
      </c>
      <c r="B17" s="97" t="s">
        <v>1357</v>
      </c>
      <c r="C17" s="97" t="s">
        <v>12189</v>
      </c>
      <c r="D17" s="314" t="s">
        <v>1415</v>
      </c>
      <c r="E17" s="97" t="s">
        <v>1649</v>
      </c>
      <c r="F17" s="273" t="s">
        <v>1371</v>
      </c>
      <c r="G17" s="2" t="s">
        <v>12097</v>
      </c>
      <c r="H17" s="38" t="s">
        <v>1764</v>
      </c>
      <c r="I17" s="97" t="s">
        <v>1649</v>
      </c>
      <c r="J17" s="97" t="s">
        <v>12190</v>
      </c>
      <c r="K17" s="97" t="s">
        <v>12191</v>
      </c>
      <c r="L17" s="97" t="s">
        <v>12192</v>
      </c>
      <c r="M17" s="97" t="s">
        <v>12193</v>
      </c>
      <c r="N17" s="97"/>
      <c r="O17" s="2" t="s">
        <v>12101</v>
      </c>
      <c r="P17" s="65" t="s">
        <v>1415</v>
      </c>
      <c r="Q17" s="97" t="s">
        <v>1415</v>
      </c>
      <c r="R17" s="21"/>
      <c r="S17" s="2" t="s">
        <v>12187</v>
      </c>
      <c r="T17" s="2"/>
    </row>
    <row r="18" spans="1:20" ht="115.15">
      <c r="A18" s="2" t="s">
        <v>12194</v>
      </c>
      <c r="B18" s="97" t="s">
        <v>1357</v>
      </c>
      <c r="C18" s="97" t="s">
        <v>12195</v>
      </c>
      <c r="D18" s="314" t="s">
        <v>1415</v>
      </c>
      <c r="E18" s="97" t="s">
        <v>1649</v>
      </c>
      <c r="F18" s="273" t="s">
        <v>1371</v>
      </c>
      <c r="G18" s="2" t="s">
        <v>12097</v>
      </c>
      <c r="H18" s="38" t="s">
        <v>1769</v>
      </c>
      <c r="I18" s="97" t="s">
        <v>1649</v>
      </c>
      <c r="J18" s="97" t="s">
        <v>12196</v>
      </c>
      <c r="K18" s="97" t="s">
        <v>12197</v>
      </c>
      <c r="L18" s="97" t="s">
        <v>12198</v>
      </c>
      <c r="M18" s="97" t="s">
        <v>12199</v>
      </c>
      <c r="N18" s="97"/>
      <c r="O18" s="2" t="s">
        <v>12101</v>
      </c>
      <c r="P18" s="65" t="s">
        <v>1415</v>
      </c>
      <c r="Q18" s="97" t="s">
        <v>1415</v>
      </c>
      <c r="R18" s="21"/>
      <c r="S18" s="2" t="s">
        <v>12187</v>
      </c>
      <c r="T18" s="2"/>
    </row>
    <row r="19" spans="1:20" ht="115.15">
      <c r="A19" s="2" t="s">
        <v>12200</v>
      </c>
      <c r="B19" s="98" t="s">
        <v>12201</v>
      </c>
      <c r="C19" s="98" t="s">
        <v>12202</v>
      </c>
      <c r="D19" s="314" t="s">
        <v>1415</v>
      </c>
      <c r="E19" s="98"/>
      <c r="F19" s="270" t="s">
        <v>1393</v>
      </c>
      <c r="G19" s="2" t="s">
        <v>12097</v>
      </c>
      <c r="H19" s="3" t="s">
        <v>1808</v>
      </c>
      <c r="I19" s="98"/>
      <c r="J19" s="98" t="s">
        <v>12203</v>
      </c>
      <c r="K19" s="98" t="s">
        <v>12204</v>
      </c>
      <c r="L19" s="98" t="s">
        <v>12205</v>
      </c>
      <c r="M19" s="98" t="s">
        <v>12206</v>
      </c>
      <c r="N19" s="98"/>
      <c r="O19" s="2" t="s">
        <v>12101</v>
      </c>
      <c r="P19" s="98"/>
      <c r="Q19" s="97" t="s">
        <v>1415</v>
      </c>
      <c r="R19" s="98" t="s">
        <v>1649</v>
      </c>
      <c r="S19" s="98" t="s">
        <v>12180</v>
      </c>
      <c r="T19" s="2"/>
    </row>
    <row r="20" spans="1:20" ht="115.15">
      <c r="A20" s="2" t="s">
        <v>12207</v>
      </c>
      <c r="B20" s="98" t="s">
        <v>12208</v>
      </c>
      <c r="C20" s="98" t="s">
        <v>12209</v>
      </c>
      <c r="D20" s="314" t="s">
        <v>1415</v>
      </c>
      <c r="E20" s="98"/>
      <c r="F20" s="270" t="s">
        <v>22</v>
      </c>
      <c r="G20" s="2" t="s">
        <v>12097</v>
      </c>
      <c r="H20" s="3" t="s">
        <v>1845</v>
      </c>
      <c r="I20" s="98"/>
      <c r="J20" s="98" t="s">
        <v>12210</v>
      </c>
      <c r="K20" s="98" t="s">
        <v>12211</v>
      </c>
      <c r="L20" s="98" t="s">
        <v>12212</v>
      </c>
      <c r="M20" s="98" t="s">
        <v>12213</v>
      </c>
      <c r="N20" s="98"/>
      <c r="O20" s="2" t="s">
        <v>12101</v>
      </c>
      <c r="P20" s="98"/>
      <c r="Q20" s="97" t="s">
        <v>1415</v>
      </c>
      <c r="R20" s="98" t="s">
        <v>1649</v>
      </c>
      <c r="S20" s="98"/>
      <c r="T20" s="2"/>
    </row>
    <row r="21" spans="1:20" ht="115.15">
      <c r="A21" s="2" t="s">
        <v>12214</v>
      </c>
      <c r="B21" s="98" t="s">
        <v>12215</v>
      </c>
      <c r="C21" s="100" t="s">
        <v>12216</v>
      </c>
      <c r="D21" s="314" t="s">
        <v>1415</v>
      </c>
      <c r="E21" s="98"/>
      <c r="F21" s="270"/>
      <c r="G21" s="2" t="s">
        <v>12097</v>
      </c>
      <c r="H21" s="3" t="s">
        <v>1854</v>
      </c>
      <c r="I21" s="98"/>
      <c r="J21" s="98" t="s">
        <v>12217</v>
      </c>
      <c r="K21" s="98" t="s">
        <v>12218</v>
      </c>
      <c r="L21" s="100" t="s">
        <v>12219</v>
      </c>
      <c r="M21" s="98" t="s">
        <v>12220</v>
      </c>
      <c r="N21" s="100"/>
      <c r="O21" s="2" t="s">
        <v>12101</v>
      </c>
      <c r="P21" s="98"/>
      <c r="Q21" s="99"/>
      <c r="R21" s="98" t="s">
        <v>1649</v>
      </c>
      <c r="S21" s="98"/>
      <c r="T21" s="2"/>
    </row>
    <row r="22" spans="1:20" ht="158.44999999999999">
      <c r="A22" s="2" t="s">
        <v>12221</v>
      </c>
      <c r="B22" s="98" t="s">
        <v>12222</v>
      </c>
      <c r="C22" s="98" t="s">
        <v>12223</v>
      </c>
      <c r="D22" s="314" t="s">
        <v>1415</v>
      </c>
      <c r="E22" s="98"/>
      <c r="F22" s="270" t="s">
        <v>1371</v>
      </c>
      <c r="G22" s="2" t="s">
        <v>12097</v>
      </c>
      <c r="H22" s="3" t="s">
        <v>1889</v>
      </c>
      <c r="I22" s="98"/>
      <c r="J22" s="98" t="s">
        <v>12224</v>
      </c>
      <c r="K22" s="98" t="s">
        <v>12225</v>
      </c>
      <c r="L22" s="65" t="s">
        <v>1894</v>
      </c>
      <c r="M22" s="98" t="s">
        <v>12226</v>
      </c>
      <c r="N22" s="98"/>
      <c r="O22" s="2" t="s">
        <v>12101</v>
      </c>
      <c r="P22" s="98"/>
      <c r="Q22" s="99"/>
      <c r="R22" s="98" t="s">
        <v>1649</v>
      </c>
      <c r="S22" s="98"/>
      <c r="T22" s="2"/>
    </row>
    <row r="23" spans="1:20" ht="115.15">
      <c r="A23" s="2" t="s">
        <v>12227</v>
      </c>
      <c r="B23" s="98" t="s">
        <v>12228</v>
      </c>
      <c r="C23" s="98" t="s">
        <v>12229</v>
      </c>
      <c r="D23" s="314" t="s">
        <v>1415</v>
      </c>
      <c r="E23" s="98"/>
      <c r="F23" s="270" t="s">
        <v>22</v>
      </c>
      <c r="G23" s="2" t="s">
        <v>12097</v>
      </c>
      <c r="H23" s="3" t="s">
        <v>1871</v>
      </c>
      <c r="I23" s="98"/>
      <c r="J23" s="98" t="s">
        <v>12230</v>
      </c>
      <c r="K23" s="98" t="s">
        <v>12231</v>
      </c>
      <c r="L23" s="98" t="s">
        <v>12232</v>
      </c>
      <c r="M23" s="98" t="s">
        <v>12233</v>
      </c>
      <c r="N23" s="98"/>
      <c r="O23" s="2" t="s">
        <v>12101</v>
      </c>
      <c r="P23" s="98"/>
      <c r="Q23" s="99"/>
      <c r="R23" s="98" t="s">
        <v>1649</v>
      </c>
      <c r="S23" s="98"/>
      <c r="T23" s="2"/>
    </row>
    <row r="24" spans="1:20" ht="115.15">
      <c r="A24" s="2" t="s">
        <v>12234</v>
      </c>
      <c r="B24" s="98" t="s">
        <v>12235</v>
      </c>
      <c r="C24" s="98" t="s">
        <v>12236</v>
      </c>
      <c r="D24" s="314" t="s">
        <v>1415</v>
      </c>
      <c r="E24" s="98"/>
      <c r="F24" s="270" t="s">
        <v>1371</v>
      </c>
      <c r="G24" s="2" t="s">
        <v>12097</v>
      </c>
      <c r="H24" s="3" t="s">
        <v>1880</v>
      </c>
      <c r="I24" s="98"/>
      <c r="J24" s="98" t="s">
        <v>12237</v>
      </c>
      <c r="K24" s="98" t="s">
        <v>12238</v>
      </c>
      <c r="L24" s="98" t="s">
        <v>12239</v>
      </c>
      <c r="M24" s="98" t="s">
        <v>12240</v>
      </c>
      <c r="N24" s="98"/>
      <c r="O24" s="2" t="s">
        <v>12101</v>
      </c>
      <c r="P24" s="98"/>
      <c r="Q24" s="99"/>
      <c r="R24" s="98" t="s">
        <v>1649</v>
      </c>
      <c r="S24" s="98"/>
      <c r="T24" s="2"/>
    </row>
    <row r="25" spans="1:20" ht="129.6">
      <c r="A25" s="2" t="s">
        <v>12241</v>
      </c>
      <c r="B25" s="98" t="s">
        <v>12228</v>
      </c>
      <c r="C25" s="98" t="s">
        <v>12242</v>
      </c>
      <c r="D25" s="314" t="s">
        <v>1415</v>
      </c>
      <c r="E25" s="98"/>
      <c r="F25" s="270" t="s">
        <v>1371</v>
      </c>
      <c r="G25" s="2" t="s">
        <v>12097</v>
      </c>
      <c r="H25" s="277" t="s">
        <v>12243</v>
      </c>
      <c r="I25" s="98"/>
      <c r="J25" s="98" t="s">
        <v>12244</v>
      </c>
      <c r="K25" s="98" t="s">
        <v>12245</v>
      </c>
      <c r="L25" s="98" t="s">
        <v>12246</v>
      </c>
      <c r="M25" s="98" t="s">
        <v>12247</v>
      </c>
      <c r="N25" s="98"/>
      <c r="O25" s="2" t="s">
        <v>12101</v>
      </c>
      <c r="P25" s="98"/>
      <c r="Q25" s="99"/>
      <c r="R25" s="98" t="s">
        <v>1649</v>
      </c>
      <c r="S25" s="98"/>
      <c r="T25" s="2" t="s">
        <v>12248</v>
      </c>
    </row>
    <row r="26" spans="1:20" ht="129.6">
      <c r="A26" s="2" t="s">
        <v>12249</v>
      </c>
      <c r="B26" s="98" t="s">
        <v>12250</v>
      </c>
      <c r="C26" s="98" t="s">
        <v>12251</v>
      </c>
      <c r="D26" s="314" t="s">
        <v>1415</v>
      </c>
      <c r="E26" s="98"/>
      <c r="F26" s="270" t="s">
        <v>1371</v>
      </c>
      <c r="G26" s="2" t="s">
        <v>12097</v>
      </c>
      <c r="H26" s="3" t="s">
        <v>1889</v>
      </c>
      <c r="I26" s="98"/>
      <c r="J26" s="98" t="s">
        <v>12252</v>
      </c>
      <c r="K26" s="98" t="s">
        <v>12253</v>
      </c>
      <c r="L26" s="98" t="s">
        <v>12254</v>
      </c>
      <c r="M26" s="98" t="s">
        <v>12255</v>
      </c>
      <c r="N26" s="98"/>
      <c r="O26" s="2" t="s">
        <v>12101</v>
      </c>
      <c r="P26" s="98"/>
      <c r="Q26" s="99"/>
      <c r="R26" s="98" t="s">
        <v>1649</v>
      </c>
      <c r="S26" s="98"/>
      <c r="T26" s="2"/>
    </row>
    <row r="27" spans="1:20" ht="144">
      <c r="A27" s="2" t="s">
        <v>12256</v>
      </c>
      <c r="B27" s="98" t="s">
        <v>12257</v>
      </c>
      <c r="C27" s="98" t="s">
        <v>12258</v>
      </c>
      <c r="D27" s="314" t="s">
        <v>1415</v>
      </c>
      <c r="E27" s="98"/>
      <c r="F27" s="270" t="s">
        <v>1371</v>
      </c>
      <c r="G27" s="2" t="s">
        <v>12097</v>
      </c>
      <c r="H27" s="3" t="s">
        <v>1934</v>
      </c>
      <c r="I27" s="98"/>
      <c r="J27" s="98" t="s">
        <v>12259</v>
      </c>
      <c r="K27" s="98" t="s">
        <v>12260</v>
      </c>
      <c r="L27" s="98" t="s">
        <v>12261</v>
      </c>
      <c r="M27" s="98" t="s">
        <v>12262</v>
      </c>
      <c r="N27" s="98"/>
      <c r="O27" s="2" t="s">
        <v>12101</v>
      </c>
      <c r="P27" s="65" t="s">
        <v>1415</v>
      </c>
      <c r="Q27" s="65" t="s">
        <v>1415</v>
      </c>
      <c r="R27" s="98"/>
      <c r="S27" s="98"/>
      <c r="T27" s="2"/>
    </row>
    <row r="28" spans="1:20" s="143" customFormat="1" ht="129.6">
      <c r="A28" s="141" t="s">
        <v>12263</v>
      </c>
      <c r="B28" s="284" t="s">
        <v>12264</v>
      </c>
      <c r="C28" s="284" t="s">
        <v>12265</v>
      </c>
      <c r="D28" s="315" t="s">
        <v>1415</v>
      </c>
      <c r="E28" s="284"/>
      <c r="F28" s="285" t="s">
        <v>1371</v>
      </c>
      <c r="G28" s="141" t="s">
        <v>12097</v>
      </c>
      <c r="H28" s="286" t="s">
        <v>1969</v>
      </c>
      <c r="I28" s="284"/>
      <c r="J28" s="284" t="s">
        <v>12266</v>
      </c>
      <c r="K28" s="284" t="s">
        <v>12267</v>
      </c>
      <c r="L28" s="284" t="s">
        <v>12268</v>
      </c>
      <c r="M28" s="284" t="s">
        <v>12269</v>
      </c>
      <c r="N28" s="284"/>
      <c r="O28" s="141" t="s">
        <v>12101</v>
      </c>
      <c r="P28" s="287" t="s">
        <v>1415</v>
      </c>
      <c r="Q28" s="287" t="s">
        <v>1415</v>
      </c>
      <c r="R28" s="284"/>
      <c r="T28" s="284" t="s">
        <v>12270</v>
      </c>
    </row>
    <row r="29" spans="1:20" s="143" customFormat="1" ht="144">
      <c r="A29" s="141" t="s">
        <v>12271</v>
      </c>
      <c r="B29" s="284" t="s">
        <v>12272</v>
      </c>
      <c r="C29" s="284" t="s">
        <v>12273</v>
      </c>
      <c r="D29" s="315" t="s">
        <v>1415</v>
      </c>
      <c r="E29" s="284"/>
      <c r="F29" s="285" t="s">
        <v>1371</v>
      </c>
      <c r="G29" s="141" t="s">
        <v>12097</v>
      </c>
      <c r="H29" s="288" t="s">
        <v>1999</v>
      </c>
      <c r="I29" s="284"/>
      <c r="J29" s="284" t="s">
        <v>12274</v>
      </c>
      <c r="K29" s="284" t="s">
        <v>12275</v>
      </c>
      <c r="L29" s="284" t="s">
        <v>12276</v>
      </c>
      <c r="M29" s="284" t="s">
        <v>12277</v>
      </c>
      <c r="N29" s="284"/>
      <c r="O29" s="141" t="s">
        <v>12101</v>
      </c>
      <c r="P29" s="287" t="s">
        <v>1415</v>
      </c>
      <c r="Q29" s="287" t="s">
        <v>1415</v>
      </c>
      <c r="R29" s="284"/>
      <c r="S29" s="284"/>
      <c r="T29" s="284" t="s">
        <v>12270</v>
      </c>
    </row>
    <row r="30" spans="1:20" ht="115.15">
      <c r="A30" s="2" t="s">
        <v>12278</v>
      </c>
      <c r="B30" s="97" t="s">
        <v>12279</v>
      </c>
      <c r="C30" s="98" t="s">
        <v>12280</v>
      </c>
      <c r="D30" s="314" t="s">
        <v>1415</v>
      </c>
      <c r="E30" s="97"/>
      <c r="F30" s="273" t="s">
        <v>1371</v>
      </c>
      <c r="G30" s="2" t="s">
        <v>12097</v>
      </c>
      <c r="H30" s="3" t="s">
        <v>2006</v>
      </c>
      <c r="I30" s="97"/>
      <c r="J30" s="98" t="s">
        <v>12281</v>
      </c>
      <c r="K30" s="98" t="s">
        <v>12282</v>
      </c>
      <c r="L30" s="98" t="s">
        <v>12283</v>
      </c>
      <c r="M30" s="98" t="s">
        <v>12284</v>
      </c>
      <c r="N30" s="97"/>
      <c r="O30" s="2" t="s">
        <v>12101</v>
      </c>
      <c r="P30" s="65" t="s">
        <v>1415</v>
      </c>
      <c r="Q30" s="65" t="s">
        <v>1415</v>
      </c>
      <c r="R30" s="21"/>
      <c r="S30" s="98"/>
      <c r="T30" s="2" t="s">
        <v>12285</v>
      </c>
    </row>
    <row r="31" spans="1:20" s="21" customFormat="1" ht="57.6">
      <c r="A31" s="2" t="s">
        <v>12286</v>
      </c>
      <c r="B31" s="21" t="s">
        <v>2020</v>
      </c>
      <c r="C31" s="130" t="s">
        <v>12287</v>
      </c>
      <c r="D31" s="316" t="s">
        <v>1415</v>
      </c>
      <c r="E31" s="130" t="s">
        <v>1649</v>
      </c>
      <c r="F31" s="290" t="s">
        <v>22</v>
      </c>
      <c r="G31" s="2" t="s">
        <v>12097</v>
      </c>
      <c r="H31" s="246" t="s">
        <v>2080</v>
      </c>
      <c r="I31" s="130" t="s">
        <v>1649</v>
      </c>
      <c r="J31" s="130" t="s">
        <v>12288</v>
      </c>
      <c r="K31" s="130" t="s">
        <v>12289</v>
      </c>
      <c r="L31" s="130" t="s">
        <v>12290</v>
      </c>
      <c r="M31" s="130" t="s">
        <v>12291</v>
      </c>
      <c r="N31" s="130" t="s">
        <v>1649</v>
      </c>
      <c r="O31" s="2" t="s">
        <v>12101</v>
      </c>
      <c r="P31" s="294" t="s">
        <v>1415</v>
      </c>
      <c r="Q31" s="130" t="s">
        <v>1415</v>
      </c>
      <c r="T31" s="2" t="s">
        <v>12292</v>
      </c>
    </row>
    <row r="32" spans="1:20" s="143" customFormat="1" ht="52.9">
      <c r="A32" s="141" t="s">
        <v>12293</v>
      </c>
      <c r="B32" s="300" t="s">
        <v>2020</v>
      </c>
      <c r="C32" s="296" t="s">
        <v>12294</v>
      </c>
      <c r="D32" s="317" t="s">
        <v>1415</v>
      </c>
      <c r="E32" s="297" t="s">
        <v>1649</v>
      </c>
      <c r="F32" s="298" t="s">
        <v>1649</v>
      </c>
      <c r="G32" s="141" t="s">
        <v>12097</v>
      </c>
      <c r="H32" s="286" t="s">
        <v>2164</v>
      </c>
      <c r="I32" s="297" t="s">
        <v>1649</v>
      </c>
      <c r="J32" s="296" t="s">
        <v>12295</v>
      </c>
      <c r="K32" s="296" t="s">
        <v>12296</v>
      </c>
      <c r="L32" s="296" t="s">
        <v>12290</v>
      </c>
      <c r="M32" s="296" t="s">
        <v>12297</v>
      </c>
      <c r="N32" s="297" t="s">
        <v>1649</v>
      </c>
      <c r="O32" s="141" t="s">
        <v>12101</v>
      </c>
      <c r="P32" s="299" t="s">
        <v>1415</v>
      </c>
      <c r="Q32" s="296" t="s">
        <v>1415</v>
      </c>
      <c r="T32" s="293" t="s">
        <v>12298</v>
      </c>
    </row>
    <row r="33" spans="1:20" ht="52.9">
      <c r="A33" s="2" t="s">
        <v>12299</v>
      </c>
      <c r="B33" s="21" t="s">
        <v>2020</v>
      </c>
      <c r="C33" s="130" t="s">
        <v>12300</v>
      </c>
      <c r="D33" s="316" t="s">
        <v>1415</v>
      </c>
      <c r="E33" s="101" t="s">
        <v>1649</v>
      </c>
      <c r="F33" s="290" t="s">
        <v>1649</v>
      </c>
      <c r="G33" s="2" t="s">
        <v>12097</v>
      </c>
      <c r="H33" s="246" t="s">
        <v>2179</v>
      </c>
      <c r="I33" s="101" t="s">
        <v>1649</v>
      </c>
      <c r="J33" s="130" t="s">
        <v>12301</v>
      </c>
      <c r="K33" s="130" t="s">
        <v>12302</v>
      </c>
      <c r="L33" s="130" t="s">
        <v>12290</v>
      </c>
      <c r="M33" s="130" t="s">
        <v>12303</v>
      </c>
      <c r="N33" s="101" t="s">
        <v>1649</v>
      </c>
      <c r="O33" s="2" t="s">
        <v>12101</v>
      </c>
      <c r="P33" s="294" t="s">
        <v>1415</v>
      </c>
      <c r="Q33" s="130" t="s">
        <v>1415</v>
      </c>
    </row>
    <row r="34" spans="1:20" s="143" customFormat="1" ht="52.9">
      <c r="A34" s="141" t="s">
        <v>12304</v>
      </c>
      <c r="B34" s="300" t="s">
        <v>2020</v>
      </c>
      <c r="C34" s="296" t="s">
        <v>12305</v>
      </c>
      <c r="D34" s="317" t="s">
        <v>1415</v>
      </c>
      <c r="E34" s="297" t="s">
        <v>1649</v>
      </c>
      <c r="F34" s="298" t="s">
        <v>1649</v>
      </c>
      <c r="G34" s="141" t="s">
        <v>12097</v>
      </c>
      <c r="H34" s="286" t="s">
        <v>2253</v>
      </c>
      <c r="I34" s="297" t="s">
        <v>1649</v>
      </c>
      <c r="J34" s="296" t="s">
        <v>12306</v>
      </c>
      <c r="K34" s="296" t="s">
        <v>12307</v>
      </c>
      <c r="L34" s="296" t="s">
        <v>12290</v>
      </c>
      <c r="M34" s="296" t="s">
        <v>12308</v>
      </c>
      <c r="N34" s="297" t="s">
        <v>1649</v>
      </c>
      <c r="O34" s="141" t="s">
        <v>12101</v>
      </c>
      <c r="P34" s="299" t="s">
        <v>1415</v>
      </c>
      <c r="Q34" s="296" t="s">
        <v>1415</v>
      </c>
      <c r="T34" s="293" t="s">
        <v>12309</v>
      </c>
    </row>
    <row r="35" spans="1:20" ht="43.15">
      <c r="A35" s="2" t="s">
        <v>12310</v>
      </c>
      <c r="B35" s="21" t="s">
        <v>2020</v>
      </c>
      <c r="C35" s="130" t="s">
        <v>12311</v>
      </c>
      <c r="D35" s="316" t="s">
        <v>1415</v>
      </c>
      <c r="E35" s="101" t="s">
        <v>1649</v>
      </c>
      <c r="F35" s="290" t="s">
        <v>1649</v>
      </c>
      <c r="G35" s="2" t="s">
        <v>12097</v>
      </c>
      <c r="H35" s="3" t="s">
        <v>2322</v>
      </c>
      <c r="I35" s="101" t="s">
        <v>1649</v>
      </c>
      <c r="J35" s="130" t="s">
        <v>12312</v>
      </c>
      <c r="K35" s="130" t="s">
        <v>12313</v>
      </c>
      <c r="L35" s="130" t="s">
        <v>12290</v>
      </c>
      <c r="M35" s="130" t="s">
        <v>12314</v>
      </c>
      <c r="N35" s="101" t="s">
        <v>1649</v>
      </c>
      <c r="O35" s="2" t="s">
        <v>12101</v>
      </c>
      <c r="P35" s="294" t="s">
        <v>1415</v>
      </c>
      <c r="Q35" s="130" t="s">
        <v>1415</v>
      </c>
      <c r="T35" s="5" t="s">
        <v>12315</v>
      </c>
    </row>
    <row r="36" spans="1:20" s="143" customFormat="1" ht="66">
      <c r="A36" s="141" t="s">
        <v>12316</v>
      </c>
      <c r="B36" s="300" t="s">
        <v>2020</v>
      </c>
      <c r="C36" s="296" t="s">
        <v>12317</v>
      </c>
      <c r="D36" s="317" t="s">
        <v>1415</v>
      </c>
      <c r="E36" s="297" t="s">
        <v>1649</v>
      </c>
      <c r="F36" s="298" t="s">
        <v>1649</v>
      </c>
      <c r="G36" s="141" t="s">
        <v>12097</v>
      </c>
      <c r="H36" s="286" t="s">
        <v>2447</v>
      </c>
      <c r="I36" s="297" t="s">
        <v>1649</v>
      </c>
      <c r="J36" s="296" t="s">
        <v>12318</v>
      </c>
      <c r="K36" s="296" t="s">
        <v>12319</v>
      </c>
      <c r="L36" s="296" t="s">
        <v>12290</v>
      </c>
      <c r="M36" s="296" t="s">
        <v>12320</v>
      </c>
      <c r="N36" s="297" t="s">
        <v>1649</v>
      </c>
      <c r="O36" s="141" t="s">
        <v>12101</v>
      </c>
      <c r="P36" s="299" t="s">
        <v>1415</v>
      </c>
      <c r="Q36" s="296" t="s">
        <v>1415</v>
      </c>
      <c r="T36" s="293" t="s">
        <v>12321</v>
      </c>
    </row>
    <row r="37" spans="1:20" ht="43.15">
      <c r="A37" s="2" t="s">
        <v>12322</v>
      </c>
      <c r="B37" s="21" t="s">
        <v>2020</v>
      </c>
      <c r="C37" s="130" t="s">
        <v>12323</v>
      </c>
      <c r="D37" s="316" t="s">
        <v>1415</v>
      </c>
      <c r="E37" s="101" t="s">
        <v>1649</v>
      </c>
      <c r="F37" s="290" t="s">
        <v>1649</v>
      </c>
      <c r="G37" s="2" t="s">
        <v>12097</v>
      </c>
      <c r="H37" s="3" t="s">
        <v>2516</v>
      </c>
      <c r="I37" s="101" t="s">
        <v>1649</v>
      </c>
      <c r="J37" s="130" t="s">
        <v>12324</v>
      </c>
      <c r="K37" s="130" t="s">
        <v>12325</v>
      </c>
      <c r="L37" s="130" t="s">
        <v>12290</v>
      </c>
      <c r="M37" s="130" t="s">
        <v>12326</v>
      </c>
      <c r="N37" s="101" t="s">
        <v>1649</v>
      </c>
      <c r="O37" s="2" t="s">
        <v>12101</v>
      </c>
      <c r="P37" s="294" t="s">
        <v>1415</v>
      </c>
      <c r="Q37" s="130" t="s">
        <v>1415</v>
      </c>
    </row>
    <row r="38" spans="1:20" ht="55.15">
      <c r="A38" s="2" t="s">
        <v>12327</v>
      </c>
      <c r="B38" s="97" t="s">
        <v>12328</v>
      </c>
      <c r="C38" s="97" t="s">
        <v>12329</v>
      </c>
      <c r="D38" s="314" t="s">
        <v>1368</v>
      </c>
      <c r="E38" s="97"/>
      <c r="F38" s="273" t="s">
        <v>1371</v>
      </c>
      <c r="G38" s="2" t="s">
        <v>12097</v>
      </c>
      <c r="H38" s="3" t="s">
        <v>2632</v>
      </c>
      <c r="I38" s="97"/>
      <c r="J38" s="97" t="s">
        <v>12330</v>
      </c>
      <c r="K38" s="97" t="s">
        <v>12331</v>
      </c>
      <c r="L38" s="97" t="s">
        <v>12332</v>
      </c>
      <c r="M38" s="97" t="s">
        <v>12333</v>
      </c>
      <c r="N38" s="97" t="s">
        <v>12334</v>
      </c>
      <c r="O38" s="2" t="s">
        <v>12101</v>
      </c>
      <c r="P38" s="65" t="s">
        <v>12335</v>
      </c>
      <c r="Q38" s="97" t="s">
        <v>1368</v>
      </c>
      <c r="R38" s="126">
        <v>46180</v>
      </c>
      <c r="S38" s="2" t="s">
        <v>12336</v>
      </c>
    </row>
    <row r="39" spans="1:20" s="21" customFormat="1" ht="82.9">
      <c r="A39" s="2" t="s">
        <v>12337</v>
      </c>
      <c r="B39" s="97" t="s">
        <v>12328</v>
      </c>
      <c r="C39" s="97" t="s">
        <v>12338</v>
      </c>
      <c r="D39" s="314" t="s">
        <v>1368</v>
      </c>
      <c r="E39" s="97"/>
      <c r="F39" s="273" t="s">
        <v>22</v>
      </c>
      <c r="G39" s="2" t="s">
        <v>12097</v>
      </c>
      <c r="H39" s="3" t="s">
        <v>2700</v>
      </c>
      <c r="I39" s="97"/>
      <c r="J39" s="97" t="s">
        <v>12339</v>
      </c>
      <c r="K39" s="97" t="s">
        <v>12340</v>
      </c>
      <c r="L39" s="97" t="s">
        <v>12341</v>
      </c>
      <c r="M39" s="97" t="s">
        <v>12342</v>
      </c>
      <c r="N39" s="97" t="s">
        <v>12334</v>
      </c>
      <c r="O39" s="2" t="s">
        <v>12101</v>
      </c>
      <c r="P39" s="65" t="s">
        <v>12335</v>
      </c>
      <c r="Q39" s="97" t="s">
        <v>1368</v>
      </c>
      <c r="R39" s="126">
        <v>46180</v>
      </c>
      <c r="S39" s="2" t="s">
        <v>12343</v>
      </c>
      <c r="T39" s="2"/>
    </row>
    <row r="40" spans="1:20" s="9" customFormat="1" ht="69">
      <c r="A40" s="2" t="s">
        <v>12344</v>
      </c>
      <c r="B40" s="225" t="s">
        <v>12345</v>
      </c>
      <c r="C40" s="225" t="s">
        <v>12346</v>
      </c>
      <c r="D40" s="314" t="s">
        <v>1368</v>
      </c>
      <c r="E40" s="225"/>
      <c r="F40" s="274" t="s">
        <v>1371</v>
      </c>
      <c r="G40" s="15" t="s">
        <v>12097</v>
      </c>
      <c r="H40" s="246" t="s">
        <v>2846</v>
      </c>
      <c r="I40" s="225"/>
      <c r="J40" s="225" t="s">
        <v>12347</v>
      </c>
      <c r="K40" s="225" t="s">
        <v>12348</v>
      </c>
      <c r="L40" s="225" t="s">
        <v>12349</v>
      </c>
      <c r="M40" s="225" t="s">
        <v>12350</v>
      </c>
      <c r="N40" s="225" t="s">
        <v>12334</v>
      </c>
      <c r="O40" s="224" t="s">
        <v>12101</v>
      </c>
      <c r="Q40" s="226" t="s">
        <v>1368</v>
      </c>
      <c r="R40" s="225"/>
      <c r="S40" s="15" t="s">
        <v>12351</v>
      </c>
      <c r="T40" s="15"/>
    </row>
    <row r="41" spans="1:20" s="21" customFormat="1" ht="82.9">
      <c r="A41" s="2" t="s">
        <v>12352</v>
      </c>
      <c r="B41" s="97" t="s">
        <v>12345</v>
      </c>
      <c r="C41" s="97" t="s">
        <v>12353</v>
      </c>
      <c r="D41" s="314" t="s">
        <v>1368</v>
      </c>
      <c r="E41" s="97"/>
      <c r="F41" s="273" t="s">
        <v>22</v>
      </c>
      <c r="G41" s="2" t="s">
        <v>12097</v>
      </c>
      <c r="H41" s="3" t="s">
        <v>2882</v>
      </c>
      <c r="I41" s="97"/>
      <c r="J41" s="97" t="s">
        <v>12354</v>
      </c>
      <c r="K41" s="97" t="s">
        <v>12355</v>
      </c>
      <c r="L41" s="97" t="s">
        <v>12341</v>
      </c>
      <c r="M41" s="97" t="s">
        <v>12356</v>
      </c>
      <c r="N41" s="97" t="s">
        <v>12334</v>
      </c>
      <c r="O41" s="2" t="s">
        <v>12101</v>
      </c>
      <c r="P41" s="65" t="s">
        <v>12335</v>
      </c>
      <c r="Q41" s="97" t="s">
        <v>1368</v>
      </c>
      <c r="R41" s="126">
        <v>46180</v>
      </c>
      <c r="S41" s="2" t="s">
        <v>12343</v>
      </c>
      <c r="T41" s="2"/>
    </row>
    <row r="42" spans="1:20" ht="43.15">
      <c r="A42" s="2" t="s">
        <v>12357</v>
      </c>
      <c r="B42" s="21" t="s">
        <v>2020</v>
      </c>
      <c r="C42" s="130" t="s">
        <v>12358</v>
      </c>
      <c r="D42" s="316" t="s">
        <v>1415</v>
      </c>
      <c r="E42" s="101" t="s">
        <v>1649</v>
      </c>
      <c r="F42" s="290" t="s">
        <v>22</v>
      </c>
      <c r="G42" s="2" t="s">
        <v>12097</v>
      </c>
      <c r="H42" s="3" t="s">
        <v>2952</v>
      </c>
      <c r="I42" s="101" t="s">
        <v>1649</v>
      </c>
      <c r="J42" s="130" t="s">
        <v>12359</v>
      </c>
      <c r="K42" s="130" t="s">
        <v>12360</v>
      </c>
      <c r="L42" s="130" t="s">
        <v>12290</v>
      </c>
      <c r="M42" s="130" t="s">
        <v>12361</v>
      </c>
      <c r="N42" s="101" t="s">
        <v>1649</v>
      </c>
      <c r="O42" s="2" t="s">
        <v>12101</v>
      </c>
      <c r="P42" s="294" t="s">
        <v>1415</v>
      </c>
      <c r="Q42" s="130" t="s">
        <v>1415</v>
      </c>
      <c r="T42" s="5" t="s">
        <v>2087</v>
      </c>
    </row>
    <row r="43" spans="1:20" ht="43.15">
      <c r="A43" s="2" t="s">
        <v>12362</v>
      </c>
      <c r="B43" s="21" t="s">
        <v>2020</v>
      </c>
      <c r="C43" s="130" t="s">
        <v>12363</v>
      </c>
      <c r="D43" s="316" t="s">
        <v>1415</v>
      </c>
      <c r="E43" s="101" t="s">
        <v>1649</v>
      </c>
      <c r="F43" s="290" t="s">
        <v>22</v>
      </c>
      <c r="G43" s="2" t="s">
        <v>12097</v>
      </c>
      <c r="H43" s="3" t="s">
        <v>3045</v>
      </c>
      <c r="I43" s="101" t="s">
        <v>1649</v>
      </c>
      <c r="J43" s="130" t="s">
        <v>12364</v>
      </c>
      <c r="K43" s="130" t="s">
        <v>12365</v>
      </c>
      <c r="L43" s="130" t="s">
        <v>12290</v>
      </c>
      <c r="M43" s="130" t="s">
        <v>12366</v>
      </c>
      <c r="N43" s="101" t="s">
        <v>1649</v>
      </c>
      <c r="O43" s="2" t="s">
        <v>12101</v>
      </c>
      <c r="P43" s="294" t="s">
        <v>1415</v>
      </c>
      <c r="Q43" s="130" t="s">
        <v>1415</v>
      </c>
      <c r="T43" s="5" t="s">
        <v>12367</v>
      </c>
    </row>
    <row r="44" spans="1:20" ht="52.9">
      <c r="A44" s="2"/>
      <c r="C44" s="130" t="s">
        <v>12368</v>
      </c>
      <c r="D44" s="316" t="s">
        <v>1404</v>
      </c>
      <c r="E44" s="101"/>
      <c r="F44" s="290" t="s">
        <v>1371</v>
      </c>
      <c r="G44" s="2" t="s">
        <v>12369</v>
      </c>
      <c r="H44" s="3" t="s">
        <v>3300</v>
      </c>
      <c r="I44" s="101"/>
      <c r="J44" s="130" t="s">
        <v>12370</v>
      </c>
      <c r="K44" s="130" t="s">
        <v>12371</v>
      </c>
      <c r="L44" s="130" t="s">
        <v>12372</v>
      </c>
      <c r="M44" s="130" t="s">
        <v>12372</v>
      </c>
      <c r="N44" s="101"/>
      <c r="O44" s="2" t="s">
        <v>12101</v>
      </c>
      <c r="P44" s="294"/>
      <c r="Q44" s="130" t="s">
        <v>1425</v>
      </c>
    </row>
    <row r="45" spans="1:20" ht="66">
      <c r="A45" s="2"/>
      <c r="C45" s="130" t="s">
        <v>12373</v>
      </c>
      <c r="D45" s="316" t="s">
        <v>1404</v>
      </c>
      <c r="E45" s="101"/>
      <c r="F45" s="290" t="s">
        <v>1371</v>
      </c>
      <c r="G45" s="2" t="s">
        <v>12097</v>
      </c>
      <c r="H45" s="3" t="s">
        <v>3492</v>
      </c>
      <c r="I45" s="101"/>
      <c r="J45" s="130" t="s">
        <v>12374</v>
      </c>
      <c r="K45" s="130" t="s">
        <v>12375</v>
      </c>
      <c r="L45" s="130" t="s">
        <v>12376</v>
      </c>
      <c r="M45" s="130" t="s">
        <v>12376</v>
      </c>
      <c r="N45" s="101"/>
      <c r="O45" s="2" t="s">
        <v>12101</v>
      </c>
      <c r="P45" s="294"/>
      <c r="Q45" s="130" t="s">
        <v>1368</v>
      </c>
    </row>
    <row r="46" spans="1:20" ht="79.150000000000006">
      <c r="A46" s="2"/>
      <c r="C46" s="130" t="s">
        <v>12373</v>
      </c>
      <c r="D46" s="316" t="s">
        <v>1404</v>
      </c>
      <c r="E46" s="101"/>
      <c r="F46" s="290" t="s">
        <v>1371</v>
      </c>
      <c r="G46" s="2" t="s">
        <v>12097</v>
      </c>
      <c r="H46" s="3" t="s">
        <v>3501</v>
      </c>
      <c r="I46" s="101"/>
      <c r="J46" s="130" t="s">
        <v>12377</v>
      </c>
      <c r="K46" s="130" t="s">
        <v>12378</v>
      </c>
      <c r="L46" s="130" t="s">
        <v>12379</v>
      </c>
      <c r="M46" s="130" t="s">
        <v>12380</v>
      </c>
      <c r="N46" s="101"/>
      <c r="O46" s="2" t="s">
        <v>12101</v>
      </c>
      <c r="P46" s="294"/>
      <c r="Q46" s="130" t="s">
        <v>1368</v>
      </c>
    </row>
    <row r="47" spans="1:20" ht="43.15">
      <c r="A47" s="2" t="s">
        <v>12381</v>
      </c>
      <c r="B47" s="21" t="s">
        <v>2020</v>
      </c>
      <c r="C47" s="130" t="s">
        <v>12382</v>
      </c>
      <c r="D47" s="316" t="s">
        <v>1415</v>
      </c>
      <c r="E47" s="101" t="s">
        <v>1649</v>
      </c>
      <c r="F47" s="290" t="s">
        <v>1649</v>
      </c>
      <c r="G47" s="2" t="s">
        <v>12097</v>
      </c>
      <c r="H47" s="3" t="s">
        <v>3767</v>
      </c>
      <c r="I47" s="101" t="s">
        <v>1649</v>
      </c>
      <c r="J47" s="130" t="s">
        <v>12383</v>
      </c>
      <c r="K47" s="130" t="s">
        <v>12384</v>
      </c>
      <c r="L47" s="130" t="s">
        <v>12290</v>
      </c>
      <c r="M47" s="130" t="s">
        <v>12385</v>
      </c>
      <c r="N47" s="101" t="s">
        <v>1649</v>
      </c>
      <c r="O47" s="2" t="s">
        <v>12101</v>
      </c>
      <c r="P47" s="294" t="s">
        <v>1415</v>
      </c>
      <c r="Q47" s="130" t="s">
        <v>1415</v>
      </c>
    </row>
    <row r="48" spans="1:20" ht="43.15">
      <c r="A48" s="2" t="s">
        <v>12386</v>
      </c>
      <c r="B48" s="21" t="s">
        <v>2020</v>
      </c>
      <c r="C48" s="130" t="s">
        <v>12387</v>
      </c>
      <c r="D48" s="316" t="s">
        <v>1415</v>
      </c>
      <c r="E48" s="101" t="s">
        <v>1649</v>
      </c>
      <c r="F48" s="290" t="s">
        <v>1649</v>
      </c>
      <c r="G48" s="2" t="s">
        <v>12097</v>
      </c>
      <c r="H48" s="3" t="s">
        <v>3816</v>
      </c>
      <c r="I48" s="101" t="s">
        <v>1649</v>
      </c>
      <c r="J48" s="130" t="s">
        <v>12388</v>
      </c>
      <c r="K48" s="130" t="s">
        <v>12389</v>
      </c>
      <c r="L48" s="130" t="s">
        <v>12290</v>
      </c>
      <c r="M48" s="130" t="s">
        <v>12390</v>
      </c>
      <c r="N48" s="101" t="s">
        <v>1649</v>
      </c>
      <c r="O48" s="2" t="s">
        <v>12101</v>
      </c>
      <c r="P48" s="294" t="s">
        <v>1415</v>
      </c>
      <c r="Q48" s="130" t="s">
        <v>1415</v>
      </c>
    </row>
    <row r="49" spans="1:20" ht="43.15">
      <c r="A49" s="2" t="s">
        <v>12391</v>
      </c>
      <c r="B49" s="21" t="s">
        <v>2020</v>
      </c>
      <c r="C49" s="130" t="s">
        <v>12392</v>
      </c>
      <c r="D49" s="316" t="s">
        <v>1415</v>
      </c>
      <c r="E49" s="101" t="s">
        <v>1649</v>
      </c>
      <c r="F49" s="290" t="s">
        <v>1649</v>
      </c>
      <c r="G49" s="2" t="s">
        <v>12097</v>
      </c>
      <c r="H49" s="3" t="s">
        <v>3850</v>
      </c>
      <c r="I49" s="101" t="s">
        <v>1649</v>
      </c>
      <c r="J49" s="130" t="s">
        <v>12393</v>
      </c>
      <c r="K49" s="130" t="s">
        <v>12394</v>
      </c>
      <c r="L49" s="130" t="s">
        <v>12290</v>
      </c>
      <c r="M49" s="130" t="s">
        <v>12395</v>
      </c>
      <c r="N49" s="101" t="s">
        <v>1649</v>
      </c>
      <c r="O49" s="2" t="s">
        <v>12101</v>
      </c>
      <c r="P49" s="294" t="s">
        <v>1415</v>
      </c>
      <c r="Q49" s="130" t="s">
        <v>1415</v>
      </c>
    </row>
    <row r="50" spans="1:20" ht="43.15">
      <c r="A50" s="2" t="s">
        <v>12396</v>
      </c>
      <c r="B50" s="21" t="s">
        <v>2020</v>
      </c>
      <c r="C50" s="130" t="s">
        <v>12397</v>
      </c>
      <c r="D50" s="316" t="s">
        <v>1415</v>
      </c>
      <c r="E50" s="101" t="s">
        <v>1649</v>
      </c>
      <c r="F50" s="290" t="s">
        <v>1649</v>
      </c>
      <c r="G50" s="2" t="s">
        <v>12097</v>
      </c>
      <c r="H50" s="3" t="s">
        <v>3877</v>
      </c>
      <c r="I50" s="101" t="s">
        <v>1649</v>
      </c>
      <c r="J50" s="130" t="s">
        <v>12398</v>
      </c>
      <c r="K50" s="130" t="s">
        <v>12399</v>
      </c>
      <c r="L50" s="130" t="s">
        <v>12290</v>
      </c>
      <c r="M50" s="130" t="s">
        <v>12400</v>
      </c>
      <c r="N50" s="101" t="s">
        <v>1649</v>
      </c>
      <c r="O50" s="2" t="s">
        <v>12101</v>
      </c>
      <c r="P50" s="294" t="s">
        <v>1415</v>
      </c>
      <c r="Q50" s="130" t="s">
        <v>1415</v>
      </c>
    </row>
    <row r="51" spans="1:20" ht="69">
      <c r="A51" s="2" t="s">
        <v>12401</v>
      </c>
      <c r="B51" s="97" t="s">
        <v>12402</v>
      </c>
      <c r="C51" s="97" t="s">
        <v>12403</v>
      </c>
      <c r="D51" s="314" t="s">
        <v>1368</v>
      </c>
      <c r="E51" s="93" t="s">
        <v>12404</v>
      </c>
      <c r="F51" s="273" t="s">
        <v>1371</v>
      </c>
      <c r="G51" s="2" t="s">
        <v>12097</v>
      </c>
      <c r="H51" s="3" t="s">
        <v>4052</v>
      </c>
      <c r="I51" s="93" t="s">
        <v>12404</v>
      </c>
      <c r="J51" s="97" t="s">
        <v>12405</v>
      </c>
      <c r="K51" s="97" t="s">
        <v>12406</v>
      </c>
      <c r="L51" s="97" t="s">
        <v>12407</v>
      </c>
      <c r="M51" s="97" t="s">
        <v>12350</v>
      </c>
      <c r="N51" s="93" t="s">
        <v>12408</v>
      </c>
      <c r="O51" s="2" t="s">
        <v>12334</v>
      </c>
      <c r="P51" s="65" t="s">
        <v>12101</v>
      </c>
      <c r="Q51" s="97" t="s">
        <v>12335</v>
      </c>
      <c r="R51" s="119" t="s">
        <v>1368</v>
      </c>
      <c r="S51" s="120">
        <v>46180</v>
      </c>
      <c r="T51" s="5" t="s">
        <v>12409</v>
      </c>
    </row>
    <row r="52" spans="1:20" ht="82.9">
      <c r="A52" s="2" t="s">
        <v>12410</v>
      </c>
      <c r="B52" s="97" t="s">
        <v>12402</v>
      </c>
      <c r="C52" s="97" t="s">
        <v>12411</v>
      </c>
      <c r="D52" s="314" t="s">
        <v>1368</v>
      </c>
      <c r="E52" s="93" t="s">
        <v>12404</v>
      </c>
      <c r="F52" s="273" t="s">
        <v>22</v>
      </c>
      <c r="G52" s="2" t="s">
        <v>12097</v>
      </c>
      <c r="H52" s="3" t="s">
        <v>4090</v>
      </c>
      <c r="I52" s="93" t="s">
        <v>12404</v>
      </c>
      <c r="J52" s="97" t="s">
        <v>12412</v>
      </c>
      <c r="K52" s="97" t="s">
        <v>12413</v>
      </c>
      <c r="L52" s="97" t="s">
        <v>12341</v>
      </c>
      <c r="M52" s="97" t="s">
        <v>12414</v>
      </c>
      <c r="N52" s="93" t="s">
        <v>12334</v>
      </c>
      <c r="O52" s="2" t="s">
        <v>12101</v>
      </c>
      <c r="P52" s="65" t="s">
        <v>12335</v>
      </c>
      <c r="Q52" s="97" t="s">
        <v>1368</v>
      </c>
      <c r="R52" s="119">
        <v>46180</v>
      </c>
      <c r="S52" s="5" t="s">
        <v>12343</v>
      </c>
    </row>
    <row r="53" spans="1:20" ht="69">
      <c r="A53" s="2" t="s">
        <v>12415</v>
      </c>
      <c r="B53" s="97" t="s">
        <v>12416</v>
      </c>
      <c r="C53" s="97" t="s">
        <v>12417</v>
      </c>
      <c r="D53" s="314" t="s">
        <v>1368</v>
      </c>
      <c r="E53" s="93" t="s">
        <v>12418</v>
      </c>
      <c r="F53" s="273" t="s">
        <v>1371</v>
      </c>
      <c r="G53" s="2" t="s">
        <v>12097</v>
      </c>
      <c r="H53" s="3" t="s">
        <v>4181</v>
      </c>
      <c r="I53" s="93" t="s">
        <v>12418</v>
      </c>
      <c r="J53" s="97" t="s">
        <v>12419</v>
      </c>
      <c r="K53" s="97" t="s">
        <v>12420</v>
      </c>
      <c r="L53" s="97" t="s">
        <v>12407</v>
      </c>
      <c r="M53" s="97" t="s">
        <v>12350</v>
      </c>
      <c r="N53" s="93" t="s">
        <v>12421</v>
      </c>
      <c r="O53" s="2" t="s">
        <v>12334</v>
      </c>
      <c r="P53" s="65" t="s">
        <v>12101</v>
      </c>
      <c r="Q53" s="97" t="s">
        <v>12335</v>
      </c>
      <c r="R53" s="119" t="s">
        <v>1368</v>
      </c>
      <c r="S53" s="120">
        <v>46180</v>
      </c>
      <c r="T53" s="5" t="s">
        <v>12422</v>
      </c>
    </row>
    <row r="54" spans="1:20" ht="82.9">
      <c r="A54" s="2" t="s">
        <v>12423</v>
      </c>
      <c r="B54" s="97" t="s">
        <v>12416</v>
      </c>
      <c r="C54" s="97" t="s">
        <v>12424</v>
      </c>
      <c r="D54" s="314" t="s">
        <v>1368</v>
      </c>
      <c r="E54" s="93"/>
      <c r="F54" s="273" t="s">
        <v>22</v>
      </c>
      <c r="G54" s="2" t="s">
        <v>12097</v>
      </c>
      <c r="H54" s="3" t="s">
        <v>4219</v>
      </c>
      <c r="I54" s="93"/>
      <c r="J54" s="97" t="s">
        <v>12425</v>
      </c>
      <c r="K54" s="97" t="s">
        <v>12426</v>
      </c>
      <c r="L54" s="97" t="s">
        <v>12341</v>
      </c>
      <c r="M54" s="97" t="s">
        <v>12427</v>
      </c>
      <c r="N54" s="93" t="s">
        <v>12334</v>
      </c>
      <c r="O54" s="2" t="s">
        <v>12101</v>
      </c>
      <c r="P54" s="65" t="s">
        <v>12335</v>
      </c>
      <c r="Q54" s="97" t="s">
        <v>1368</v>
      </c>
      <c r="R54" s="119">
        <v>46180</v>
      </c>
      <c r="S54" s="5" t="s">
        <v>12343</v>
      </c>
    </row>
    <row r="55" spans="1:20" ht="55.15">
      <c r="A55" s="2"/>
      <c r="B55" s="97"/>
      <c r="C55" s="97" t="s">
        <v>12428</v>
      </c>
      <c r="D55" s="314" t="s">
        <v>1404</v>
      </c>
      <c r="E55" s="93"/>
      <c r="F55" s="273" t="s">
        <v>1371</v>
      </c>
      <c r="G55" s="2" t="s">
        <v>12097</v>
      </c>
      <c r="H55" s="3" t="s">
        <v>4284</v>
      </c>
      <c r="I55" s="93"/>
      <c r="J55" s="97" t="s">
        <v>12429</v>
      </c>
      <c r="K55" s="97" t="s">
        <v>12430</v>
      </c>
      <c r="L55" s="97" t="s">
        <v>12431</v>
      </c>
      <c r="M55" s="97" t="s">
        <v>12432</v>
      </c>
      <c r="N55" s="93"/>
      <c r="O55" s="2" t="s">
        <v>12101</v>
      </c>
      <c r="P55" s="65"/>
      <c r="Q55" s="97" t="s">
        <v>1425</v>
      </c>
      <c r="R55" s="119"/>
      <c r="S55" s="5"/>
      <c r="T55" s="5" t="s">
        <v>12433</v>
      </c>
    </row>
    <row r="56" spans="1:20" ht="55.15">
      <c r="A56" s="2"/>
      <c r="B56" s="97"/>
      <c r="C56" s="97" t="s">
        <v>12434</v>
      </c>
      <c r="D56" s="314" t="s">
        <v>1404</v>
      </c>
      <c r="E56" s="93"/>
      <c r="F56" s="273" t="s">
        <v>22</v>
      </c>
      <c r="G56" s="2" t="s">
        <v>12097</v>
      </c>
      <c r="H56" s="3" t="s">
        <v>4292</v>
      </c>
      <c r="I56" s="93"/>
      <c r="J56" s="97" t="s">
        <v>12435</v>
      </c>
      <c r="K56" s="97" t="s">
        <v>12436</v>
      </c>
      <c r="L56" s="97" t="s">
        <v>12437</v>
      </c>
      <c r="M56" s="97" t="s">
        <v>12438</v>
      </c>
      <c r="N56" s="93"/>
      <c r="O56" s="2" t="s">
        <v>12101</v>
      </c>
      <c r="P56" s="65"/>
      <c r="Q56" s="97" t="s">
        <v>1425</v>
      </c>
      <c r="R56" s="119"/>
      <c r="S56" s="5"/>
      <c r="T56" s="5" t="s">
        <v>2087</v>
      </c>
    </row>
    <row r="57" spans="1:20" ht="82.9">
      <c r="A57" s="2"/>
      <c r="B57" s="97"/>
      <c r="C57" s="97" t="s">
        <v>12439</v>
      </c>
      <c r="D57" s="314" t="s">
        <v>1404</v>
      </c>
      <c r="E57" s="93"/>
      <c r="F57" s="273" t="s">
        <v>1371</v>
      </c>
      <c r="G57" s="2" t="s">
        <v>12097</v>
      </c>
      <c r="H57" s="3" t="s">
        <v>4365</v>
      </c>
      <c r="I57" s="93"/>
      <c r="J57" s="97" t="s">
        <v>12440</v>
      </c>
      <c r="K57" s="97" t="s">
        <v>12441</v>
      </c>
      <c r="L57" s="97" t="s">
        <v>12442</v>
      </c>
      <c r="M57" s="97" t="s">
        <v>12443</v>
      </c>
      <c r="N57" s="93"/>
      <c r="O57" s="2"/>
      <c r="P57" s="65"/>
      <c r="Q57" s="97" t="s">
        <v>1425</v>
      </c>
      <c r="R57" s="119"/>
      <c r="S57" s="5"/>
    </row>
    <row r="58" spans="1:20" ht="69">
      <c r="A58" s="2" t="s">
        <v>12444</v>
      </c>
      <c r="B58" s="97" t="s">
        <v>12445</v>
      </c>
      <c r="C58" s="97" t="s">
        <v>12446</v>
      </c>
      <c r="D58" s="314" t="s">
        <v>1368</v>
      </c>
      <c r="E58" s="93" t="s">
        <v>12447</v>
      </c>
      <c r="F58" s="273" t="s">
        <v>1371</v>
      </c>
      <c r="G58" s="2" t="s">
        <v>12097</v>
      </c>
      <c r="H58" s="3" t="s">
        <v>4644</v>
      </c>
      <c r="I58" s="93" t="s">
        <v>12447</v>
      </c>
      <c r="J58" s="97" t="s">
        <v>12448</v>
      </c>
      <c r="K58" s="97" t="s">
        <v>12449</v>
      </c>
      <c r="L58" s="97" t="s">
        <v>12407</v>
      </c>
      <c r="M58" s="97" t="s">
        <v>12350</v>
      </c>
      <c r="N58" s="93" t="s">
        <v>12450</v>
      </c>
      <c r="O58" s="2" t="s">
        <v>12334</v>
      </c>
      <c r="P58" s="65" t="s">
        <v>12101</v>
      </c>
      <c r="Q58" s="97" t="s">
        <v>12335</v>
      </c>
      <c r="R58" s="119" t="s">
        <v>1368</v>
      </c>
      <c r="S58" s="120">
        <v>46180</v>
      </c>
      <c r="T58" s="5" t="s">
        <v>12451</v>
      </c>
    </row>
    <row r="59" spans="1:20" ht="82.9">
      <c r="A59" s="2" t="s">
        <v>12423</v>
      </c>
      <c r="B59" s="97" t="s">
        <v>12445</v>
      </c>
      <c r="C59" s="97" t="s">
        <v>12452</v>
      </c>
      <c r="D59" s="314" t="s">
        <v>1368</v>
      </c>
      <c r="E59" s="93" t="s">
        <v>12447</v>
      </c>
      <c r="F59" s="273" t="s">
        <v>22</v>
      </c>
      <c r="G59" s="2" t="s">
        <v>12097</v>
      </c>
      <c r="H59" s="3" t="s">
        <v>4682</v>
      </c>
      <c r="I59" s="93" t="s">
        <v>12447</v>
      </c>
      <c r="J59" s="97" t="s">
        <v>12453</v>
      </c>
      <c r="K59" s="97" t="s">
        <v>12454</v>
      </c>
      <c r="L59" s="97" t="s">
        <v>12341</v>
      </c>
      <c r="M59" s="97" t="s">
        <v>12455</v>
      </c>
      <c r="N59" s="93" t="s">
        <v>12334</v>
      </c>
      <c r="O59" s="2" t="s">
        <v>12101</v>
      </c>
      <c r="P59" s="65" t="s">
        <v>12335</v>
      </c>
      <c r="Q59" s="97" t="s">
        <v>1368</v>
      </c>
      <c r="R59" s="119">
        <v>46180</v>
      </c>
      <c r="S59" s="5" t="s">
        <v>12343</v>
      </c>
    </row>
    <row r="60" spans="1:20" s="143" customFormat="1" ht="86.45">
      <c r="A60" s="141" t="s">
        <v>12456</v>
      </c>
      <c r="B60" s="287" t="s">
        <v>12457</v>
      </c>
      <c r="C60" s="287" t="s">
        <v>12458</v>
      </c>
      <c r="D60" s="327" t="s">
        <v>1415</v>
      </c>
      <c r="E60" s="328" t="s">
        <v>1649</v>
      </c>
      <c r="F60" s="329" t="s">
        <v>22</v>
      </c>
      <c r="G60" s="328" t="s">
        <v>12097</v>
      </c>
      <c r="H60" s="286" t="s">
        <v>12459</v>
      </c>
      <c r="I60" s="331" t="s">
        <v>12460</v>
      </c>
      <c r="J60" s="287" t="s">
        <v>12461</v>
      </c>
      <c r="K60" s="287" t="s">
        <v>12462</v>
      </c>
      <c r="L60" s="287" t="s">
        <v>12463</v>
      </c>
      <c r="M60" s="287" t="s">
        <v>12464</v>
      </c>
      <c r="N60" s="328" t="s">
        <v>1649</v>
      </c>
      <c r="O60" s="332" t="s">
        <v>12101</v>
      </c>
      <c r="P60" s="287" t="s">
        <v>1415</v>
      </c>
      <c r="Q60" s="287" t="s">
        <v>1415</v>
      </c>
      <c r="R60" s="328" t="s">
        <v>1649</v>
      </c>
      <c r="S60" s="328" t="s">
        <v>12465</v>
      </c>
      <c r="T60" s="293" t="s">
        <v>12466</v>
      </c>
    </row>
    <row r="61" spans="1:20" s="143" customFormat="1" ht="86.45">
      <c r="A61" s="141" t="s">
        <v>12467</v>
      </c>
      <c r="B61" s="287" t="s">
        <v>12457</v>
      </c>
      <c r="C61" s="287" t="s">
        <v>12468</v>
      </c>
      <c r="D61" s="327" t="s">
        <v>1415</v>
      </c>
      <c r="E61" s="328" t="s">
        <v>1649</v>
      </c>
      <c r="F61" s="329" t="s">
        <v>1371</v>
      </c>
      <c r="G61" s="328" t="s">
        <v>12097</v>
      </c>
      <c r="H61" s="286" t="s">
        <v>12469</v>
      </c>
      <c r="I61" s="328" t="s">
        <v>12460</v>
      </c>
      <c r="J61" s="287" t="s">
        <v>12470</v>
      </c>
      <c r="K61" s="287" t="s">
        <v>12471</v>
      </c>
      <c r="L61" s="287" t="s">
        <v>12472</v>
      </c>
      <c r="M61" s="287" t="s">
        <v>12473</v>
      </c>
      <c r="N61" s="328" t="s">
        <v>1649</v>
      </c>
      <c r="O61" s="332" t="s">
        <v>12101</v>
      </c>
      <c r="P61" s="287" t="s">
        <v>1415</v>
      </c>
      <c r="Q61" s="287" t="s">
        <v>1415</v>
      </c>
      <c r="R61" s="328" t="s">
        <v>1649</v>
      </c>
      <c r="S61" s="328" t="s">
        <v>12474</v>
      </c>
      <c r="T61" s="293" t="s">
        <v>12475</v>
      </c>
    </row>
    <row r="62" spans="1:20" s="143" customFormat="1" ht="100.9">
      <c r="A62" s="141" t="s">
        <v>12476</v>
      </c>
      <c r="B62" s="287" t="s">
        <v>12457</v>
      </c>
      <c r="C62" s="287" t="s">
        <v>12477</v>
      </c>
      <c r="D62" s="327" t="s">
        <v>1415</v>
      </c>
      <c r="E62" s="328" t="s">
        <v>1649</v>
      </c>
      <c r="F62" s="329" t="s">
        <v>1371</v>
      </c>
      <c r="G62" s="328" t="s">
        <v>12097</v>
      </c>
      <c r="H62" s="333" t="s">
        <v>4901</v>
      </c>
      <c r="I62" s="328" t="s">
        <v>12460</v>
      </c>
      <c r="J62" s="287" t="s">
        <v>12478</v>
      </c>
      <c r="K62" s="287" t="s">
        <v>12479</v>
      </c>
      <c r="L62" s="287" t="s">
        <v>12480</v>
      </c>
      <c r="M62" s="287" t="s">
        <v>12481</v>
      </c>
      <c r="N62" s="328" t="s">
        <v>1649</v>
      </c>
      <c r="O62" s="332" t="s">
        <v>12101</v>
      </c>
      <c r="P62" s="287" t="s">
        <v>1415</v>
      </c>
      <c r="Q62" s="287" t="s">
        <v>1415</v>
      </c>
      <c r="R62" s="328" t="s">
        <v>1649</v>
      </c>
      <c r="S62" s="328" t="s">
        <v>12482</v>
      </c>
      <c r="T62" s="293" t="s">
        <v>12483</v>
      </c>
    </row>
    <row r="63" spans="1:20" s="143" customFormat="1" ht="86.45">
      <c r="A63" s="141" t="s">
        <v>12484</v>
      </c>
      <c r="B63" s="287" t="s">
        <v>12457</v>
      </c>
      <c r="C63" s="287" t="s">
        <v>12485</v>
      </c>
      <c r="D63" s="327" t="s">
        <v>1415</v>
      </c>
      <c r="E63" s="328" t="s">
        <v>1649</v>
      </c>
      <c r="F63" s="329" t="s">
        <v>22</v>
      </c>
      <c r="G63" s="328" t="s">
        <v>12097</v>
      </c>
      <c r="H63" s="330" t="s">
        <v>1649</v>
      </c>
      <c r="I63" s="328" t="s">
        <v>12460</v>
      </c>
      <c r="J63" s="287" t="s">
        <v>12486</v>
      </c>
      <c r="K63" s="287" t="s">
        <v>12487</v>
      </c>
      <c r="L63" s="287" t="s">
        <v>12488</v>
      </c>
      <c r="M63" s="287" t="s">
        <v>12489</v>
      </c>
      <c r="N63" s="328" t="s">
        <v>1649</v>
      </c>
      <c r="O63" s="332" t="s">
        <v>12101</v>
      </c>
      <c r="P63" s="287" t="s">
        <v>1415</v>
      </c>
      <c r="Q63" s="287" t="s">
        <v>1415</v>
      </c>
      <c r="R63" s="328" t="s">
        <v>1649</v>
      </c>
      <c r="S63" s="328" t="s">
        <v>12490</v>
      </c>
      <c r="T63" s="293" t="s">
        <v>4935</v>
      </c>
    </row>
    <row r="64" spans="1:20" ht="115.15">
      <c r="A64" s="2" t="s">
        <v>12491</v>
      </c>
      <c r="B64" s="65" t="s">
        <v>12457</v>
      </c>
      <c r="C64" s="65" t="s">
        <v>12492</v>
      </c>
      <c r="D64" s="70" t="s">
        <v>1415</v>
      </c>
      <c r="E64" s="64" t="s">
        <v>1649</v>
      </c>
      <c r="F64" s="271" t="s">
        <v>1371</v>
      </c>
      <c r="G64" s="64" t="s">
        <v>12097</v>
      </c>
      <c r="H64" s="295" t="s">
        <v>1649</v>
      </c>
      <c r="I64" s="64" t="s">
        <v>12460</v>
      </c>
      <c r="J64" s="65" t="s">
        <v>12493</v>
      </c>
      <c r="K64" s="65" t="s">
        <v>12494</v>
      </c>
      <c r="L64" s="65" t="s">
        <v>12495</v>
      </c>
      <c r="M64" s="65" t="s">
        <v>12496</v>
      </c>
      <c r="N64" s="64" t="s">
        <v>1649</v>
      </c>
      <c r="O64" s="103" t="s">
        <v>12101</v>
      </c>
      <c r="P64" s="65" t="s">
        <v>1415</v>
      </c>
      <c r="Q64" s="65" t="s">
        <v>1415</v>
      </c>
      <c r="R64" s="64" t="s">
        <v>1649</v>
      </c>
      <c r="S64" s="64" t="s">
        <v>12497</v>
      </c>
    </row>
    <row r="65" spans="1:19" ht="115.15">
      <c r="A65" s="2" t="s">
        <v>12498</v>
      </c>
      <c r="B65" s="65" t="s">
        <v>12457</v>
      </c>
      <c r="C65" s="65" t="s">
        <v>12499</v>
      </c>
      <c r="D65" s="70" t="s">
        <v>1415</v>
      </c>
      <c r="E65" s="64" t="s">
        <v>1649</v>
      </c>
      <c r="F65" s="271" t="s">
        <v>1371</v>
      </c>
      <c r="G65" s="64" t="s">
        <v>12097</v>
      </c>
      <c r="H65" s="65" t="s">
        <v>1649</v>
      </c>
      <c r="I65" s="64" t="s">
        <v>12460</v>
      </c>
      <c r="J65" s="65" t="s">
        <v>12500</v>
      </c>
      <c r="K65" s="65" t="s">
        <v>12501</v>
      </c>
      <c r="L65" s="65" t="s">
        <v>12502</v>
      </c>
      <c r="M65" s="65" t="s">
        <v>12503</v>
      </c>
      <c r="N65" s="102" t="s">
        <v>1649</v>
      </c>
      <c r="O65" s="103" t="s">
        <v>12101</v>
      </c>
      <c r="P65" s="65" t="s">
        <v>1415</v>
      </c>
      <c r="Q65" s="65" t="s">
        <v>1415</v>
      </c>
      <c r="R65" s="64" t="s">
        <v>1649</v>
      </c>
      <c r="S65" s="64" t="s">
        <v>12504</v>
      </c>
    </row>
    <row r="66" spans="1:19" ht="129.6">
      <c r="A66" s="2" t="s">
        <v>12505</v>
      </c>
      <c r="B66" s="65" t="s">
        <v>12457</v>
      </c>
      <c r="C66" s="65" t="s">
        <v>12506</v>
      </c>
      <c r="D66" s="70" t="s">
        <v>1415</v>
      </c>
      <c r="E66" s="64" t="s">
        <v>1649</v>
      </c>
      <c r="F66" s="271" t="s">
        <v>1481</v>
      </c>
      <c r="G66" s="64" t="s">
        <v>12097</v>
      </c>
      <c r="H66" s="65" t="s">
        <v>1649</v>
      </c>
      <c r="I66" s="64" t="s">
        <v>12460</v>
      </c>
      <c r="J66" s="65" t="s">
        <v>12507</v>
      </c>
      <c r="K66" s="65" t="s">
        <v>12508</v>
      </c>
      <c r="L66" s="65" t="s">
        <v>12509</v>
      </c>
      <c r="M66" s="65" t="s">
        <v>12510</v>
      </c>
      <c r="N66" s="64" t="s">
        <v>1649</v>
      </c>
      <c r="O66" s="103" t="s">
        <v>12101</v>
      </c>
      <c r="P66" s="65" t="s">
        <v>1415</v>
      </c>
      <c r="Q66" s="65" t="s">
        <v>1415</v>
      </c>
      <c r="R66" s="64" t="s">
        <v>1649</v>
      </c>
      <c r="S66" s="64" t="s">
        <v>12511</v>
      </c>
    </row>
    <row r="67" spans="1:19" ht="55.15">
      <c r="A67" s="2" t="s">
        <v>12512</v>
      </c>
      <c r="B67" s="97" t="s">
        <v>12513</v>
      </c>
      <c r="C67" s="97" t="s">
        <v>12514</v>
      </c>
      <c r="D67" s="314" t="s">
        <v>1368</v>
      </c>
      <c r="E67" s="93" t="s">
        <v>4729</v>
      </c>
      <c r="F67" s="273" t="s">
        <v>22</v>
      </c>
      <c r="G67" s="2" t="s">
        <v>12097</v>
      </c>
      <c r="H67" s="97" t="s">
        <v>12515</v>
      </c>
      <c r="I67" s="93" t="s">
        <v>4729</v>
      </c>
      <c r="J67" s="97" t="s">
        <v>12516</v>
      </c>
      <c r="K67" s="97" t="s">
        <v>12517</v>
      </c>
      <c r="L67" s="97" t="s">
        <v>12518</v>
      </c>
      <c r="M67" s="97" t="s">
        <v>12519</v>
      </c>
      <c r="N67" s="93" t="s">
        <v>12334</v>
      </c>
      <c r="O67" s="2" t="s">
        <v>12101</v>
      </c>
      <c r="P67" s="65" t="s">
        <v>12335</v>
      </c>
      <c r="Q67" s="97" t="s">
        <v>1368</v>
      </c>
      <c r="R67" s="119">
        <v>46180</v>
      </c>
      <c r="S67" s="5" t="s">
        <v>12520</v>
      </c>
    </row>
    <row r="68" spans="1:19" ht="69">
      <c r="A68" s="2" t="s">
        <v>12521</v>
      </c>
      <c r="B68" s="97" t="s">
        <v>12513</v>
      </c>
      <c r="C68" s="97" t="s">
        <v>12522</v>
      </c>
      <c r="D68" s="314" t="s">
        <v>1368</v>
      </c>
      <c r="E68" s="93" t="s">
        <v>4729</v>
      </c>
      <c r="F68" s="273" t="s">
        <v>1371</v>
      </c>
      <c r="G68" s="2" t="s">
        <v>12097</v>
      </c>
      <c r="H68" s="97" t="s">
        <v>12523</v>
      </c>
      <c r="I68" s="93" t="s">
        <v>4729</v>
      </c>
      <c r="J68" s="97" t="s">
        <v>12524</v>
      </c>
      <c r="K68" s="97" t="s">
        <v>12525</v>
      </c>
      <c r="L68" s="97" t="s">
        <v>12526</v>
      </c>
      <c r="M68" s="97" t="s">
        <v>12527</v>
      </c>
      <c r="N68" s="93" t="s">
        <v>12334</v>
      </c>
      <c r="O68" s="2" t="s">
        <v>12101</v>
      </c>
      <c r="P68" s="65" t="s">
        <v>12335</v>
      </c>
      <c r="Q68" s="97" t="s">
        <v>1368</v>
      </c>
      <c r="R68" s="119">
        <v>46180</v>
      </c>
      <c r="S68" s="5" t="s">
        <v>12528</v>
      </c>
    </row>
    <row r="69" spans="1:19" ht="43.15">
      <c r="A69" s="2" t="s">
        <v>12529</v>
      </c>
      <c r="B69" s="97" t="s">
        <v>12513</v>
      </c>
      <c r="C69" s="97" t="s">
        <v>12530</v>
      </c>
      <c r="D69" s="314" t="s">
        <v>1368</v>
      </c>
      <c r="E69" s="93" t="s">
        <v>4729</v>
      </c>
      <c r="F69" s="273" t="s">
        <v>22</v>
      </c>
      <c r="G69" s="2" t="s">
        <v>12097</v>
      </c>
      <c r="H69" s="97" t="s">
        <v>12531</v>
      </c>
      <c r="I69" s="93" t="s">
        <v>4729</v>
      </c>
      <c r="J69" s="97" t="s">
        <v>12532</v>
      </c>
      <c r="K69" s="97" t="s">
        <v>12533</v>
      </c>
      <c r="L69" s="97" t="s">
        <v>12534</v>
      </c>
      <c r="M69" s="97" t="s">
        <v>12535</v>
      </c>
      <c r="N69" s="93" t="s">
        <v>12334</v>
      </c>
      <c r="O69" s="2" t="s">
        <v>12101</v>
      </c>
      <c r="P69" s="65" t="s">
        <v>12335</v>
      </c>
      <c r="Q69" s="97" t="s">
        <v>1368</v>
      </c>
      <c r="R69" s="119">
        <v>46180</v>
      </c>
      <c r="S69" s="5" t="s">
        <v>12536</v>
      </c>
    </row>
    <row r="70" spans="1:19" ht="43.15">
      <c r="A70" s="2" t="s">
        <v>12537</v>
      </c>
      <c r="B70" s="97" t="s">
        <v>12513</v>
      </c>
      <c r="C70" s="97" t="s">
        <v>12538</v>
      </c>
      <c r="D70" s="314" t="s">
        <v>1368</v>
      </c>
      <c r="E70" s="93" t="s">
        <v>4729</v>
      </c>
      <c r="F70" s="273" t="s">
        <v>22</v>
      </c>
      <c r="G70" s="2" t="s">
        <v>12097</v>
      </c>
      <c r="H70" s="97" t="s">
        <v>12539</v>
      </c>
      <c r="I70" s="93" t="s">
        <v>4729</v>
      </c>
      <c r="J70" s="97" t="s">
        <v>12540</v>
      </c>
      <c r="K70" s="97" t="s">
        <v>12541</v>
      </c>
      <c r="L70" s="97" t="s">
        <v>12542</v>
      </c>
      <c r="M70" s="97" t="s">
        <v>12543</v>
      </c>
      <c r="N70" s="93" t="s">
        <v>12334</v>
      </c>
      <c r="O70" s="2" t="s">
        <v>12101</v>
      </c>
      <c r="P70" s="65" t="s">
        <v>12335</v>
      </c>
      <c r="Q70" s="97" t="s">
        <v>1368</v>
      </c>
      <c r="R70" s="119">
        <v>46180</v>
      </c>
      <c r="S70" s="5" t="s">
        <v>12544</v>
      </c>
    </row>
    <row r="71" spans="1:19" ht="55.15">
      <c r="A71" s="2" t="s">
        <v>12545</v>
      </c>
      <c r="B71" s="97" t="s">
        <v>12513</v>
      </c>
      <c r="C71" s="97" t="s">
        <v>12546</v>
      </c>
      <c r="D71" s="314" t="s">
        <v>1368</v>
      </c>
      <c r="E71" s="93" t="s">
        <v>4729</v>
      </c>
      <c r="F71" s="273" t="s">
        <v>1393</v>
      </c>
      <c r="G71" s="2" t="s">
        <v>12097</v>
      </c>
      <c r="H71" s="97" t="s">
        <v>12547</v>
      </c>
      <c r="I71" s="93" t="s">
        <v>4729</v>
      </c>
      <c r="J71" s="97" t="s">
        <v>12548</v>
      </c>
      <c r="K71" s="97" t="s">
        <v>12549</v>
      </c>
      <c r="L71" s="97" t="s">
        <v>12550</v>
      </c>
      <c r="M71" s="97" t="s">
        <v>12551</v>
      </c>
      <c r="N71" s="93" t="s">
        <v>12334</v>
      </c>
      <c r="O71" s="2" t="s">
        <v>12101</v>
      </c>
      <c r="P71" s="65" t="s">
        <v>12335</v>
      </c>
      <c r="Q71" s="97" t="s">
        <v>1368</v>
      </c>
      <c r="R71" s="119">
        <v>46180</v>
      </c>
      <c r="S71" s="5" t="s">
        <v>12552</v>
      </c>
    </row>
    <row r="72" spans="1:19" ht="43.15">
      <c r="A72" s="2" t="s">
        <v>12553</v>
      </c>
      <c r="B72" s="97" t="s">
        <v>12513</v>
      </c>
      <c r="C72" s="97" t="s">
        <v>12554</v>
      </c>
      <c r="D72" s="314" t="s">
        <v>1368</v>
      </c>
      <c r="E72" s="93" t="s">
        <v>4729</v>
      </c>
      <c r="F72" s="273" t="s">
        <v>22</v>
      </c>
      <c r="G72" s="2" t="s">
        <v>12097</v>
      </c>
      <c r="H72" s="97" t="s">
        <v>12555</v>
      </c>
      <c r="I72" s="93" t="s">
        <v>4729</v>
      </c>
      <c r="J72" s="97" t="s">
        <v>12556</v>
      </c>
      <c r="K72" s="97" t="s">
        <v>12541</v>
      </c>
      <c r="L72" s="97" t="s">
        <v>12557</v>
      </c>
      <c r="M72" s="97" t="s">
        <v>12558</v>
      </c>
      <c r="N72" s="93" t="s">
        <v>12334</v>
      </c>
      <c r="O72" s="2" t="s">
        <v>12101</v>
      </c>
      <c r="P72" s="65" t="s">
        <v>12335</v>
      </c>
      <c r="Q72" s="97" t="s">
        <v>1368</v>
      </c>
      <c r="R72" s="119">
        <v>46180</v>
      </c>
      <c r="S72" s="5" t="s">
        <v>12559</v>
      </c>
    </row>
    <row r="73" spans="1:19" ht="55.15">
      <c r="A73" s="2" t="s">
        <v>12560</v>
      </c>
      <c r="B73" s="97" t="s">
        <v>12513</v>
      </c>
      <c r="C73" s="97" t="s">
        <v>12561</v>
      </c>
      <c r="D73" s="314" t="s">
        <v>1368</v>
      </c>
      <c r="E73" s="93" t="s">
        <v>4729</v>
      </c>
      <c r="F73" s="273" t="s">
        <v>1393</v>
      </c>
      <c r="G73" s="2" t="s">
        <v>12097</v>
      </c>
      <c r="H73" s="97" t="s">
        <v>12562</v>
      </c>
      <c r="I73" s="93" t="s">
        <v>4729</v>
      </c>
      <c r="J73" s="97" t="s">
        <v>12563</v>
      </c>
      <c r="K73" s="97" t="s">
        <v>12564</v>
      </c>
      <c r="L73" s="97" t="s">
        <v>12565</v>
      </c>
      <c r="M73" s="97" t="s">
        <v>12566</v>
      </c>
      <c r="N73" s="93" t="s">
        <v>12334</v>
      </c>
      <c r="O73" s="2" t="s">
        <v>12101</v>
      </c>
      <c r="P73" s="65" t="s">
        <v>12335</v>
      </c>
      <c r="Q73" s="97" t="s">
        <v>1368</v>
      </c>
      <c r="R73" s="119">
        <v>46180</v>
      </c>
      <c r="S73" s="5" t="s">
        <v>12567</v>
      </c>
    </row>
    <row r="74" spans="1:19" ht="43.15">
      <c r="A74" s="2" t="s">
        <v>12568</v>
      </c>
      <c r="B74" s="97" t="s">
        <v>12513</v>
      </c>
      <c r="C74" s="97" t="s">
        <v>12569</v>
      </c>
      <c r="D74" s="314" t="s">
        <v>1368</v>
      </c>
      <c r="E74" s="93" t="s">
        <v>4729</v>
      </c>
      <c r="F74" s="273" t="s">
        <v>1371</v>
      </c>
      <c r="G74" s="2" t="s">
        <v>12097</v>
      </c>
      <c r="H74" s="97" t="s">
        <v>12570</v>
      </c>
      <c r="I74" s="93" t="s">
        <v>4729</v>
      </c>
      <c r="J74" s="97" t="s">
        <v>12571</v>
      </c>
      <c r="K74" s="97" t="s">
        <v>12572</v>
      </c>
      <c r="L74" s="97" t="s">
        <v>12573</v>
      </c>
      <c r="M74" s="97" t="s">
        <v>12574</v>
      </c>
      <c r="N74" s="93" t="s">
        <v>12334</v>
      </c>
      <c r="O74" s="2" t="s">
        <v>12101</v>
      </c>
      <c r="P74" s="65" t="s">
        <v>12335</v>
      </c>
      <c r="Q74" s="97" t="s">
        <v>1368</v>
      </c>
      <c r="R74" s="119">
        <v>46180</v>
      </c>
      <c r="S74" s="5" t="s">
        <v>12575</v>
      </c>
    </row>
    <row r="75" spans="1:19" ht="43.15">
      <c r="A75" s="2" t="s">
        <v>12576</v>
      </c>
      <c r="B75" s="97" t="s">
        <v>12513</v>
      </c>
      <c r="C75" s="97" t="s">
        <v>12577</v>
      </c>
      <c r="D75" s="314" t="s">
        <v>1368</v>
      </c>
      <c r="E75" s="93" t="s">
        <v>4729</v>
      </c>
      <c r="F75" s="273" t="s">
        <v>1393</v>
      </c>
      <c r="G75" s="2" t="s">
        <v>12097</v>
      </c>
      <c r="H75" s="97" t="s">
        <v>12578</v>
      </c>
      <c r="I75" s="93" t="s">
        <v>4729</v>
      </c>
      <c r="J75" s="97" t="s">
        <v>12579</v>
      </c>
      <c r="K75" s="97" t="s">
        <v>12580</v>
      </c>
      <c r="L75" s="97" t="s">
        <v>12581</v>
      </c>
      <c r="M75" s="97" t="s">
        <v>12582</v>
      </c>
      <c r="N75" s="93" t="s">
        <v>12334</v>
      </c>
      <c r="O75" s="2" t="s">
        <v>12101</v>
      </c>
      <c r="P75" s="65" t="s">
        <v>12335</v>
      </c>
      <c r="Q75" s="97" t="s">
        <v>1368</v>
      </c>
      <c r="R75" s="119">
        <v>46180</v>
      </c>
      <c r="S75" s="5" t="s">
        <v>12583</v>
      </c>
    </row>
    <row r="76" spans="1:19" ht="43.15">
      <c r="A76" s="2" t="s">
        <v>12584</v>
      </c>
      <c r="B76" s="97" t="s">
        <v>12513</v>
      </c>
      <c r="C76" s="97" t="s">
        <v>12585</v>
      </c>
      <c r="D76" s="314" t="s">
        <v>1368</v>
      </c>
      <c r="E76" s="93" t="s">
        <v>4729</v>
      </c>
      <c r="F76" s="273" t="s">
        <v>1371</v>
      </c>
      <c r="G76" s="2" t="s">
        <v>12097</v>
      </c>
      <c r="H76" s="97" t="s">
        <v>12586</v>
      </c>
      <c r="I76" s="93" t="s">
        <v>4729</v>
      </c>
      <c r="J76" s="97" t="s">
        <v>12587</v>
      </c>
      <c r="K76" s="97" t="s">
        <v>12588</v>
      </c>
      <c r="L76" s="97" t="s">
        <v>12589</v>
      </c>
      <c r="M76" s="97" t="s">
        <v>12590</v>
      </c>
      <c r="N76" s="93" t="s">
        <v>12334</v>
      </c>
      <c r="O76" s="2" t="s">
        <v>12101</v>
      </c>
      <c r="P76" s="65" t="s">
        <v>12335</v>
      </c>
      <c r="Q76" s="97" t="s">
        <v>1368</v>
      </c>
      <c r="R76" s="119">
        <v>46180</v>
      </c>
      <c r="S76" s="5" t="s">
        <v>12591</v>
      </c>
    </row>
    <row r="77" spans="1:19" ht="55.15">
      <c r="A77" s="2" t="s">
        <v>12592</v>
      </c>
      <c r="B77" s="97" t="s">
        <v>12513</v>
      </c>
      <c r="C77" s="97" t="s">
        <v>12593</v>
      </c>
      <c r="D77" s="314" t="s">
        <v>1368</v>
      </c>
      <c r="E77" s="93" t="s">
        <v>4729</v>
      </c>
      <c r="F77" s="273" t="s">
        <v>1371</v>
      </c>
      <c r="G77" s="2" t="s">
        <v>12097</v>
      </c>
      <c r="H77" s="97" t="s">
        <v>12594</v>
      </c>
      <c r="I77" s="93" t="s">
        <v>4729</v>
      </c>
      <c r="J77" s="97" t="s">
        <v>12595</v>
      </c>
      <c r="K77" s="97" t="s">
        <v>12596</v>
      </c>
      <c r="L77" s="97" t="s">
        <v>12597</v>
      </c>
      <c r="M77" s="97" t="s">
        <v>12598</v>
      </c>
      <c r="N77" s="93" t="s">
        <v>12334</v>
      </c>
      <c r="O77" s="2" t="s">
        <v>12101</v>
      </c>
      <c r="P77" s="65" t="s">
        <v>12335</v>
      </c>
      <c r="Q77" s="97" t="s">
        <v>1368</v>
      </c>
      <c r="R77" s="119">
        <v>46180</v>
      </c>
      <c r="S77" s="5" t="s">
        <v>12599</v>
      </c>
    </row>
    <row r="78" spans="1:19" ht="43.15">
      <c r="A78" s="2" t="s">
        <v>12600</v>
      </c>
      <c r="B78" s="97" t="s">
        <v>12513</v>
      </c>
      <c r="C78" s="97" t="s">
        <v>12601</v>
      </c>
      <c r="D78" s="314" t="s">
        <v>1368</v>
      </c>
      <c r="E78" s="93" t="s">
        <v>4729</v>
      </c>
      <c r="F78" s="273" t="s">
        <v>1371</v>
      </c>
      <c r="G78" s="2" t="s">
        <v>12097</v>
      </c>
      <c r="H78" s="97" t="s">
        <v>12602</v>
      </c>
      <c r="I78" s="93" t="s">
        <v>4729</v>
      </c>
      <c r="J78" s="97" t="s">
        <v>12603</v>
      </c>
      <c r="K78" s="97" t="s">
        <v>12604</v>
      </c>
      <c r="L78" s="97" t="s">
        <v>12605</v>
      </c>
      <c r="M78" s="97" t="s">
        <v>12606</v>
      </c>
      <c r="N78" s="93" t="s">
        <v>12334</v>
      </c>
      <c r="O78" s="2" t="s">
        <v>12101</v>
      </c>
      <c r="P78" s="65" t="s">
        <v>12335</v>
      </c>
      <c r="Q78" s="97" t="s">
        <v>1368</v>
      </c>
      <c r="R78" s="119">
        <v>46180</v>
      </c>
      <c r="S78" s="5" t="s">
        <v>12607</v>
      </c>
    </row>
    <row r="79" spans="1:19" ht="55.15">
      <c r="A79" s="2" t="s">
        <v>12608</v>
      </c>
      <c r="B79" s="97" t="s">
        <v>12513</v>
      </c>
      <c r="C79" s="97" t="s">
        <v>12609</v>
      </c>
      <c r="D79" s="314" t="s">
        <v>1368</v>
      </c>
      <c r="E79" s="93" t="s">
        <v>4729</v>
      </c>
      <c r="F79" s="273" t="s">
        <v>1371</v>
      </c>
      <c r="G79" s="2" t="s">
        <v>12097</v>
      </c>
      <c r="H79" s="97" t="s">
        <v>12610</v>
      </c>
      <c r="I79" s="93" t="s">
        <v>4729</v>
      </c>
      <c r="J79" s="97" t="s">
        <v>12611</v>
      </c>
      <c r="K79" s="97" t="s">
        <v>12612</v>
      </c>
      <c r="L79" s="97" t="s">
        <v>12613</v>
      </c>
      <c r="M79" s="97" t="s">
        <v>12614</v>
      </c>
      <c r="N79" s="93" t="s">
        <v>12334</v>
      </c>
      <c r="O79" s="2" t="s">
        <v>12101</v>
      </c>
      <c r="P79" s="65" t="s">
        <v>12335</v>
      </c>
      <c r="Q79" s="97" t="s">
        <v>1368</v>
      </c>
      <c r="R79" s="119">
        <v>46180</v>
      </c>
      <c r="S79" s="5" t="s">
        <v>12615</v>
      </c>
    </row>
    <row r="80" spans="1:19" ht="55.15">
      <c r="A80" s="2" t="s">
        <v>12616</v>
      </c>
      <c r="B80" s="97" t="s">
        <v>12513</v>
      </c>
      <c r="C80" s="97" t="s">
        <v>12617</v>
      </c>
      <c r="D80" s="314" t="s">
        <v>1368</v>
      </c>
      <c r="E80" s="93" t="s">
        <v>4729</v>
      </c>
      <c r="F80" s="273" t="s">
        <v>22</v>
      </c>
      <c r="G80" s="2" t="s">
        <v>12097</v>
      </c>
      <c r="H80" s="97" t="s">
        <v>12618</v>
      </c>
      <c r="I80" s="93" t="s">
        <v>4729</v>
      </c>
      <c r="J80" s="97" t="s">
        <v>12619</v>
      </c>
      <c r="K80" s="97" t="s">
        <v>12620</v>
      </c>
      <c r="L80" s="97" t="s">
        <v>12621</v>
      </c>
      <c r="M80" s="97" t="s">
        <v>12622</v>
      </c>
      <c r="N80" s="93" t="s">
        <v>12334</v>
      </c>
      <c r="O80" s="2" t="s">
        <v>12101</v>
      </c>
      <c r="P80" s="65" t="s">
        <v>12335</v>
      </c>
      <c r="Q80" s="97" t="s">
        <v>1368</v>
      </c>
      <c r="R80" s="119">
        <v>46180</v>
      </c>
      <c r="S80" s="5" t="s">
        <v>12623</v>
      </c>
    </row>
    <row r="81" spans="1:19" ht="43.15">
      <c r="A81" s="2" t="s">
        <v>12624</v>
      </c>
      <c r="B81" s="97" t="s">
        <v>12513</v>
      </c>
      <c r="C81" s="97" t="s">
        <v>12625</v>
      </c>
      <c r="D81" s="314" t="s">
        <v>1368</v>
      </c>
      <c r="E81" s="93" t="s">
        <v>4729</v>
      </c>
      <c r="F81" s="273" t="s">
        <v>22</v>
      </c>
      <c r="G81" s="2" t="s">
        <v>12097</v>
      </c>
      <c r="H81" s="97" t="s">
        <v>12626</v>
      </c>
      <c r="I81" s="93" t="s">
        <v>4729</v>
      </c>
      <c r="J81" s="97" t="s">
        <v>12627</v>
      </c>
      <c r="K81" s="97" t="s">
        <v>12628</v>
      </c>
      <c r="L81" s="97" t="s">
        <v>12629</v>
      </c>
      <c r="M81" s="97" t="s">
        <v>12630</v>
      </c>
      <c r="N81" s="93" t="s">
        <v>12334</v>
      </c>
      <c r="O81" s="2" t="s">
        <v>12101</v>
      </c>
      <c r="P81" s="65" t="s">
        <v>12335</v>
      </c>
      <c r="Q81" s="97" t="s">
        <v>1368</v>
      </c>
      <c r="R81" s="119">
        <v>46180</v>
      </c>
      <c r="S81" s="5" t="s">
        <v>12631</v>
      </c>
    </row>
    <row r="82" spans="1:19" ht="43.15">
      <c r="A82" s="2" t="s">
        <v>12632</v>
      </c>
      <c r="B82" s="97" t="s">
        <v>12513</v>
      </c>
      <c r="C82" s="97" t="s">
        <v>12633</v>
      </c>
      <c r="D82" s="314" t="s">
        <v>1368</v>
      </c>
      <c r="E82" s="93" t="s">
        <v>4729</v>
      </c>
      <c r="F82" s="273" t="s">
        <v>22</v>
      </c>
      <c r="G82" s="2" t="s">
        <v>12097</v>
      </c>
      <c r="H82" s="97" t="s">
        <v>12634</v>
      </c>
      <c r="I82" s="93" t="s">
        <v>4729</v>
      </c>
      <c r="J82" s="97" t="s">
        <v>12635</v>
      </c>
      <c r="K82" s="97" t="s">
        <v>12636</v>
      </c>
      <c r="L82" s="97" t="s">
        <v>12637</v>
      </c>
      <c r="M82" s="97" t="s">
        <v>12638</v>
      </c>
      <c r="N82" s="93" t="s">
        <v>12334</v>
      </c>
      <c r="O82" s="2" t="s">
        <v>12101</v>
      </c>
      <c r="P82" s="65" t="s">
        <v>12335</v>
      </c>
      <c r="Q82" s="97" t="s">
        <v>1368</v>
      </c>
      <c r="R82" s="119">
        <v>46180</v>
      </c>
      <c r="S82" s="5" t="s">
        <v>12639</v>
      </c>
    </row>
    <row r="83" spans="1:19" ht="69">
      <c r="A83" s="2" t="s">
        <v>12640</v>
      </c>
      <c r="B83" s="97" t="s">
        <v>12641</v>
      </c>
      <c r="C83" s="97" t="s">
        <v>12642</v>
      </c>
      <c r="D83" s="314" t="s">
        <v>1368</v>
      </c>
      <c r="E83" s="93" t="s">
        <v>5018</v>
      </c>
      <c r="F83" s="273" t="s">
        <v>22</v>
      </c>
      <c r="G83" s="2" t="s">
        <v>12097</v>
      </c>
      <c r="H83" s="97" t="s">
        <v>12643</v>
      </c>
      <c r="I83" s="93" t="s">
        <v>5018</v>
      </c>
      <c r="J83" s="97" t="s">
        <v>12644</v>
      </c>
      <c r="K83" s="97" t="s">
        <v>12645</v>
      </c>
      <c r="L83" s="97" t="s">
        <v>12646</v>
      </c>
      <c r="M83" s="97" t="s">
        <v>12647</v>
      </c>
      <c r="N83" s="93" t="s">
        <v>12334</v>
      </c>
      <c r="O83" s="2" t="s">
        <v>12101</v>
      </c>
      <c r="P83" s="65" t="s">
        <v>12335</v>
      </c>
      <c r="Q83" s="97" t="s">
        <v>1368</v>
      </c>
      <c r="R83" s="119">
        <v>46180</v>
      </c>
      <c r="S83" s="5" t="s">
        <v>12648</v>
      </c>
    </row>
    <row r="84" spans="1:19" ht="55.15">
      <c r="A84" s="2" t="s">
        <v>12649</v>
      </c>
      <c r="B84" s="97" t="s">
        <v>12641</v>
      </c>
      <c r="C84" s="97" t="s">
        <v>12650</v>
      </c>
      <c r="D84" s="314" t="s">
        <v>1368</v>
      </c>
      <c r="E84" s="93" t="s">
        <v>5018</v>
      </c>
      <c r="F84" s="273" t="s">
        <v>1371</v>
      </c>
      <c r="G84" s="2" t="s">
        <v>12097</v>
      </c>
      <c r="H84" s="97" t="s">
        <v>12651</v>
      </c>
      <c r="I84" s="93" t="s">
        <v>5018</v>
      </c>
      <c r="J84" s="97" t="s">
        <v>12652</v>
      </c>
      <c r="K84" s="97" t="s">
        <v>12653</v>
      </c>
      <c r="L84" s="97" t="s">
        <v>12654</v>
      </c>
      <c r="M84" s="97" t="s">
        <v>12655</v>
      </c>
      <c r="N84" s="93" t="s">
        <v>12334</v>
      </c>
      <c r="O84" s="2" t="s">
        <v>12101</v>
      </c>
      <c r="P84" s="65" t="s">
        <v>12335</v>
      </c>
      <c r="Q84" s="97" t="s">
        <v>1368</v>
      </c>
      <c r="R84" s="119">
        <v>46180</v>
      </c>
      <c r="S84" s="5" t="s">
        <v>12599</v>
      </c>
    </row>
    <row r="85" spans="1:19" ht="55.15">
      <c r="A85" s="2" t="s">
        <v>12656</v>
      </c>
      <c r="B85" s="97" t="s">
        <v>12657</v>
      </c>
      <c r="C85" s="97" t="s">
        <v>12658</v>
      </c>
      <c r="D85" s="314" t="s">
        <v>1368</v>
      </c>
      <c r="E85" s="93" t="s">
        <v>5018</v>
      </c>
      <c r="F85" s="273" t="s">
        <v>1371</v>
      </c>
      <c r="G85" s="2" t="s">
        <v>12097</v>
      </c>
      <c r="H85" s="97" t="s">
        <v>12659</v>
      </c>
      <c r="I85" s="93" t="s">
        <v>5018</v>
      </c>
      <c r="J85" s="97" t="s">
        <v>12660</v>
      </c>
      <c r="K85" s="97" t="s">
        <v>12661</v>
      </c>
      <c r="L85" s="97" t="s">
        <v>12662</v>
      </c>
      <c r="M85" s="97" t="s">
        <v>12663</v>
      </c>
      <c r="N85" s="93" t="s">
        <v>12334</v>
      </c>
      <c r="O85" s="2" t="s">
        <v>12101</v>
      </c>
      <c r="P85" s="65" t="s">
        <v>12335</v>
      </c>
      <c r="Q85" s="97" t="s">
        <v>1368</v>
      </c>
      <c r="R85" s="119">
        <v>46180</v>
      </c>
      <c r="S85" s="5" t="s">
        <v>12664</v>
      </c>
    </row>
    <row r="86" spans="1:19" ht="43.15">
      <c r="A86" s="2" t="s">
        <v>12665</v>
      </c>
      <c r="B86" s="97" t="s">
        <v>12657</v>
      </c>
      <c r="C86" s="97" t="s">
        <v>12666</v>
      </c>
      <c r="D86" s="314" t="s">
        <v>1368</v>
      </c>
      <c r="E86" s="93" t="s">
        <v>5018</v>
      </c>
      <c r="F86" s="273" t="s">
        <v>1371</v>
      </c>
      <c r="G86" s="2" t="s">
        <v>12097</v>
      </c>
      <c r="H86" s="97" t="s">
        <v>12667</v>
      </c>
      <c r="I86" s="93" t="s">
        <v>5018</v>
      </c>
      <c r="J86" s="97" t="s">
        <v>12668</v>
      </c>
      <c r="K86" s="97" t="s">
        <v>12669</v>
      </c>
      <c r="L86" s="97" t="s">
        <v>12670</v>
      </c>
      <c r="M86" s="97" t="s">
        <v>12614</v>
      </c>
      <c r="N86" s="93" t="s">
        <v>12334</v>
      </c>
      <c r="O86" s="2" t="s">
        <v>12101</v>
      </c>
      <c r="P86" s="65" t="s">
        <v>12335</v>
      </c>
      <c r="Q86" s="97" t="s">
        <v>1368</v>
      </c>
      <c r="R86" s="119">
        <v>46180</v>
      </c>
      <c r="S86" s="5" t="s">
        <v>12671</v>
      </c>
    </row>
    <row r="87" spans="1:19" ht="69">
      <c r="A87" s="2" t="s">
        <v>12672</v>
      </c>
      <c r="B87" s="97" t="s">
        <v>12673</v>
      </c>
      <c r="C87" s="97" t="s">
        <v>12674</v>
      </c>
      <c r="D87" s="314" t="s">
        <v>1368</v>
      </c>
      <c r="E87" s="93" t="s">
        <v>5497</v>
      </c>
      <c r="F87" s="273" t="s">
        <v>1371</v>
      </c>
      <c r="G87" s="2" t="s">
        <v>12097</v>
      </c>
      <c r="H87" s="97" t="s">
        <v>12675</v>
      </c>
      <c r="I87" s="93" t="s">
        <v>5497</v>
      </c>
      <c r="J87" s="97" t="s">
        <v>12676</v>
      </c>
      <c r="K87" s="97" t="s">
        <v>12525</v>
      </c>
      <c r="L87" s="97" t="s">
        <v>12677</v>
      </c>
      <c r="M87" s="97" t="s">
        <v>12527</v>
      </c>
      <c r="N87" s="93" t="s">
        <v>12334</v>
      </c>
      <c r="O87" s="2" t="s">
        <v>12101</v>
      </c>
      <c r="P87" s="65" t="s">
        <v>12335</v>
      </c>
      <c r="Q87" s="97" t="s">
        <v>1368</v>
      </c>
      <c r="R87" s="119">
        <v>46180</v>
      </c>
      <c r="S87" s="5" t="s">
        <v>12678</v>
      </c>
    </row>
    <row r="88" spans="1:19" s="5" customFormat="1" ht="55.15">
      <c r="A88" s="2" t="s">
        <v>12679</v>
      </c>
      <c r="B88" s="97" t="s">
        <v>12680</v>
      </c>
      <c r="C88" s="97" t="s">
        <v>12681</v>
      </c>
      <c r="D88" s="314" t="s">
        <v>1368</v>
      </c>
      <c r="E88" s="93" t="s">
        <v>5497</v>
      </c>
      <c r="F88" s="273" t="s">
        <v>22</v>
      </c>
      <c r="G88" s="2" t="s">
        <v>12097</v>
      </c>
      <c r="H88" s="97" t="s">
        <v>12682</v>
      </c>
      <c r="I88" s="93" t="s">
        <v>5497</v>
      </c>
      <c r="J88" s="97" t="s">
        <v>12683</v>
      </c>
      <c r="K88" s="97" t="s">
        <v>12684</v>
      </c>
      <c r="L88" s="97" t="s">
        <v>12685</v>
      </c>
      <c r="M88" s="97" t="s">
        <v>12686</v>
      </c>
      <c r="N88" s="93" t="s">
        <v>12334</v>
      </c>
      <c r="O88" s="2" t="s">
        <v>12101</v>
      </c>
      <c r="P88" s="65" t="s">
        <v>12335</v>
      </c>
      <c r="Q88" s="97" t="s">
        <v>1368</v>
      </c>
      <c r="R88" s="120">
        <v>46180</v>
      </c>
      <c r="S88" s="5" t="s">
        <v>12687</v>
      </c>
    </row>
    <row r="89" spans="1:19" s="5" customFormat="1" ht="55.15">
      <c r="A89" s="2" t="s">
        <v>12688</v>
      </c>
      <c r="B89" s="97" t="s">
        <v>12689</v>
      </c>
      <c r="C89" s="97" t="s">
        <v>12690</v>
      </c>
      <c r="D89" s="314" t="s">
        <v>1368</v>
      </c>
      <c r="E89" s="93" t="s">
        <v>5497</v>
      </c>
      <c r="F89" s="273" t="s">
        <v>22</v>
      </c>
      <c r="G89" s="2" t="s">
        <v>12097</v>
      </c>
      <c r="H89" s="97" t="s">
        <v>12691</v>
      </c>
      <c r="I89" s="93" t="s">
        <v>5497</v>
      </c>
      <c r="J89" s="97" t="s">
        <v>12692</v>
      </c>
      <c r="K89" s="97" t="s">
        <v>12693</v>
      </c>
      <c r="L89" s="97" t="s">
        <v>12694</v>
      </c>
      <c r="M89" s="97" t="s">
        <v>12695</v>
      </c>
      <c r="N89" s="93" t="s">
        <v>12334</v>
      </c>
      <c r="O89" s="2" t="s">
        <v>12101</v>
      </c>
      <c r="P89" s="65" t="s">
        <v>12335</v>
      </c>
      <c r="Q89" s="97" t="s">
        <v>1368</v>
      </c>
      <c r="R89" s="120">
        <v>46180</v>
      </c>
      <c r="S89" s="5" t="s">
        <v>12696</v>
      </c>
    </row>
    <row r="90" spans="1:19" s="5" customFormat="1" ht="43.15">
      <c r="A90" s="2" t="s">
        <v>12697</v>
      </c>
      <c r="B90" s="97" t="s">
        <v>12698</v>
      </c>
      <c r="C90" s="97" t="s">
        <v>12699</v>
      </c>
      <c r="D90" s="314" t="s">
        <v>1404</v>
      </c>
      <c r="E90" s="93" t="s">
        <v>12700</v>
      </c>
      <c r="F90" s="273" t="s">
        <v>22</v>
      </c>
      <c r="G90" s="2" t="s">
        <v>12097</v>
      </c>
      <c r="H90" s="97" t="s">
        <v>12701</v>
      </c>
      <c r="I90" s="93" t="s">
        <v>12700</v>
      </c>
      <c r="J90" s="97" t="s">
        <v>12702</v>
      </c>
      <c r="K90" s="97" t="s">
        <v>12703</v>
      </c>
      <c r="L90" s="97" t="s">
        <v>12704</v>
      </c>
      <c r="M90" s="97" t="s">
        <v>12705</v>
      </c>
      <c r="N90" s="93" t="s">
        <v>12334</v>
      </c>
      <c r="O90" s="2" t="s">
        <v>12101</v>
      </c>
      <c r="P90" s="65" t="s">
        <v>12335</v>
      </c>
      <c r="Q90" s="97" t="s">
        <v>1404</v>
      </c>
      <c r="R90" s="120">
        <v>46180</v>
      </c>
      <c r="S90" s="5" t="s">
        <v>12706</v>
      </c>
    </row>
    <row r="91" spans="1:19" ht="129.6">
      <c r="A91" s="2" t="s">
        <v>12707</v>
      </c>
      <c r="B91" s="65" t="s">
        <v>12708</v>
      </c>
      <c r="C91" s="65" t="s">
        <v>12709</v>
      </c>
      <c r="D91" s="70" t="s">
        <v>1415</v>
      </c>
      <c r="E91" s="64" t="s">
        <v>1649</v>
      </c>
      <c r="F91" s="271" t="s">
        <v>22</v>
      </c>
      <c r="G91" s="64" t="s">
        <v>12097</v>
      </c>
      <c r="H91" s="295" t="s">
        <v>1649</v>
      </c>
      <c r="I91" s="64" t="s">
        <v>5790</v>
      </c>
      <c r="J91" s="65" t="s">
        <v>12710</v>
      </c>
      <c r="K91" s="65" t="s">
        <v>12711</v>
      </c>
      <c r="L91" s="65" t="s">
        <v>12712</v>
      </c>
      <c r="M91" s="65" t="s">
        <v>12713</v>
      </c>
      <c r="N91" s="102" t="s">
        <v>1649</v>
      </c>
      <c r="O91" s="103" t="s">
        <v>12101</v>
      </c>
      <c r="P91" s="65" t="s">
        <v>1415</v>
      </c>
      <c r="Q91" s="65" t="s">
        <v>1415</v>
      </c>
      <c r="R91" s="64" t="s">
        <v>1649</v>
      </c>
      <c r="S91" s="64" t="s">
        <v>12714</v>
      </c>
    </row>
    <row r="92" spans="1:19" ht="72">
      <c r="A92" s="2" t="s">
        <v>12715</v>
      </c>
      <c r="B92" s="65" t="s">
        <v>12708</v>
      </c>
      <c r="C92" s="65" t="s">
        <v>12716</v>
      </c>
      <c r="D92" s="70" t="s">
        <v>1415</v>
      </c>
      <c r="E92" s="64" t="s">
        <v>1649</v>
      </c>
      <c r="F92" s="271" t="s">
        <v>1481</v>
      </c>
      <c r="G92" s="64" t="s">
        <v>12097</v>
      </c>
      <c r="H92" s="65" t="s">
        <v>1649</v>
      </c>
      <c r="I92" s="64" t="s">
        <v>5790</v>
      </c>
      <c r="J92" s="65" t="s">
        <v>12717</v>
      </c>
      <c r="K92" s="65" t="s">
        <v>12718</v>
      </c>
      <c r="L92" s="65" t="s">
        <v>12719</v>
      </c>
      <c r="M92" s="65" t="s">
        <v>12720</v>
      </c>
      <c r="N92" s="64" t="s">
        <v>1649</v>
      </c>
      <c r="O92" s="103" t="s">
        <v>12101</v>
      </c>
      <c r="P92" s="65" t="s">
        <v>1415</v>
      </c>
      <c r="Q92" s="65" t="s">
        <v>1415</v>
      </c>
      <c r="R92" s="64" t="s">
        <v>1649</v>
      </c>
      <c r="S92" s="64" t="s">
        <v>12721</v>
      </c>
    </row>
    <row r="93" spans="1:19" ht="96.6">
      <c r="A93" s="2" t="s">
        <v>12722</v>
      </c>
      <c r="B93" s="95" t="s">
        <v>12708</v>
      </c>
      <c r="C93" s="95" t="s">
        <v>12723</v>
      </c>
      <c r="D93" s="70" t="s">
        <v>1415</v>
      </c>
      <c r="E93" s="92" t="s">
        <v>1649</v>
      </c>
      <c r="F93" s="273" t="s">
        <v>22</v>
      </c>
      <c r="G93" s="64" t="s">
        <v>12097</v>
      </c>
      <c r="H93" s="95" t="s">
        <v>1649</v>
      </c>
      <c r="I93" s="92" t="s">
        <v>5790</v>
      </c>
      <c r="J93" s="95" t="s">
        <v>12724</v>
      </c>
      <c r="K93" s="95" t="s">
        <v>12725</v>
      </c>
      <c r="L93" s="95" t="s">
        <v>12726</v>
      </c>
      <c r="M93" s="95" t="s">
        <v>12727</v>
      </c>
      <c r="N93" s="92" t="s">
        <v>1649</v>
      </c>
      <c r="O93" s="103" t="s">
        <v>12101</v>
      </c>
      <c r="P93" s="65" t="s">
        <v>1415</v>
      </c>
      <c r="Q93" s="65" t="s">
        <v>1415</v>
      </c>
      <c r="R93" s="64" t="s">
        <v>1649</v>
      </c>
      <c r="S93" s="64" t="s">
        <v>12728</v>
      </c>
    </row>
    <row r="94" spans="1:19" ht="82.9">
      <c r="A94" s="2" t="s">
        <v>12729</v>
      </c>
      <c r="B94" s="95" t="s">
        <v>12708</v>
      </c>
      <c r="C94" s="95" t="s">
        <v>12730</v>
      </c>
      <c r="D94" s="70" t="s">
        <v>1415</v>
      </c>
      <c r="E94" s="92" t="s">
        <v>1649</v>
      </c>
      <c r="F94" s="273" t="s">
        <v>1481</v>
      </c>
      <c r="G94" s="64" t="s">
        <v>12097</v>
      </c>
      <c r="H94" s="95" t="s">
        <v>1649</v>
      </c>
      <c r="I94" s="92" t="s">
        <v>5790</v>
      </c>
      <c r="J94" s="95" t="s">
        <v>12731</v>
      </c>
      <c r="K94" s="95" t="s">
        <v>12732</v>
      </c>
      <c r="L94" s="95" t="s">
        <v>12733</v>
      </c>
      <c r="M94" s="95" t="s">
        <v>12734</v>
      </c>
      <c r="N94" s="92" t="s">
        <v>1649</v>
      </c>
      <c r="O94" s="103" t="s">
        <v>12101</v>
      </c>
      <c r="P94" s="65" t="s">
        <v>1415</v>
      </c>
      <c r="Q94" s="65" t="s">
        <v>1415</v>
      </c>
      <c r="R94" s="64" t="s">
        <v>1649</v>
      </c>
      <c r="S94" s="64" t="s">
        <v>12735</v>
      </c>
    </row>
    <row r="95" spans="1:19" ht="82.9">
      <c r="A95" s="2" t="s">
        <v>12736</v>
      </c>
      <c r="B95" s="95" t="s">
        <v>12708</v>
      </c>
      <c r="C95" s="95" t="s">
        <v>12737</v>
      </c>
      <c r="D95" s="70" t="s">
        <v>1415</v>
      </c>
      <c r="E95" s="92" t="s">
        <v>1649</v>
      </c>
      <c r="F95" s="273" t="s">
        <v>1481</v>
      </c>
      <c r="G95" s="64" t="s">
        <v>12097</v>
      </c>
      <c r="H95" s="95" t="s">
        <v>1649</v>
      </c>
      <c r="I95" s="92" t="s">
        <v>5790</v>
      </c>
      <c r="J95" s="95" t="s">
        <v>12738</v>
      </c>
      <c r="K95" s="95" t="s">
        <v>12739</v>
      </c>
      <c r="L95" s="95" t="s">
        <v>12740</v>
      </c>
      <c r="M95" s="95" t="s">
        <v>12741</v>
      </c>
      <c r="N95" s="92" t="s">
        <v>1649</v>
      </c>
      <c r="O95" s="103" t="s">
        <v>12101</v>
      </c>
      <c r="P95" s="65" t="s">
        <v>1415</v>
      </c>
      <c r="Q95" s="65" t="s">
        <v>1415</v>
      </c>
      <c r="R95" s="64" t="s">
        <v>1649</v>
      </c>
      <c r="S95" s="64" t="s">
        <v>12742</v>
      </c>
    </row>
    <row r="96" spans="1:19" ht="179.45">
      <c r="A96" s="2" t="s">
        <v>12743</v>
      </c>
      <c r="B96" s="97" t="s">
        <v>12708</v>
      </c>
      <c r="C96" s="97" t="s">
        <v>12744</v>
      </c>
      <c r="D96" s="70" t="s">
        <v>1415</v>
      </c>
      <c r="E96" s="93" t="s">
        <v>1649</v>
      </c>
      <c r="F96" s="273" t="s">
        <v>1371</v>
      </c>
      <c r="G96" s="64" t="s">
        <v>12097</v>
      </c>
      <c r="H96" s="97" t="s">
        <v>1649</v>
      </c>
      <c r="I96" s="93" t="s">
        <v>5790</v>
      </c>
      <c r="J96" s="97" t="s">
        <v>12745</v>
      </c>
      <c r="K96" s="97" t="s">
        <v>12746</v>
      </c>
      <c r="L96" s="97" t="s">
        <v>12747</v>
      </c>
      <c r="M96" s="97" t="s">
        <v>12748</v>
      </c>
      <c r="N96" s="93" t="s">
        <v>1649</v>
      </c>
      <c r="O96" s="103" t="s">
        <v>12101</v>
      </c>
      <c r="P96" s="65" t="s">
        <v>1415</v>
      </c>
      <c r="Q96" s="65" t="s">
        <v>1415</v>
      </c>
      <c r="R96" s="64" t="s">
        <v>1649</v>
      </c>
      <c r="S96" s="64" t="s">
        <v>12749</v>
      </c>
    </row>
    <row r="97" spans="1:20" ht="124.15">
      <c r="A97" s="2" t="s">
        <v>12750</v>
      </c>
      <c r="B97" s="97" t="s">
        <v>12751</v>
      </c>
      <c r="C97" s="97" t="s">
        <v>12752</v>
      </c>
      <c r="D97" s="70" t="s">
        <v>1415</v>
      </c>
      <c r="E97" s="93" t="s">
        <v>1649</v>
      </c>
      <c r="F97" s="273" t="s">
        <v>1481</v>
      </c>
      <c r="G97" s="64" t="s">
        <v>12097</v>
      </c>
      <c r="H97" s="97" t="s">
        <v>1649</v>
      </c>
      <c r="I97" s="93" t="s">
        <v>12753</v>
      </c>
      <c r="J97" s="97" t="s">
        <v>12754</v>
      </c>
      <c r="K97" s="97" t="s">
        <v>12755</v>
      </c>
      <c r="L97" s="97" t="s">
        <v>12756</v>
      </c>
      <c r="M97" s="97" t="s">
        <v>12757</v>
      </c>
      <c r="N97" s="93" t="s">
        <v>1649</v>
      </c>
      <c r="O97" s="103" t="s">
        <v>12101</v>
      </c>
      <c r="P97" s="65" t="s">
        <v>1415</v>
      </c>
      <c r="Q97" s="65" t="s">
        <v>1415</v>
      </c>
      <c r="R97" s="64" t="s">
        <v>1649</v>
      </c>
      <c r="S97" s="64" t="s">
        <v>12758</v>
      </c>
    </row>
    <row r="98" spans="1:20" ht="165.6">
      <c r="A98" s="2" t="s">
        <v>12759</v>
      </c>
      <c r="B98" s="97" t="s">
        <v>12751</v>
      </c>
      <c r="C98" s="97" t="s">
        <v>12760</v>
      </c>
      <c r="D98" s="70" t="s">
        <v>1415</v>
      </c>
      <c r="E98" s="93" t="s">
        <v>1649</v>
      </c>
      <c r="F98" s="273" t="s">
        <v>1371</v>
      </c>
      <c r="G98" s="64" t="s">
        <v>12097</v>
      </c>
      <c r="H98" s="97" t="s">
        <v>1649</v>
      </c>
      <c r="I98" s="93" t="s">
        <v>12753</v>
      </c>
      <c r="J98" s="97" t="s">
        <v>12761</v>
      </c>
      <c r="K98" s="97" t="s">
        <v>12762</v>
      </c>
      <c r="L98" s="97" t="s">
        <v>12763</v>
      </c>
      <c r="M98" s="97" t="s">
        <v>12764</v>
      </c>
      <c r="N98" s="93" t="s">
        <v>1649</v>
      </c>
      <c r="O98" s="103" t="s">
        <v>12101</v>
      </c>
      <c r="P98" s="65" t="s">
        <v>1415</v>
      </c>
      <c r="Q98" s="65" t="s">
        <v>1415</v>
      </c>
      <c r="R98" s="64" t="s">
        <v>1649</v>
      </c>
      <c r="S98" s="64" t="s">
        <v>12765</v>
      </c>
    </row>
    <row r="99" spans="1:20" ht="110.45">
      <c r="A99" s="2" t="s">
        <v>12766</v>
      </c>
      <c r="B99" s="97" t="s">
        <v>12751</v>
      </c>
      <c r="C99" s="97" t="s">
        <v>12767</v>
      </c>
      <c r="D99" s="70" t="s">
        <v>1415</v>
      </c>
      <c r="E99" s="93" t="s">
        <v>1649</v>
      </c>
      <c r="F99" s="273" t="s">
        <v>1481</v>
      </c>
      <c r="G99" s="64" t="s">
        <v>12097</v>
      </c>
      <c r="H99" s="97" t="s">
        <v>1649</v>
      </c>
      <c r="I99" s="93" t="s">
        <v>12753</v>
      </c>
      <c r="J99" s="97" t="s">
        <v>12768</v>
      </c>
      <c r="K99" s="97" t="s">
        <v>12769</v>
      </c>
      <c r="L99" s="97" t="s">
        <v>12770</v>
      </c>
      <c r="M99" s="97" t="s">
        <v>12771</v>
      </c>
      <c r="N99" s="93" t="s">
        <v>1649</v>
      </c>
      <c r="O99" s="103" t="s">
        <v>12101</v>
      </c>
      <c r="P99" s="65" t="s">
        <v>1415</v>
      </c>
      <c r="Q99" s="65" t="s">
        <v>1415</v>
      </c>
      <c r="R99" s="64" t="s">
        <v>1649</v>
      </c>
      <c r="S99" s="64" t="s">
        <v>12772</v>
      </c>
    </row>
    <row r="100" spans="1:20" ht="110.45">
      <c r="A100" s="2" t="s">
        <v>12773</v>
      </c>
      <c r="B100" s="97" t="s">
        <v>12774</v>
      </c>
      <c r="C100" s="97" t="s">
        <v>12775</v>
      </c>
      <c r="D100" s="70" t="s">
        <v>1415</v>
      </c>
      <c r="E100" s="93" t="s">
        <v>1649</v>
      </c>
      <c r="F100" s="273" t="s">
        <v>1371</v>
      </c>
      <c r="G100" s="64" t="s">
        <v>12097</v>
      </c>
      <c r="H100" s="97" t="s">
        <v>1649</v>
      </c>
      <c r="I100" s="93" t="s">
        <v>12776</v>
      </c>
      <c r="J100" s="97" t="s">
        <v>12777</v>
      </c>
      <c r="K100" s="97" t="s">
        <v>12778</v>
      </c>
      <c r="L100" s="97" t="s">
        <v>12779</v>
      </c>
      <c r="M100" s="97" t="s">
        <v>12780</v>
      </c>
      <c r="N100" s="93" t="s">
        <v>1649</v>
      </c>
      <c r="O100" s="103" t="s">
        <v>12101</v>
      </c>
      <c r="P100" s="65" t="s">
        <v>1415</v>
      </c>
      <c r="Q100" s="65" t="s">
        <v>1415</v>
      </c>
      <c r="R100" s="64" t="s">
        <v>1649</v>
      </c>
      <c r="S100" s="64" t="s">
        <v>12781</v>
      </c>
    </row>
    <row r="101" spans="1:20" ht="110.45">
      <c r="A101" s="2" t="s">
        <v>12782</v>
      </c>
      <c r="B101" s="97" t="s">
        <v>12774</v>
      </c>
      <c r="C101" s="97" t="s">
        <v>12783</v>
      </c>
      <c r="D101" s="70" t="s">
        <v>1415</v>
      </c>
      <c r="E101" s="93" t="s">
        <v>1649</v>
      </c>
      <c r="F101" s="273" t="s">
        <v>1371</v>
      </c>
      <c r="G101" s="64" t="s">
        <v>12097</v>
      </c>
      <c r="H101" s="97" t="s">
        <v>1649</v>
      </c>
      <c r="I101" s="93" t="s">
        <v>12776</v>
      </c>
      <c r="J101" s="97" t="s">
        <v>12784</v>
      </c>
      <c r="K101" s="97" t="s">
        <v>12785</v>
      </c>
      <c r="L101" s="97" t="s">
        <v>12786</v>
      </c>
      <c r="M101" s="97" t="s">
        <v>12787</v>
      </c>
      <c r="N101" s="93" t="s">
        <v>1649</v>
      </c>
      <c r="O101" s="103" t="s">
        <v>12101</v>
      </c>
      <c r="P101" s="65" t="s">
        <v>1415</v>
      </c>
      <c r="Q101" s="65" t="s">
        <v>1415</v>
      </c>
      <c r="R101" s="64" t="s">
        <v>1649</v>
      </c>
      <c r="S101" s="64" t="s">
        <v>12788</v>
      </c>
    </row>
    <row r="102" spans="1:20" ht="72">
      <c r="A102" s="2" t="s">
        <v>12789</v>
      </c>
      <c r="B102" s="21" t="s">
        <v>12790</v>
      </c>
      <c r="C102" s="2" t="s">
        <v>12791</v>
      </c>
      <c r="D102" s="6" t="s">
        <v>1425</v>
      </c>
      <c r="E102" t="s">
        <v>12792</v>
      </c>
      <c r="F102" s="291" t="s">
        <v>22</v>
      </c>
      <c r="G102" t="s">
        <v>12793</v>
      </c>
      <c r="H102" s="21" t="s">
        <v>12794</v>
      </c>
      <c r="I102" t="s">
        <v>12792</v>
      </c>
      <c r="J102" s="2" t="s">
        <v>12795</v>
      </c>
      <c r="K102" s="2" t="s">
        <v>12796</v>
      </c>
      <c r="L102" s="2" t="s">
        <v>12797</v>
      </c>
      <c r="M102" s="2" t="s">
        <v>12798</v>
      </c>
      <c r="N102" s="5" t="s">
        <v>12799</v>
      </c>
      <c r="O102" s="5" t="s">
        <v>12334</v>
      </c>
      <c r="P102" s="21" t="s">
        <v>12101</v>
      </c>
      <c r="Q102" s="21" t="s">
        <v>12335</v>
      </c>
      <c r="R102" t="s">
        <v>1425</v>
      </c>
      <c r="S102" s="119">
        <v>46180</v>
      </c>
      <c r="T102" s="5" t="s">
        <v>12800</v>
      </c>
    </row>
    <row r="103" spans="1:20" ht="72">
      <c r="A103" s="2" t="s">
        <v>12801</v>
      </c>
      <c r="B103" s="21" t="s">
        <v>12802</v>
      </c>
      <c r="C103" s="2" t="s">
        <v>12803</v>
      </c>
      <c r="D103" s="6" t="s">
        <v>1425</v>
      </c>
      <c r="E103" t="s">
        <v>12792</v>
      </c>
      <c r="F103" s="291" t="s">
        <v>22</v>
      </c>
      <c r="G103" t="s">
        <v>12793</v>
      </c>
      <c r="H103" s="21" t="s">
        <v>12804</v>
      </c>
      <c r="I103" t="s">
        <v>12792</v>
      </c>
      <c r="J103" s="2" t="s">
        <v>12805</v>
      </c>
      <c r="K103" s="2" t="s">
        <v>12806</v>
      </c>
      <c r="L103" s="2" t="s">
        <v>12807</v>
      </c>
      <c r="M103" s="2" t="s">
        <v>12808</v>
      </c>
      <c r="N103" s="5" t="s">
        <v>12809</v>
      </c>
      <c r="O103" s="5" t="s">
        <v>12334</v>
      </c>
      <c r="P103" s="21" t="s">
        <v>12101</v>
      </c>
      <c r="Q103" s="21" t="s">
        <v>12335</v>
      </c>
      <c r="R103" t="s">
        <v>1425</v>
      </c>
      <c r="S103" s="119">
        <v>46180</v>
      </c>
      <c r="T103" s="5" t="s">
        <v>12810</v>
      </c>
    </row>
    <row r="104" spans="1:20" ht="43.15">
      <c r="A104" s="2" t="s">
        <v>12811</v>
      </c>
      <c r="B104" s="21" t="s">
        <v>12802</v>
      </c>
      <c r="C104" s="21" t="s">
        <v>12812</v>
      </c>
      <c r="D104" s="6" t="s">
        <v>1425</v>
      </c>
      <c r="E104" t="s">
        <v>12792</v>
      </c>
      <c r="F104" s="291" t="s">
        <v>1371</v>
      </c>
      <c r="G104" t="s">
        <v>12793</v>
      </c>
      <c r="H104" s="21" t="s">
        <v>12813</v>
      </c>
      <c r="I104" t="s">
        <v>12792</v>
      </c>
      <c r="J104" s="2" t="s">
        <v>12814</v>
      </c>
      <c r="K104" s="2" t="s">
        <v>12815</v>
      </c>
      <c r="L104" s="2" t="s">
        <v>12816</v>
      </c>
      <c r="M104" s="2" t="s">
        <v>12817</v>
      </c>
      <c r="N104" s="5" t="s">
        <v>12334</v>
      </c>
      <c r="O104" t="s">
        <v>12101</v>
      </c>
      <c r="P104" s="21" t="s">
        <v>12335</v>
      </c>
      <c r="Q104" s="21" t="s">
        <v>1425</v>
      </c>
      <c r="R104" s="119">
        <v>46180</v>
      </c>
      <c r="S104" s="5" t="s">
        <v>12818</v>
      </c>
    </row>
    <row r="105" spans="1:20" ht="57.6">
      <c r="A105" s="2" t="s">
        <v>12819</v>
      </c>
      <c r="B105" s="21" t="s">
        <v>12802</v>
      </c>
      <c r="C105" s="2" t="s">
        <v>12820</v>
      </c>
      <c r="D105" s="6" t="s">
        <v>1425</v>
      </c>
      <c r="E105" t="s">
        <v>12792</v>
      </c>
      <c r="F105" s="291" t="s">
        <v>22</v>
      </c>
      <c r="G105" t="s">
        <v>12793</v>
      </c>
      <c r="H105" s="21" t="s">
        <v>12821</v>
      </c>
      <c r="I105" t="s">
        <v>12792</v>
      </c>
      <c r="J105" s="2" t="s">
        <v>12822</v>
      </c>
      <c r="K105" s="2" t="s">
        <v>12823</v>
      </c>
      <c r="L105" s="2" t="s">
        <v>12824</v>
      </c>
      <c r="M105" s="2" t="s">
        <v>12825</v>
      </c>
      <c r="N105" s="5" t="s">
        <v>12826</v>
      </c>
      <c r="O105" s="5" t="s">
        <v>12334</v>
      </c>
      <c r="P105" s="21" t="s">
        <v>12101</v>
      </c>
      <c r="Q105" s="21" t="s">
        <v>12335</v>
      </c>
      <c r="R105" t="s">
        <v>1425</v>
      </c>
      <c r="S105" s="119">
        <v>46180</v>
      </c>
      <c r="T105" s="5" t="s">
        <v>12827</v>
      </c>
    </row>
    <row r="106" spans="1:20" ht="57.6">
      <c r="A106" s="2" t="s">
        <v>12828</v>
      </c>
      <c r="B106" s="21" t="s">
        <v>12829</v>
      </c>
      <c r="C106" s="21" t="s">
        <v>12830</v>
      </c>
      <c r="D106" s="6" t="s">
        <v>1425</v>
      </c>
      <c r="E106" t="s">
        <v>12831</v>
      </c>
      <c r="F106" s="291" t="s">
        <v>22</v>
      </c>
      <c r="G106" t="s">
        <v>12793</v>
      </c>
      <c r="H106" s="21" t="s">
        <v>4159</v>
      </c>
      <c r="I106" t="s">
        <v>12831</v>
      </c>
      <c r="J106" s="2" t="s">
        <v>12832</v>
      </c>
      <c r="K106" s="2" t="s">
        <v>12833</v>
      </c>
      <c r="L106" s="2" t="s">
        <v>12834</v>
      </c>
      <c r="M106" s="2" t="s">
        <v>12835</v>
      </c>
      <c r="N106" s="5" t="s">
        <v>12334</v>
      </c>
      <c r="O106" t="s">
        <v>12101</v>
      </c>
      <c r="P106" s="21" t="s">
        <v>12335</v>
      </c>
      <c r="Q106" s="21" t="s">
        <v>12836</v>
      </c>
      <c r="R106" s="119">
        <v>46180</v>
      </c>
      <c r="S106" s="5" t="s">
        <v>12837</v>
      </c>
    </row>
    <row r="107" spans="1:20" ht="69">
      <c r="A107" s="2" t="s">
        <v>12838</v>
      </c>
      <c r="B107" s="97" t="s">
        <v>12839</v>
      </c>
      <c r="C107" s="97" t="s">
        <v>7117</v>
      </c>
      <c r="D107" s="314" t="s">
        <v>1368</v>
      </c>
      <c r="E107" s="97" t="s">
        <v>12840</v>
      </c>
      <c r="F107" s="273" t="s">
        <v>22</v>
      </c>
      <c r="G107" s="2" t="s">
        <v>12097</v>
      </c>
      <c r="H107" s="97" t="s">
        <v>7614</v>
      </c>
      <c r="I107" s="97" t="s">
        <v>12840</v>
      </c>
      <c r="J107" s="97" t="s">
        <v>12841</v>
      </c>
      <c r="K107" s="97" t="s">
        <v>12842</v>
      </c>
      <c r="L107" s="97" t="s">
        <v>12843</v>
      </c>
      <c r="M107" s="97" t="s">
        <v>12844</v>
      </c>
      <c r="N107" s="97" t="s">
        <v>12334</v>
      </c>
      <c r="O107" s="2" t="s">
        <v>12101</v>
      </c>
      <c r="P107" s="65" t="s">
        <v>12335</v>
      </c>
      <c r="Q107" s="97" t="s">
        <v>1368</v>
      </c>
      <c r="R107" s="126">
        <v>46180</v>
      </c>
      <c r="S107" s="2" t="s">
        <v>12845</v>
      </c>
    </row>
    <row r="108" spans="1:20" ht="55.15">
      <c r="A108" s="2" t="s">
        <v>12846</v>
      </c>
      <c r="B108" s="97" t="s">
        <v>12839</v>
      </c>
      <c r="C108" s="97" t="s">
        <v>12847</v>
      </c>
      <c r="D108" s="314" t="s">
        <v>1368</v>
      </c>
      <c r="E108" s="97" t="s">
        <v>12848</v>
      </c>
      <c r="F108" s="273" t="s">
        <v>22</v>
      </c>
      <c r="G108" s="2" t="s">
        <v>12097</v>
      </c>
      <c r="H108" s="97" t="s">
        <v>7630</v>
      </c>
      <c r="I108" s="97" t="s">
        <v>12848</v>
      </c>
      <c r="J108" s="97" t="s">
        <v>12849</v>
      </c>
      <c r="K108" s="97" t="s">
        <v>12850</v>
      </c>
      <c r="L108" s="97" t="s">
        <v>12332</v>
      </c>
      <c r="M108" s="97" t="s">
        <v>12333</v>
      </c>
      <c r="N108" s="97" t="s">
        <v>12334</v>
      </c>
      <c r="O108" s="2" t="s">
        <v>12101</v>
      </c>
      <c r="P108" s="65" t="s">
        <v>12335</v>
      </c>
      <c r="Q108" s="97" t="s">
        <v>1368</v>
      </c>
      <c r="R108" s="126">
        <v>46180</v>
      </c>
      <c r="S108" s="2" t="s">
        <v>12336</v>
      </c>
    </row>
    <row r="109" spans="1:20" ht="55.15">
      <c r="A109" s="2" t="s">
        <v>12851</v>
      </c>
      <c r="B109" s="97" t="s">
        <v>12839</v>
      </c>
      <c r="C109" s="97" t="s">
        <v>12852</v>
      </c>
      <c r="D109" s="314" t="s">
        <v>1368</v>
      </c>
      <c r="E109" s="97" t="s">
        <v>12853</v>
      </c>
      <c r="F109" s="273" t="s">
        <v>1371</v>
      </c>
      <c r="G109" s="2" t="s">
        <v>12097</v>
      </c>
      <c r="H109" s="97" t="s">
        <v>7638</v>
      </c>
      <c r="I109" s="97" t="s">
        <v>12853</v>
      </c>
      <c r="J109" s="97" t="s">
        <v>12854</v>
      </c>
      <c r="K109" s="97" t="s">
        <v>12855</v>
      </c>
      <c r="L109" s="97" t="s">
        <v>12856</v>
      </c>
      <c r="M109" s="97" t="s">
        <v>12857</v>
      </c>
      <c r="N109" s="97" t="s">
        <v>12334</v>
      </c>
      <c r="O109" s="2" t="s">
        <v>12101</v>
      </c>
      <c r="P109" s="65" t="s">
        <v>12335</v>
      </c>
      <c r="Q109" s="97" t="s">
        <v>1368</v>
      </c>
      <c r="R109" s="126">
        <v>46180</v>
      </c>
      <c r="S109" s="2" t="s">
        <v>12858</v>
      </c>
    </row>
    <row r="110" spans="1:20" ht="43.15">
      <c r="A110" s="2" t="s">
        <v>12859</v>
      </c>
      <c r="B110" s="97" t="s">
        <v>12839</v>
      </c>
      <c r="C110" s="97" t="s">
        <v>12860</v>
      </c>
      <c r="D110" s="314" t="s">
        <v>1368</v>
      </c>
      <c r="E110" s="97" t="s">
        <v>12861</v>
      </c>
      <c r="F110" s="273" t="s">
        <v>1481</v>
      </c>
      <c r="G110" s="2" t="s">
        <v>12097</v>
      </c>
      <c r="H110" s="97" t="s">
        <v>7662</v>
      </c>
      <c r="I110" s="97" t="s">
        <v>12861</v>
      </c>
      <c r="J110" s="97" t="s">
        <v>12862</v>
      </c>
      <c r="K110" s="97" t="s">
        <v>12863</v>
      </c>
      <c r="L110" s="97" t="s">
        <v>12864</v>
      </c>
      <c r="M110" s="97" t="s">
        <v>12865</v>
      </c>
      <c r="N110" s="97" t="s">
        <v>12334</v>
      </c>
      <c r="O110" s="2" t="s">
        <v>12101</v>
      </c>
      <c r="P110" s="65" t="s">
        <v>12335</v>
      </c>
      <c r="Q110" s="97" t="s">
        <v>1368</v>
      </c>
      <c r="R110" s="126">
        <v>46180</v>
      </c>
      <c r="S110" s="2" t="s">
        <v>12866</v>
      </c>
    </row>
    <row r="111" spans="1:20" ht="55.15">
      <c r="A111" s="2" t="s">
        <v>12867</v>
      </c>
      <c r="B111" s="97" t="s">
        <v>12868</v>
      </c>
      <c r="C111" s="97" t="s">
        <v>12869</v>
      </c>
      <c r="D111" s="314" t="s">
        <v>1368</v>
      </c>
      <c r="E111" s="97" t="s">
        <v>12870</v>
      </c>
      <c r="F111" s="273" t="s">
        <v>22</v>
      </c>
      <c r="G111" s="2" t="s">
        <v>12097</v>
      </c>
      <c r="H111" s="97" t="s">
        <v>12871</v>
      </c>
      <c r="I111" s="97" t="s">
        <v>12870</v>
      </c>
      <c r="J111" s="97" t="s">
        <v>12872</v>
      </c>
      <c r="K111" s="97" t="s">
        <v>12873</v>
      </c>
      <c r="L111" s="97" t="s">
        <v>12874</v>
      </c>
      <c r="M111" s="97" t="s">
        <v>12875</v>
      </c>
      <c r="N111" s="97" t="s">
        <v>12334</v>
      </c>
      <c r="O111" s="2" t="s">
        <v>12101</v>
      </c>
      <c r="P111" s="65" t="s">
        <v>12335</v>
      </c>
      <c r="Q111" s="97" t="s">
        <v>1368</v>
      </c>
      <c r="R111" s="126">
        <v>46180</v>
      </c>
      <c r="S111" s="2" t="s">
        <v>12876</v>
      </c>
    </row>
    <row r="112" spans="1:20" ht="55.15">
      <c r="A112" s="2" t="s">
        <v>12877</v>
      </c>
      <c r="B112" s="97" t="s">
        <v>12878</v>
      </c>
      <c r="C112" s="97" t="s">
        <v>12879</v>
      </c>
      <c r="D112" s="314" t="s">
        <v>1404</v>
      </c>
      <c r="E112" s="97" t="s">
        <v>12880</v>
      </c>
      <c r="F112" s="273" t="s">
        <v>1371</v>
      </c>
      <c r="G112" s="2" t="s">
        <v>12097</v>
      </c>
      <c r="H112" s="97" t="s">
        <v>12881</v>
      </c>
      <c r="I112" s="97" t="s">
        <v>12880</v>
      </c>
      <c r="J112" s="97" t="s">
        <v>12882</v>
      </c>
      <c r="K112" s="97" t="s">
        <v>12883</v>
      </c>
      <c r="L112" s="97" t="s">
        <v>12884</v>
      </c>
      <c r="M112" s="97" t="s">
        <v>12885</v>
      </c>
      <c r="N112" s="97" t="s">
        <v>12334</v>
      </c>
      <c r="O112" s="2" t="s">
        <v>12101</v>
      </c>
      <c r="P112" s="65" t="s">
        <v>12335</v>
      </c>
      <c r="Q112" s="97" t="s">
        <v>1404</v>
      </c>
      <c r="R112" s="126">
        <v>46180</v>
      </c>
      <c r="S112" s="2" t="s">
        <v>12886</v>
      </c>
    </row>
    <row r="113" spans="1:20" ht="55.15">
      <c r="A113" s="2" t="s">
        <v>12887</v>
      </c>
      <c r="B113" s="97" t="s">
        <v>12878</v>
      </c>
      <c r="C113" s="97" t="s">
        <v>12888</v>
      </c>
      <c r="D113" s="314" t="s">
        <v>1404</v>
      </c>
      <c r="E113" s="97" t="s">
        <v>12889</v>
      </c>
      <c r="F113" s="273" t="s">
        <v>22</v>
      </c>
      <c r="G113" s="2" t="s">
        <v>12097</v>
      </c>
      <c r="H113" s="97" t="s">
        <v>12890</v>
      </c>
      <c r="I113" s="97" t="s">
        <v>12889</v>
      </c>
      <c r="J113" s="97" t="s">
        <v>12891</v>
      </c>
      <c r="K113" s="97" t="s">
        <v>12892</v>
      </c>
      <c r="L113" s="97" t="s">
        <v>12893</v>
      </c>
      <c r="M113" s="97" t="s">
        <v>12894</v>
      </c>
      <c r="N113" s="97" t="s">
        <v>12334</v>
      </c>
      <c r="O113" s="2" t="s">
        <v>12101</v>
      </c>
      <c r="P113" s="65" t="s">
        <v>12335</v>
      </c>
      <c r="Q113" s="97" t="s">
        <v>1404</v>
      </c>
      <c r="R113" s="126">
        <v>46180</v>
      </c>
      <c r="S113" s="2" t="s">
        <v>12895</v>
      </c>
    </row>
    <row r="114" spans="1:20" ht="55.15">
      <c r="A114" s="2" t="s">
        <v>12896</v>
      </c>
      <c r="B114" s="97" t="s">
        <v>12878</v>
      </c>
      <c r="C114" s="97" t="s">
        <v>12897</v>
      </c>
      <c r="D114" s="314" t="s">
        <v>1404</v>
      </c>
      <c r="E114" s="97" t="s">
        <v>12898</v>
      </c>
      <c r="F114" s="273" t="s">
        <v>22</v>
      </c>
      <c r="G114" s="2" t="s">
        <v>12097</v>
      </c>
      <c r="H114" s="97" t="s">
        <v>12899</v>
      </c>
      <c r="I114" s="97" t="s">
        <v>12898</v>
      </c>
      <c r="J114" s="97" t="s">
        <v>12900</v>
      </c>
      <c r="K114" s="97" t="s">
        <v>12901</v>
      </c>
      <c r="L114" s="97" t="s">
        <v>12902</v>
      </c>
      <c r="M114" s="97" t="s">
        <v>12903</v>
      </c>
      <c r="N114" s="97" t="s">
        <v>12334</v>
      </c>
      <c r="O114" s="2" t="s">
        <v>12101</v>
      </c>
      <c r="P114" s="65" t="s">
        <v>12335</v>
      </c>
      <c r="Q114" s="97" t="s">
        <v>1404</v>
      </c>
      <c r="R114" s="126">
        <v>46180</v>
      </c>
      <c r="S114" s="2" t="s">
        <v>12904</v>
      </c>
    </row>
    <row r="115" spans="1:20" ht="69">
      <c r="A115" s="2" t="s">
        <v>12905</v>
      </c>
      <c r="B115" s="97" t="s">
        <v>12906</v>
      </c>
      <c r="C115" s="97" t="s">
        <v>12907</v>
      </c>
      <c r="D115" s="314" t="s">
        <v>1368</v>
      </c>
      <c r="E115" s="97" t="s">
        <v>12908</v>
      </c>
      <c r="F115" s="273" t="s">
        <v>1371</v>
      </c>
      <c r="G115" s="2" t="s">
        <v>12097</v>
      </c>
      <c r="H115" s="97" t="s">
        <v>12909</v>
      </c>
      <c r="I115" s="97" t="s">
        <v>12908</v>
      </c>
      <c r="J115" s="97" t="s">
        <v>12910</v>
      </c>
      <c r="K115" s="97" t="s">
        <v>12911</v>
      </c>
      <c r="L115" s="97" t="s">
        <v>12912</v>
      </c>
      <c r="M115" s="97" t="s">
        <v>12913</v>
      </c>
      <c r="N115" s="97" t="s">
        <v>12334</v>
      </c>
      <c r="O115" s="2" t="s">
        <v>12101</v>
      </c>
      <c r="P115" s="65" t="s">
        <v>12335</v>
      </c>
      <c r="Q115" s="97" t="s">
        <v>1368</v>
      </c>
      <c r="R115" s="126">
        <v>46180</v>
      </c>
      <c r="S115" s="2" t="s">
        <v>12914</v>
      </c>
    </row>
    <row r="116" spans="1:20" s="131" customFormat="1" ht="82.9">
      <c r="A116" s="2" t="s">
        <v>12915</v>
      </c>
      <c r="B116" s="137" t="s">
        <v>12906</v>
      </c>
      <c r="C116" s="137" t="s">
        <v>12916</v>
      </c>
      <c r="D116" s="318" t="s">
        <v>1368</v>
      </c>
      <c r="E116" s="137" t="s">
        <v>12917</v>
      </c>
      <c r="F116" s="275" t="s">
        <v>22</v>
      </c>
      <c r="G116" s="132" t="s">
        <v>12097</v>
      </c>
      <c r="H116" s="267" t="s">
        <v>12918</v>
      </c>
      <c r="I116" s="137" t="s">
        <v>12917</v>
      </c>
      <c r="J116" s="137" t="s">
        <v>12919</v>
      </c>
      <c r="K116" s="137" t="s">
        <v>7882</v>
      </c>
      <c r="L116" s="137" t="s">
        <v>12920</v>
      </c>
      <c r="M116" s="137" t="s">
        <v>12921</v>
      </c>
      <c r="N116" s="137" t="s">
        <v>12334</v>
      </c>
      <c r="O116" s="132" t="s">
        <v>12101</v>
      </c>
      <c r="P116" s="136" t="s">
        <v>12335</v>
      </c>
      <c r="Q116" s="137" t="s">
        <v>1368</v>
      </c>
      <c r="R116" s="138">
        <v>46180</v>
      </c>
      <c r="S116" s="132" t="s">
        <v>12922</v>
      </c>
      <c r="T116" s="292"/>
    </row>
    <row r="117" spans="1:20" ht="69">
      <c r="A117" s="2" t="s">
        <v>12923</v>
      </c>
      <c r="B117" s="135" t="s">
        <v>12906</v>
      </c>
      <c r="C117" s="135" t="s">
        <v>7905</v>
      </c>
      <c r="D117" s="319" t="s">
        <v>1368</v>
      </c>
      <c r="E117" s="135" t="s">
        <v>12908</v>
      </c>
      <c r="F117" s="273" t="s">
        <v>1371</v>
      </c>
      <c r="G117" s="2" t="s">
        <v>12097</v>
      </c>
      <c r="H117" s="97" t="s">
        <v>12909</v>
      </c>
      <c r="I117" s="135" t="s">
        <v>12908</v>
      </c>
      <c r="J117" s="135" t="s">
        <v>12910</v>
      </c>
      <c r="K117" s="135" t="s">
        <v>12911</v>
      </c>
      <c r="L117" s="135" t="s">
        <v>12912</v>
      </c>
      <c r="M117" s="135" t="s">
        <v>12913</v>
      </c>
      <c r="N117" s="135" t="s">
        <v>12334</v>
      </c>
      <c r="O117" s="2" t="s">
        <v>12101</v>
      </c>
      <c r="P117" s="134" t="s">
        <v>12335</v>
      </c>
      <c r="Q117" s="135" t="s">
        <v>1368</v>
      </c>
      <c r="R117" s="126">
        <v>46180</v>
      </c>
      <c r="S117" s="2" t="s">
        <v>12914</v>
      </c>
    </row>
    <row r="118" spans="1:20" ht="82.9">
      <c r="A118" s="2" t="s">
        <v>12924</v>
      </c>
      <c r="B118" s="97" t="s">
        <v>12906</v>
      </c>
      <c r="C118" s="97" t="s">
        <v>12925</v>
      </c>
      <c r="D118" s="314" t="s">
        <v>1368</v>
      </c>
      <c r="E118" s="97" t="s">
        <v>12926</v>
      </c>
      <c r="F118" s="273" t="s">
        <v>22</v>
      </c>
      <c r="G118" s="2" t="s">
        <v>12097</v>
      </c>
      <c r="H118" s="97" t="s">
        <v>12927</v>
      </c>
      <c r="I118" s="97" t="s">
        <v>12926</v>
      </c>
      <c r="J118" s="97" t="s">
        <v>12928</v>
      </c>
      <c r="K118" s="97" t="s">
        <v>12929</v>
      </c>
      <c r="L118" s="97" t="s">
        <v>12930</v>
      </c>
      <c r="M118" s="97" t="s">
        <v>12931</v>
      </c>
      <c r="N118" s="97" t="s">
        <v>12334</v>
      </c>
      <c r="O118" s="2" t="s">
        <v>12101</v>
      </c>
      <c r="P118" s="65" t="s">
        <v>12335</v>
      </c>
      <c r="Q118" s="97" t="s">
        <v>1368</v>
      </c>
      <c r="R118" s="126">
        <v>46180</v>
      </c>
      <c r="S118" s="2" t="s">
        <v>12932</v>
      </c>
    </row>
    <row r="119" spans="1:20" ht="69">
      <c r="A119" s="2" t="s">
        <v>12933</v>
      </c>
      <c r="B119" s="97" t="s">
        <v>12934</v>
      </c>
      <c r="C119" s="97" t="s">
        <v>12935</v>
      </c>
      <c r="D119" s="314" t="s">
        <v>1368</v>
      </c>
      <c r="E119" s="97" t="s">
        <v>12936</v>
      </c>
      <c r="F119" s="273" t="s">
        <v>1371</v>
      </c>
      <c r="G119" s="2" t="s">
        <v>12097</v>
      </c>
      <c r="H119" s="97" t="s">
        <v>12937</v>
      </c>
      <c r="I119" s="97" t="s">
        <v>12936</v>
      </c>
      <c r="J119" s="97" t="s">
        <v>12938</v>
      </c>
      <c r="K119" s="97" t="s">
        <v>12939</v>
      </c>
      <c r="L119" s="97" t="s">
        <v>12349</v>
      </c>
      <c r="M119" s="97" t="s">
        <v>12940</v>
      </c>
      <c r="N119" s="97" t="s">
        <v>12334</v>
      </c>
      <c r="O119" s="2" t="s">
        <v>12101</v>
      </c>
      <c r="P119" s="65" t="s">
        <v>12335</v>
      </c>
      <c r="Q119" s="97" t="s">
        <v>1368</v>
      </c>
      <c r="R119" s="126">
        <v>46180</v>
      </c>
      <c r="S119" s="2" t="s">
        <v>12941</v>
      </c>
    </row>
    <row r="120" spans="1:20" s="143" customFormat="1" ht="55.15">
      <c r="A120" s="2" t="s">
        <v>12942</v>
      </c>
      <c r="B120" s="140" t="s">
        <v>12934</v>
      </c>
      <c r="C120" s="140" t="s">
        <v>12943</v>
      </c>
      <c r="D120" s="320" t="s">
        <v>1368</v>
      </c>
      <c r="E120" s="140" t="s">
        <v>12917</v>
      </c>
      <c r="F120" s="276" t="s">
        <v>22</v>
      </c>
      <c r="G120" s="141" t="s">
        <v>12097</v>
      </c>
      <c r="H120" s="268" t="s">
        <v>12918</v>
      </c>
      <c r="I120" s="140" t="s">
        <v>12917</v>
      </c>
      <c r="J120" s="140" t="s">
        <v>12944</v>
      </c>
      <c r="K120" s="140" t="s">
        <v>12945</v>
      </c>
      <c r="L120" s="140" t="s">
        <v>12946</v>
      </c>
      <c r="M120" s="140" t="s">
        <v>12947</v>
      </c>
      <c r="N120" s="140" t="s">
        <v>12334</v>
      </c>
      <c r="O120" s="141" t="s">
        <v>12101</v>
      </c>
      <c r="P120" s="139" t="s">
        <v>12335</v>
      </c>
      <c r="Q120" s="140" t="s">
        <v>1368</v>
      </c>
      <c r="R120" s="142">
        <v>46180</v>
      </c>
      <c r="S120" s="141" t="s">
        <v>12948</v>
      </c>
      <c r="T120" s="293"/>
    </row>
    <row r="121" spans="1:20" ht="69">
      <c r="A121" s="2" t="s">
        <v>12949</v>
      </c>
      <c r="B121" s="135" t="s">
        <v>12934</v>
      </c>
      <c r="C121" s="135" t="s">
        <v>7905</v>
      </c>
      <c r="D121" s="319" t="s">
        <v>1368</v>
      </c>
      <c r="E121" s="135" t="s">
        <v>12908</v>
      </c>
      <c r="F121" s="273" t="s">
        <v>1371</v>
      </c>
      <c r="G121" s="2" t="s">
        <v>12097</v>
      </c>
      <c r="H121" s="97" t="s">
        <v>12909</v>
      </c>
      <c r="I121" s="135" t="s">
        <v>12908</v>
      </c>
      <c r="J121" s="135" t="s">
        <v>12938</v>
      </c>
      <c r="K121" s="135" t="s">
        <v>12939</v>
      </c>
      <c r="L121" s="135" t="s">
        <v>12912</v>
      </c>
      <c r="M121" s="135" t="s">
        <v>12950</v>
      </c>
      <c r="N121" s="135" t="s">
        <v>12334</v>
      </c>
      <c r="O121" s="2" t="s">
        <v>12101</v>
      </c>
      <c r="P121" s="134" t="s">
        <v>12335</v>
      </c>
      <c r="Q121" s="135" t="s">
        <v>1368</v>
      </c>
      <c r="R121" s="126">
        <v>46180</v>
      </c>
      <c r="S121" s="2" t="s">
        <v>12914</v>
      </c>
    </row>
    <row r="122" spans="1:20" ht="82.9">
      <c r="A122" s="2" t="s">
        <v>12951</v>
      </c>
      <c r="B122" s="97" t="s">
        <v>12934</v>
      </c>
      <c r="C122" s="97" t="s">
        <v>12952</v>
      </c>
      <c r="D122" s="314" t="s">
        <v>1368</v>
      </c>
      <c r="E122" s="97" t="s">
        <v>12953</v>
      </c>
      <c r="F122" s="273" t="s">
        <v>22</v>
      </c>
      <c r="G122" s="2" t="s">
        <v>12097</v>
      </c>
      <c r="H122" s="97" t="s">
        <v>12954</v>
      </c>
      <c r="I122" s="97" t="s">
        <v>12953</v>
      </c>
      <c r="J122" s="97" t="s">
        <v>12955</v>
      </c>
      <c r="K122" s="97" t="s">
        <v>12956</v>
      </c>
      <c r="L122" s="97" t="s">
        <v>12341</v>
      </c>
      <c r="M122" s="97" t="s">
        <v>12957</v>
      </c>
      <c r="N122" s="97" t="s">
        <v>12334</v>
      </c>
      <c r="O122" s="2" t="s">
        <v>12101</v>
      </c>
      <c r="P122" s="65" t="s">
        <v>12335</v>
      </c>
      <c r="Q122" s="97" t="s">
        <v>1368</v>
      </c>
      <c r="R122" s="126">
        <v>46180</v>
      </c>
      <c r="S122" s="2" t="s">
        <v>12958</v>
      </c>
    </row>
    <row r="123" spans="1:20" ht="55.15">
      <c r="A123" s="2" t="s">
        <v>12959</v>
      </c>
      <c r="B123" s="97" t="s">
        <v>12960</v>
      </c>
      <c r="C123" s="97" t="s">
        <v>12961</v>
      </c>
      <c r="D123" s="314" t="s">
        <v>1404</v>
      </c>
      <c r="E123" s="97" t="s">
        <v>12962</v>
      </c>
      <c r="F123" s="273" t="s">
        <v>22</v>
      </c>
      <c r="G123" s="2" t="s">
        <v>12097</v>
      </c>
      <c r="H123" s="97" t="s">
        <v>12963</v>
      </c>
      <c r="I123" s="97" t="s">
        <v>12962</v>
      </c>
      <c r="J123" s="97" t="s">
        <v>12964</v>
      </c>
      <c r="K123" s="97" t="s">
        <v>12965</v>
      </c>
      <c r="L123" s="97" t="s">
        <v>12966</v>
      </c>
      <c r="M123" s="97" t="s">
        <v>12967</v>
      </c>
      <c r="N123" s="97" t="s">
        <v>12334</v>
      </c>
      <c r="O123" s="2" t="s">
        <v>12101</v>
      </c>
      <c r="P123" s="65" t="s">
        <v>12335</v>
      </c>
      <c r="Q123" s="97" t="s">
        <v>1404</v>
      </c>
      <c r="R123" s="126">
        <v>46180</v>
      </c>
      <c r="S123" s="2" t="s">
        <v>12968</v>
      </c>
    </row>
    <row r="124" spans="1:20" ht="43.15">
      <c r="A124" s="2" t="s">
        <v>12969</v>
      </c>
      <c r="B124" s="21" t="s">
        <v>12970</v>
      </c>
      <c r="C124" s="21" t="s">
        <v>12971</v>
      </c>
      <c r="D124" s="6" t="s">
        <v>1368</v>
      </c>
      <c r="E124" t="s">
        <v>12972</v>
      </c>
      <c r="F124" s="291" t="s">
        <v>1371</v>
      </c>
      <c r="G124" t="s">
        <v>12793</v>
      </c>
      <c r="H124" s="21" t="s">
        <v>12973</v>
      </c>
      <c r="I124" t="s">
        <v>12972</v>
      </c>
      <c r="J124" s="2" t="s">
        <v>12974</v>
      </c>
      <c r="K124" s="2" t="s">
        <v>12975</v>
      </c>
      <c r="L124" s="2" t="s">
        <v>12976</v>
      </c>
      <c r="M124" s="2" t="s">
        <v>12977</v>
      </c>
      <c r="N124" s="5" t="s">
        <v>12334</v>
      </c>
      <c r="O124" t="s">
        <v>12101</v>
      </c>
      <c r="P124" s="21" t="s">
        <v>12335</v>
      </c>
      <c r="Q124" s="21" t="s">
        <v>1368</v>
      </c>
      <c r="R124" s="119">
        <v>46180</v>
      </c>
      <c r="S124" t="s">
        <v>12978</v>
      </c>
    </row>
    <row r="128" spans="1:20" ht="25.5" customHeight="1">
      <c r="A128" s="223" t="s">
        <v>1382</v>
      </c>
      <c r="B128" s="223" t="s">
        <v>12979</v>
      </c>
      <c r="C128" s="223" t="s">
        <v>12980</v>
      </c>
    </row>
    <row r="129" spans="1:12" ht="23.25" customHeight="1">
      <c r="A129" s="6" t="s">
        <v>1368</v>
      </c>
      <c r="B129" s="6">
        <f>COUNTIF(D:D, "Afram")</f>
        <v>47</v>
      </c>
      <c r="C129" s="6">
        <f>COUNTIF(Q:Q, "Afram")</f>
        <v>53</v>
      </c>
    </row>
    <row r="130" spans="1:12" ht="23.25" customHeight="1">
      <c r="A130" s="6" t="s">
        <v>1404</v>
      </c>
      <c r="B130" s="6">
        <f>COUNTIF(D:D, "AY")</f>
        <v>18</v>
      </c>
      <c r="C130" s="6">
        <f>COUNTIF(Q:Q, "AY")</f>
        <v>5</v>
      </c>
    </row>
    <row r="131" spans="1:12" ht="24.75" customHeight="1">
      <c r="A131" s="6" t="s">
        <v>1415</v>
      </c>
      <c r="B131" s="6">
        <f>COUNTIF(D:D, "Omar")</f>
        <v>53</v>
      </c>
      <c r="C131" s="6">
        <f>COUNTIF(Q:Q, "Omar")</f>
        <v>47</v>
      </c>
    </row>
    <row r="132" spans="1:12" ht="22.5" customHeight="1">
      <c r="A132" s="6" t="s">
        <v>1425</v>
      </c>
      <c r="B132" s="6">
        <f>COUNTIF(D:D, "Aly")</f>
        <v>5</v>
      </c>
      <c r="C132" s="6">
        <f>COUNTIF(Q:Q, "Aly")</f>
        <v>5</v>
      </c>
    </row>
    <row r="133" spans="1:12" ht="15" thickBot="1"/>
    <row r="134" spans="1:12" ht="21.6" thickBot="1">
      <c r="A134" s="409" t="s">
        <v>12981</v>
      </c>
      <c r="B134" s="410"/>
    </row>
    <row r="135" spans="1:12" ht="18.600000000000001" thickBot="1">
      <c r="A135" s="221" t="s">
        <v>1393</v>
      </c>
      <c r="B135" s="219">
        <f>COUNTIF(F:F, "Critical")</f>
        <v>6</v>
      </c>
    </row>
    <row r="136" spans="1:12" ht="18.600000000000001" thickBot="1">
      <c r="A136" s="222" t="s">
        <v>22</v>
      </c>
      <c r="B136" s="220">
        <f>COUNTIF(F:F, "High")</f>
        <v>46</v>
      </c>
    </row>
    <row r="137" spans="1:12" ht="18.600000000000001" thickBot="1">
      <c r="A137" s="221" t="s">
        <v>1371</v>
      </c>
      <c r="B137" s="165">
        <f>COUNTIF(F:F, "Medium")</f>
        <v>50</v>
      </c>
    </row>
    <row r="138" spans="1:12" ht="18.600000000000001" thickBot="1">
      <c r="A138" s="221" t="s">
        <v>1481</v>
      </c>
      <c r="B138" s="166">
        <f>COUNTIF(F:F, "Low")</f>
        <v>8</v>
      </c>
    </row>
    <row r="139" spans="1:12" ht="18.600000000000001" thickBot="1">
      <c r="A139" s="221" t="s">
        <v>1435</v>
      </c>
      <c r="B139" s="167">
        <f>SUM(B135:B138)</f>
        <v>110</v>
      </c>
    </row>
    <row r="140" spans="1:12">
      <c r="A140" s="64"/>
    </row>
    <row r="141" spans="1:12">
      <c r="A141" s="64"/>
    </row>
    <row r="144" spans="1:12">
      <c r="L144"/>
    </row>
    <row r="145" spans="1:12" ht="15" thickBot="1">
      <c r="L145"/>
    </row>
    <row r="146" spans="1:12" ht="15" thickBot="1">
      <c r="A146" s="105"/>
      <c r="B146" s="301"/>
    </row>
    <row r="147" spans="1:12">
      <c r="L147"/>
    </row>
    <row r="148" spans="1:12">
      <c r="L148"/>
    </row>
  </sheetData>
  <mergeCells count="1">
    <mergeCell ref="A134:B134"/>
  </mergeCells>
  <phoneticPr fontId="5" type="noConversion"/>
  <conditionalFormatting sqref="O2:O90 O107:O123">
    <cfRule type="cellIs" dxfId="8" priority="1" operator="equal">
      <formula>"Rejected"</formula>
    </cfRule>
    <cfRule type="cellIs" dxfId="7" priority="2" operator="equal">
      <formula>"Assigned"</formula>
    </cfRule>
    <cfRule type="cellIs" dxfId="6" priority="3" operator="equal">
      <formula>"Open"</formula>
    </cfRule>
    <cfRule type="cellIs" dxfId="5" priority="4" operator="equal">
      <formula>"Open,Assigned"</formula>
    </cfRule>
    <cfRule type="cellIs" dxfId="4" priority="5" operator="equal">
      <formula>"New"</formula>
    </cfRule>
    <cfRule type="cellIs" dxfId="3" priority="6" operator="equal">
      <formula>"New"</formula>
    </cfRule>
    <cfRule type="cellIs" dxfId="2" priority="7" operator="equal">
      <formula>"Closed"</formula>
    </cfRule>
  </conditionalFormatting>
  <dataValidations count="3">
    <dataValidation type="list" allowBlank="1" showInputMessage="1" showErrorMessage="1" sqref="D149:D1048576 Q149:Q1048576 Q146 D146 O134:O139 O144:O148 B144:B148 B134 D91:D143 D2:D90 Q91:Q143 Q2:Q90" xr:uid="{9705F85E-7E2C-4C81-A2CE-1E8C18B00633}">
      <formula1>"AY,Afram,Omar,Aly,Ayman"</formula1>
    </dataValidation>
    <dataValidation type="list" allowBlank="1" showInputMessage="1" showErrorMessage="1" sqref="F149:F1048576 F146 D134:F139 D144:E148 F91:F143 F2:F90" xr:uid="{5A188E53-28A0-4FE7-8EE4-3CCB5674A0C1}">
      <formula1>"Critical,High,Medium,Low"</formula1>
    </dataValidation>
    <dataValidation type="list" allowBlank="1" showInputMessage="1" showErrorMessage="1" sqref="O2:O39 O91:O123 O41:O90" xr:uid="{00000000-0002-0000-0600-000000000000}">
      <formula1>"New,Assigned,Open,Fixed,Retest,Closed,Reopened,Rejected"</formula1>
    </dataValidation>
  </dataValidations>
  <hyperlinks>
    <hyperlink ref="H2" location="Test_Cases!A3" display="tc_002" xr:uid="{D551ADA1-6246-4C17-AFBD-A4AC72F17964}"/>
    <hyperlink ref="H3" location="Test_Cases!A4" display="tc_003" xr:uid="{7B037EE5-1EA9-4265-BAEE-046E7A8E4A72}"/>
    <hyperlink ref="H5" location="Test_Cases!A7" display="tc_006" xr:uid="{181CDD46-418E-4A32-8BF8-3ADB02F31F89}"/>
    <hyperlink ref="H6" location="'Test_Cases'!A10" display="tc_009" xr:uid="{4CAE4C5C-7B36-4207-B7D5-866CB3C2F70E}"/>
    <hyperlink ref="H7" location="Test_Cases!A11" display="TC_LOGIN_010" xr:uid="{52585DBB-CA8B-456A-BFC5-8901F227F216}"/>
    <hyperlink ref="H9" location="Test_Cases!A18" display="TC_LOGIN_017" xr:uid="{92C8331F-61D9-4DE7-BFFE-25A45FCF201A}"/>
    <hyperlink ref="N4" r:id="rId1" xr:uid="{16E805F6-5B69-46FA-B8E8-1081FE9B24C6}"/>
    <hyperlink ref="N7" r:id="rId2" xr:uid="{CF8E11CF-6FDC-460F-B726-2B6EDE95B271}"/>
    <hyperlink ref="H4" location="User_Stories!A5" display="TC_LOGIN_004" xr:uid="{12EFE71A-2335-4088-9A60-13D6C6F494F0}"/>
    <hyperlink ref="H10" location="Test_Cases!A27" display="TC_LOGIN_026" xr:uid="{359E4FF1-C9EB-45C5-B4B9-CEF2C3474F07}"/>
    <hyperlink ref="H14" location="Test_Cases!A32" display="TC_LOGIN_031" xr:uid="{E04271A0-EC17-4DD8-B0A5-810D0855621D}"/>
    <hyperlink ref="H13" location="Test_Cases!A31" display="TC_LOGIN_030" xr:uid="{84902B1A-7A6C-46AA-B115-037A44E7F599}"/>
    <hyperlink ref="H16" location="Test_Cases!A48" display="TC_LOGIN_047" xr:uid="{FD60FA86-B697-470C-893E-C73E78B6D33F}"/>
    <hyperlink ref="H17" location="Test_Cases!A50" display="TC_LOGIN_049" xr:uid="{CA7EDAB3-BF17-4633-A527-6C9E9101DA79}"/>
    <hyperlink ref="H18" location="Test_Cases!A51" display="TC_LOGIN_050" xr:uid="{15FD9D2B-4B28-406C-BE26-6772FF6C9233}"/>
    <hyperlink ref="H19" location="Test_Cases!A57" display="TC_LOGIN_055" xr:uid="{142A2C70-2DD5-46E0-A668-3D267F0126AC}"/>
    <hyperlink ref="H20" location="Test_Cases!A61" display="TC_LOGIN_044" xr:uid="{DF38D606-176E-437E-AB45-60AB39988CC9}"/>
    <hyperlink ref="H8" location="Test_Cases!A13" display="TC_LOGIN_012" xr:uid="{395E5556-7622-47A4-A9DC-5CE16C027BEA}"/>
    <hyperlink ref="H15" location="Test_Cases!A44" display="TC_LOGIN_043" xr:uid="{4559AA3F-80A2-4413-B701-D1255C55AC4F}"/>
    <hyperlink ref="H21" location="Test_Cases!A62" display="TC_LOGIN_060" xr:uid="{0B8D0F42-F50B-472D-A247-E561EE4660EB}"/>
    <hyperlink ref="H22" location="Test_Cases!A66" display="TC_LOGIN_064" xr:uid="{DDE9EEC4-E4CE-476D-B3F1-77F7F1558BF6}"/>
    <hyperlink ref="H23" location="Test_Cases!A64" display="TC_LOGIN_062" xr:uid="{957FB6C0-F007-4FB5-83E8-D11627CB6197}"/>
    <hyperlink ref="H24" location="Test_Cases!A65" display="TC_LOGIN_063" xr:uid="{27DA24A0-4C81-4A9A-AF4D-62DEFDA2BFB6}"/>
    <hyperlink ref="H26" location="Test_Cases!A66" display="TC_LOGIN_064" xr:uid="{BA469A5B-C366-4B00-BB2A-7DA16DD171C1}"/>
    <hyperlink ref="H27" location="Test_Cases!A72" display="TC_LOGIN_070" xr:uid="{BDCC7E28-532D-46F2-BD14-E98EB68CA3E9}"/>
    <hyperlink ref="H28" location="Test_Cases!A77" display="TC_LOGIN_075" xr:uid="{1E166A77-828D-47F6-B272-4822FB55BF34}"/>
    <hyperlink ref="H29" location="Test_Cases!A81" display="TC_LOGIN_079" xr:uid="{6AB548CB-32CD-48F8-A3EE-40C1B32A89B9}"/>
    <hyperlink ref="H30" location="Test_Cases!A82" display="TC_LOGIN_080" xr:uid="{C64F9EF1-70BD-4B34-8549-9A2832C8706A}"/>
    <hyperlink ref="H31" location="Test_Cases!A95" display="TC_ADMIN_009" xr:uid="{CBD69FB0-C9DB-498D-8095-FE59625C6A5B}"/>
    <hyperlink ref="H32" location="Test_Cases!A107" display="TC_ADMIN_021" xr:uid="{6D76A792-E9B9-46DB-AADA-05137D633DC1}"/>
    <hyperlink ref="H33" location="Test_Cases!A109" display="TC_ADMIN_023" xr:uid="{48FB326A-1F3E-47D1-9762-8441A4541DC2}"/>
    <hyperlink ref="H34" location="Test_Cases!A120" display="TC_ADMIN_033" xr:uid="{40812191-A9B1-4DC2-AC4C-9FCFDDDD4488}"/>
    <hyperlink ref="H35" location="Test_Cases!A130" display="TC_ADMIN_043" xr:uid="{2EF51A0C-8280-4D44-A08C-C7E240AF4747}"/>
    <hyperlink ref="H36" location="Test_Cases!A149" display="TC_ADMIN_061" xr:uid="{B5213484-C485-4994-8950-B48739C4BAE9}"/>
    <hyperlink ref="H37" location="Bug_Report!A159" display="TC_ADMIN_071" xr:uid="{382B07E4-3460-4537-9ECB-D65818599957}"/>
    <hyperlink ref="H38" location="Test_Cases!A175" display="TC_ADMIN_086" xr:uid="{6EE330D8-C8F9-46C0-94EA-50FB504E1FF8}"/>
    <hyperlink ref="H39" location="Test_Cases!A183" display="TC_ADMIN_095" xr:uid="{4020C712-662B-4CFF-B3B6-5BC86141FE44}"/>
    <hyperlink ref="H40" location="Test_Cases!A206" display="TC_ADMIN_117" xr:uid="{66B81CB1-1EF2-4542-840B-D64C0B85ECA3}"/>
    <hyperlink ref="H41" location="Test_Cases!A214" display="TC_ADMIN_125" xr:uid="{B7E33FB8-D8BD-452E-A014-EDD142C48CFC}"/>
    <hyperlink ref="H42" location="Test_Cases!A231" display="TC_ADMIN_141" xr:uid="{243C1A01-8B38-459F-8172-47DFF9795342}"/>
    <hyperlink ref="H43" location="Test_Cases!A245" display="TC_ADMIN_155" xr:uid="{27C8EC53-336B-4FCD-AD53-41E1DC631E77}"/>
    <hyperlink ref="H44" location="Test_Cases!A289" display="TC_ADMIN_198" xr:uid="{635AB871-6DA7-4B3A-A28E-3EE34FBCA8B4}"/>
    <hyperlink ref="H45" location="Test_Cases!A314" display="TC_ADMIN_222" xr:uid="{9903A2CC-782C-45EF-B823-48DD267C10F8}"/>
    <hyperlink ref="H46" location="Test_Cases!A315" display="TC_ADMIN_223" xr:uid="{8C5083DD-E9E3-4CA8-BF6E-A286B71440C2}"/>
    <hyperlink ref="H47" location="Test_Cases!A353" display="TC_ADMIN_260" xr:uid="{DD9FA6E6-B164-4933-8045-2CE7DA4AA73B}"/>
    <hyperlink ref="H48" location="Test_Cases!A360" display="TC_ADMIN_267" xr:uid="{E383D33A-8835-46B7-985D-CC96360BCDEE}"/>
    <hyperlink ref="H49" location="Test_Cases!A365" display="TC_ADMIN_272" xr:uid="{ACECA4A2-1811-4B79-A8B9-06646CB0FAE4}"/>
    <hyperlink ref="H50" location="Test_Cases!A369" display="TC_ADMIN_276" xr:uid="{6EF88897-5A96-47EB-8133-3137F881EA0B}"/>
    <hyperlink ref="H51" location="Test_Cases!A396" display="TC_ADMIN_301" xr:uid="{93DA4575-C5B1-4C63-8781-DD273565123F}"/>
    <hyperlink ref="H52" location="Test_Cases!A404" display="TC_ADMIN_309" xr:uid="{6E10B714-545D-4E52-8E8F-F3D7D3F88760}"/>
    <hyperlink ref="H53" location="Test_Cases!A427" display="TC_ADMIN_331" xr:uid="{E6BA0F0B-A9A6-4387-94B6-BD41F95B5AF9}"/>
    <hyperlink ref="H54" location="Test_Cases!A435" display="TC_ADMIN_339" xr:uid="{00DA827B-2122-40E2-A093-41DF37936A0E}"/>
    <hyperlink ref="H55" location="Test_Cases!A451" display="TC_ADMIN_354" xr:uid="{A931668C-57BC-4367-BF83-7A65B82689C8}"/>
    <hyperlink ref="H56" location="Test_Cases!A452" display="TC_ADMIN_355" xr:uid="{95F3D87F-B1EB-471C-A87D-E4FC81637059}"/>
    <hyperlink ref="H57" location="Test_Cases!A462" display="TC_ADMIN_365" xr:uid="{84AF6763-3956-4D16-A4E4-19112A62B42E}"/>
    <hyperlink ref="H58" location="Test_Cases!A517" display="TC_ADMIN_417" xr:uid="{86805249-14ED-4AE6-87B3-8ED8F64D6C82}"/>
    <hyperlink ref="H59" location="Test_Cases!A525" display="TC_ADMIN_425" xr:uid="{15B7111C-9B78-4613-B325-F37BA28E7202}"/>
    <hyperlink ref="H61" location="Test_Cases!A558" display=" TC_ADMIN_457" xr:uid="{7E279DF4-1EB2-48C9-B77A-DFF359967196}"/>
    <hyperlink ref="H60" location="Test_Cases!A552" display=" TC_ADMIN_451" xr:uid="{6817ED93-4FCF-4E88-AA91-148682896525}"/>
    <hyperlink ref="H62" location="Test_Cases!A560" display="TC_ADMIN_459" xr:uid="{0AFFDB09-9F24-463D-AC6A-DB8F5AAA70D9}"/>
  </hyperlinks>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5AD4-4285-4727-AB52-C0468E3A2971}">
  <dimension ref="A1:Z999"/>
  <sheetViews>
    <sheetView tabSelected="1" workbookViewId="0">
      <selection activeCell="B9" sqref="B9"/>
    </sheetView>
  </sheetViews>
  <sheetFormatPr defaultRowHeight="14.45"/>
  <cols>
    <col min="1" max="1" width="44.5703125" customWidth="1"/>
    <col min="2" max="2" width="18.42578125" customWidth="1"/>
    <col min="3" max="3" width="13.42578125" customWidth="1"/>
    <col min="4" max="4" width="12.28515625" customWidth="1"/>
    <col min="5" max="5" width="13.7109375" customWidth="1"/>
  </cols>
  <sheetData>
    <row r="1" spans="1:26" ht="36" customHeight="1">
      <c r="A1" s="413" t="s">
        <v>12982</v>
      </c>
      <c r="B1" s="413"/>
      <c r="C1" s="413"/>
      <c r="D1" s="413"/>
      <c r="E1" s="106"/>
      <c r="F1" s="106"/>
      <c r="G1" s="106"/>
      <c r="H1" s="106"/>
      <c r="I1" s="106"/>
      <c r="J1" s="106"/>
      <c r="K1" s="106"/>
      <c r="L1" s="106"/>
      <c r="M1" s="106"/>
      <c r="N1" s="106"/>
      <c r="O1" s="106"/>
      <c r="P1" s="106"/>
      <c r="Q1" s="106"/>
      <c r="R1" s="106"/>
      <c r="S1" s="106"/>
      <c r="T1" s="106"/>
      <c r="U1" s="106"/>
      <c r="V1" s="106"/>
      <c r="W1" s="106"/>
      <c r="X1" s="106"/>
      <c r="Y1" s="106"/>
      <c r="Z1" s="106"/>
    </row>
    <row r="2" spans="1:26" ht="33" customHeight="1">
      <c r="A2" s="237" t="s">
        <v>12983</v>
      </c>
      <c r="B2" s="411" t="s">
        <v>12984</v>
      </c>
      <c r="C2" s="411"/>
      <c r="D2" s="411"/>
      <c r="E2" s="106"/>
      <c r="F2" s="106"/>
      <c r="G2" s="106"/>
      <c r="H2" s="106"/>
      <c r="I2" s="106"/>
      <c r="J2" s="106"/>
      <c r="K2" s="106"/>
      <c r="L2" s="106"/>
      <c r="M2" s="106"/>
      <c r="N2" s="106"/>
      <c r="O2" s="106"/>
      <c r="P2" s="106"/>
      <c r="Q2" s="106"/>
      <c r="R2" s="106"/>
      <c r="S2" s="106"/>
      <c r="T2" s="106"/>
      <c r="U2" s="106"/>
      <c r="V2" s="106"/>
      <c r="W2" s="106"/>
      <c r="X2" s="106"/>
      <c r="Y2" s="106"/>
      <c r="Z2" s="106"/>
    </row>
    <row r="3" spans="1:26" ht="51.75" customHeight="1">
      <c r="A3" s="237" t="s">
        <v>12985</v>
      </c>
      <c r="B3" s="420" t="s">
        <v>12986</v>
      </c>
      <c r="C3" s="420"/>
      <c r="D3" s="420"/>
      <c r="E3" s="106"/>
      <c r="F3" s="106"/>
      <c r="G3" s="106"/>
      <c r="H3" s="106"/>
      <c r="I3" s="106"/>
      <c r="J3" s="106"/>
      <c r="K3" s="106"/>
      <c r="L3" s="106"/>
      <c r="M3" s="106"/>
      <c r="N3" s="106"/>
      <c r="O3" s="106"/>
      <c r="P3" s="106"/>
      <c r="Q3" s="106"/>
      <c r="R3" s="106"/>
      <c r="S3" s="106"/>
      <c r="T3" s="106"/>
      <c r="U3" s="106"/>
      <c r="V3" s="106"/>
      <c r="W3" s="106"/>
      <c r="X3" s="106"/>
      <c r="Y3" s="106"/>
      <c r="Z3" s="106"/>
    </row>
    <row r="4" spans="1:26" ht="39.6" customHeight="1">
      <c r="A4" s="237" t="s">
        <v>12987</v>
      </c>
      <c r="B4" s="421" t="s">
        <v>12988</v>
      </c>
      <c r="C4" s="421"/>
      <c r="D4" s="421"/>
      <c r="E4" s="106"/>
      <c r="F4" s="106"/>
      <c r="G4" s="106"/>
      <c r="H4" s="106"/>
      <c r="I4" s="106"/>
      <c r="J4" s="106"/>
      <c r="K4" s="106"/>
      <c r="L4" s="106"/>
      <c r="M4" s="106"/>
      <c r="N4" s="106"/>
      <c r="O4" s="106"/>
      <c r="P4" s="106"/>
      <c r="Q4" s="106"/>
      <c r="R4" s="106"/>
      <c r="S4" s="106"/>
      <c r="T4" s="106"/>
      <c r="U4" s="106"/>
      <c r="V4" s="106"/>
      <c r="W4" s="106"/>
      <c r="X4" s="106"/>
      <c r="Y4" s="106"/>
      <c r="Z4" s="106"/>
    </row>
    <row r="5" spans="1:26">
      <c r="A5" s="125"/>
      <c r="B5" s="106"/>
      <c r="C5" s="106"/>
      <c r="D5" s="106"/>
      <c r="E5" s="106"/>
      <c r="F5" s="106"/>
      <c r="G5" s="106"/>
      <c r="H5" s="106"/>
      <c r="I5" s="106"/>
      <c r="J5" s="106"/>
      <c r="K5" s="106"/>
      <c r="L5" s="106"/>
      <c r="M5" s="106"/>
      <c r="N5" s="106"/>
      <c r="O5" s="106"/>
      <c r="P5" s="106"/>
      <c r="Q5" s="106"/>
      <c r="R5" s="106"/>
      <c r="S5" s="106"/>
      <c r="T5" s="106"/>
      <c r="U5" s="106"/>
      <c r="V5" s="106"/>
      <c r="W5" s="106"/>
      <c r="X5" s="106"/>
      <c r="Y5" s="106"/>
      <c r="Z5" s="106"/>
    </row>
    <row r="6" spans="1:26" ht="22.5" customHeight="1">
      <c r="A6" s="419" t="s">
        <v>12989</v>
      </c>
      <c r="B6" s="419"/>
      <c r="C6" s="106"/>
      <c r="D6" s="106"/>
      <c r="E6" s="106"/>
      <c r="F6" s="106"/>
      <c r="G6" s="106"/>
      <c r="H6" s="106"/>
      <c r="I6" s="106"/>
      <c r="J6" s="106"/>
      <c r="K6" s="106"/>
      <c r="L6" s="106"/>
      <c r="M6" s="106"/>
      <c r="N6" s="106"/>
      <c r="O6" s="106"/>
      <c r="P6" s="106"/>
      <c r="Q6" s="106"/>
      <c r="R6" s="106"/>
      <c r="S6" s="106"/>
      <c r="T6" s="106"/>
      <c r="U6" s="106"/>
      <c r="V6" s="106"/>
      <c r="W6" s="106"/>
      <c r="X6" s="106"/>
      <c r="Y6" s="106"/>
      <c r="Z6" s="106"/>
    </row>
    <row r="7" spans="1:26" ht="15.6">
      <c r="A7" s="237" t="s">
        <v>77</v>
      </c>
      <c r="B7" s="200">
        <f>COUNTA(User_Stories!A:A)-1</f>
        <v>80</v>
      </c>
      <c r="C7" s="106"/>
      <c r="D7" s="106"/>
      <c r="E7" s="106"/>
      <c r="F7" s="106"/>
      <c r="G7" s="106"/>
      <c r="H7" s="106"/>
      <c r="I7" s="106"/>
      <c r="J7" s="106"/>
      <c r="K7" s="106"/>
      <c r="L7" s="106"/>
      <c r="M7" s="106"/>
      <c r="N7" s="106"/>
      <c r="O7" s="106"/>
      <c r="P7" s="106"/>
      <c r="Q7" s="106"/>
      <c r="R7" s="106"/>
      <c r="S7" s="106"/>
      <c r="T7" s="106"/>
      <c r="U7" s="106"/>
      <c r="V7" s="106"/>
      <c r="W7" s="106"/>
      <c r="X7" s="106"/>
      <c r="Y7" s="106"/>
      <c r="Z7" s="106"/>
    </row>
    <row r="8" spans="1:26" ht="15.6">
      <c r="A8" s="237" t="s">
        <v>78</v>
      </c>
      <c r="B8" s="200">
        <f>COUNTA(User_Stories!C4:C1999)</f>
        <v>1065</v>
      </c>
      <c r="C8" s="106"/>
      <c r="D8" s="106"/>
      <c r="E8" s="106"/>
      <c r="F8" s="106"/>
      <c r="G8" s="106"/>
      <c r="H8" s="106"/>
      <c r="I8" s="106"/>
      <c r="J8" s="106"/>
      <c r="K8" s="106"/>
      <c r="L8" s="106"/>
      <c r="M8" s="106"/>
      <c r="N8" s="106"/>
      <c r="O8" s="106"/>
      <c r="P8" s="106"/>
      <c r="Q8" s="106"/>
      <c r="R8" s="106"/>
      <c r="S8" s="106"/>
      <c r="T8" s="106"/>
      <c r="U8" s="106"/>
      <c r="V8" s="106"/>
      <c r="W8" s="106"/>
      <c r="X8" s="106"/>
      <c r="Y8" s="106"/>
      <c r="Z8" s="106"/>
    </row>
    <row r="9" spans="1:26">
      <c r="A9" s="125"/>
      <c r="B9" s="106"/>
      <c r="C9" s="106"/>
      <c r="D9" s="106"/>
      <c r="E9" s="106"/>
      <c r="F9" s="106"/>
      <c r="G9" s="106"/>
      <c r="H9" s="106"/>
      <c r="I9" s="106"/>
      <c r="J9" s="106"/>
      <c r="K9" s="106"/>
      <c r="L9" s="106"/>
      <c r="M9" s="106"/>
      <c r="N9" s="106"/>
      <c r="O9" s="106"/>
      <c r="P9" s="106"/>
      <c r="Q9" s="106"/>
      <c r="R9" s="106"/>
      <c r="S9" s="106"/>
      <c r="T9" s="106"/>
      <c r="U9" s="106"/>
      <c r="V9" s="106"/>
      <c r="W9" s="106"/>
      <c r="X9" s="106"/>
      <c r="Y9" s="106"/>
      <c r="Z9" s="106"/>
    </row>
    <row r="10" spans="1:26" ht="28.9" customHeight="1">
      <c r="A10" s="414" t="s">
        <v>1454</v>
      </c>
      <c r="B10" s="414"/>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row>
    <row r="11" spans="1:26" ht="46.5" customHeight="1">
      <c r="A11" s="238" t="s">
        <v>1482</v>
      </c>
      <c r="B11" s="227">
        <f>SUM(B12:B13)</f>
        <v>1462</v>
      </c>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row>
    <row r="12" spans="1:26" ht="47.25" customHeight="1">
      <c r="A12" s="238" t="s">
        <v>1463</v>
      </c>
      <c r="B12" s="231">
        <f>COUNTIF(Test_Cases!L:L, "Passed")</f>
        <v>1343</v>
      </c>
      <c r="C12" s="106"/>
      <c r="D12" s="106"/>
      <c r="E12" s="106"/>
      <c r="F12" s="106"/>
      <c r="G12" s="106"/>
      <c r="H12" s="106"/>
      <c r="I12" s="106"/>
      <c r="J12" s="106"/>
      <c r="K12" s="106"/>
      <c r="L12" s="106"/>
      <c r="M12" s="106"/>
      <c r="N12" s="106"/>
      <c r="O12" s="106"/>
      <c r="P12" s="106"/>
      <c r="Q12" s="106"/>
      <c r="R12" s="106"/>
      <c r="S12" s="106"/>
      <c r="T12" s="106"/>
      <c r="U12" s="106"/>
      <c r="V12" s="106"/>
      <c r="W12" s="106"/>
      <c r="X12" s="106"/>
      <c r="Y12" s="106"/>
      <c r="Z12" s="106"/>
    </row>
    <row r="13" spans="1:26" ht="45" customHeight="1">
      <c r="A13" s="238" t="s">
        <v>1473</v>
      </c>
      <c r="B13" s="232">
        <f>COUNTIF(Test_Cases!L:L, "Failed")</f>
        <v>119</v>
      </c>
      <c r="C13" s="106"/>
      <c r="D13" s="106"/>
      <c r="E13" s="106"/>
      <c r="F13" s="106"/>
      <c r="G13" s="106"/>
      <c r="H13" s="106"/>
      <c r="I13" s="106"/>
      <c r="J13" s="106"/>
      <c r="K13" s="106"/>
      <c r="L13" s="106"/>
      <c r="M13" s="106"/>
      <c r="N13" s="106"/>
      <c r="O13" s="106"/>
      <c r="P13" s="106"/>
      <c r="Q13" s="106"/>
      <c r="R13" s="106"/>
      <c r="S13" s="106"/>
      <c r="T13" s="106"/>
      <c r="U13" s="106"/>
      <c r="V13" s="106"/>
      <c r="W13" s="106"/>
      <c r="X13" s="106"/>
      <c r="Y13" s="106"/>
      <c r="Z13" s="106"/>
    </row>
    <row r="14" spans="1:26">
      <c r="A14" s="106" t="s">
        <v>12990</v>
      </c>
      <c r="B14" s="107">
        <v>0</v>
      </c>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row>
    <row r="15" spans="1:26">
      <c r="A15" s="106"/>
      <c r="B15" s="106"/>
      <c r="C15" s="106"/>
      <c r="D15" s="106"/>
      <c r="E15" s="106"/>
      <c r="F15" s="106"/>
      <c r="G15" s="106"/>
      <c r="H15" s="106"/>
      <c r="I15" s="106"/>
      <c r="J15" s="106"/>
      <c r="K15" s="106"/>
      <c r="L15" s="106"/>
      <c r="M15" s="106"/>
      <c r="N15" s="106"/>
      <c r="O15" s="106"/>
      <c r="P15" s="106"/>
      <c r="Q15" s="106"/>
      <c r="R15" s="106"/>
      <c r="S15" s="106"/>
      <c r="T15" s="106"/>
      <c r="U15" s="106"/>
      <c r="V15" s="106"/>
      <c r="W15" s="106"/>
      <c r="X15" s="106"/>
      <c r="Y15" s="106"/>
      <c r="Z15" s="106"/>
    </row>
    <row r="16" spans="1:26" ht="25.5" customHeight="1">
      <c r="A16" s="414" t="s">
        <v>12991</v>
      </c>
      <c r="B16" s="414"/>
      <c r="C16" s="106"/>
      <c r="D16" s="106"/>
      <c r="E16" s="106"/>
      <c r="F16" s="106"/>
      <c r="G16" s="106"/>
      <c r="H16" s="106"/>
      <c r="I16" s="106"/>
      <c r="J16" s="106"/>
      <c r="K16" s="106"/>
      <c r="L16" s="106"/>
      <c r="M16" s="106"/>
      <c r="N16" s="106"/>
      <c r="O16" s="106"/>
      <c r="P16" s="106"/>
      <c r="Q16" s="106"/>
      <c r="R16" s="106"/>
      <c r="S16" s="106"/>
      <c r="T16" s="106"/>
      <c r="U16" s="106"/>
      <c r="V16" s="106"/>
      <c r="W16" s="106"/>
      <c r="X16" s="106"/>
      <c r="Y16" s="106"/>
      <c r="Z16" s="106"/>
    </row>
    <row r="17" spans="1:26" ht="15.6">
      <c r="A17" s="239" t="s">
        <v>12992</v>
      </c>
      <c r="B17" s="108">
        <f>(B12/B11)</f>
        <v>0.91860465116279066</v>
      </c>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row>
    <row r="18" spans="1:26" ht="15.6">
      <c r="A18" s="239" t="s">
        <v>12993</v>
      </c>
      <c r="B18" s="109">
        <f>B13/B11</f>
        <v>8.1395348837209308E-2</v>
      </c>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row>
    <row r="19" spans="1:26" ht="15.6">
      <c r="A19" s="240" t="s">
        <v>12994</v>
      </c>
      <c r="B19" s="110">
        <v>0</v>
      </c>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row>
    <row r="20" spans="1:26" ht="15" thickBot="1">
      <c r="A20" s="106"/>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row>
    <row r="21" spans="1:26" ht="30" customHeight="1" thickBot="1">
      <c r="A21" s="416" t="s">
        <v>12995</v>
      </c>
      <c r="B21" s="416"/>
      <c r="C21" s="106"/>
      <c r="D21" s="106"/>
      <c r="E21" s="106"/>
      <c r="F21" s="106"/>
      <c r="G21" s="221"/>
      <c r="H21" s="229"/>
      <c r="I21" s="106"/>
      <c r="J21" s="106"/>
      <c r="K21" s="106"/>
      <c r="L21" s="106"/>
      <c r="M21" s="106"/>
      <c r="N21" s="106"/>
      <c r="O21" s="106"/>
      <c r="P21" s="106"/>
      <c r="Q21" s="106"/>
      <c r="R21" s="106"/>
      <c r="S21" s="106"/>
      <c r="T21" s="106"/>
      <c r="U21" s="106"/>
      <c r="V21" s="106"/>
      <c r="W21" s="106"/>
      <c r="X21" s="106"/>
      <c r="Y21" s="106"/>
      <c r="Z21" s="106"/>
    </row>
    <row r="22" spans="1:26" ht="19.5" customHeight="1" thickBot="1">
      <c r="A22" s="241" t="s">
        <v>12996</v>
      </c>
      <c r="B22" s="219">
        <f>COUNTIF(Bug_Report!F:F, "Critical")</f>
        <v>6</v>
      </c>
      <c r="C22" s="106"/>
      <c r="D22" s="106"/>
      <c r="E22" s="106"/>
      <c r="F22" s="106"/>
      <c r="G22" s="221"/>
      <c r="H22" s="229"/>
      <c r="I22" s="106"/>
      <c r="J22" s="106"/>
      <c r="K22" s="106"/>
      <c r="L22" s="106"/>
      <c r="M22" s="106"/>
      <c r="N22" s="106"/>
      <c r="O22" s="106"/>
      <c r="P22" s="106"/>
      <c r="Q22" s="106"/>
      <c r="R22" s="106"/>
      <c r="S22" s="106"/>
      <c r="T22" s="106"/>
      <c r="U22" s="106"/>
      <c r="V22" s="106"/>
      <c r="W22" s="106"/>
      <c r="X22" s="106"/>
      <c r="Y22" s="106"/>
      <c r="Z22" s="106"/>
    </row>
    <row r="23" spans="1:26" ht="18.600000000000001" thickBot="1">
      <c r="A23" s="241" t="s">
        <v>12997</v>
      </c>
      <c r="B23" s="220">
        <f>COUNTIF(Bug_Report!F:F, "High")</f>
        <v>46</v>
      </c>
      <c r="C23" s="106"/>
      <c r="D23" s="106"/>
      <c r="E23" s="106"/>
      <c r="F23" s="106"/>
      <c r="G23" s="222"/>
      <c r="H23" s="230"/>
      <c r="I23" s="106"/>
      <c r="J23" s="106"/>
      <c r="K23" s="106"/>
      <c r="L23" s="106"/>
      <c r="M23" s="106"/>
      <c r="N23" s="106"/>
      <c r="O23" s="106"/>
      <c r="P23" s="106"/>
      <c r="Q23" s="106"/>
      <c r="R23" s="106"/>
      <c r="S23" s="106"/>
      <c r="T23" s="106"/>
      <c r="U23" s="106"/>
      <c r="V23" s="106"/>
      <c r="W23" s="106"/>
      <c r="X23" s="106"/>
      <c r="Y23" s="106"/>
      <c r="Z23" s="106"/>
    </row>
    <row r="24" spans="1:26" ht="18.600000000000001" thickBot="1">
      <c r="A24" s="241" t="s">
        <v>12998</v>
      </c>
      <c r="B24" s="165">
        <f>COUNTIF(Bug_Report!F:F, "Medium")</f>
        <v>50</v>
      </c>
      <c r="C24" s="106"/>
      <c r="D24" s="106"/>
      <c r="E24" s="106"/>
      <c r="F24" s="106"/>
      <c r="G24" s="221"/>
      <c r="H24" s="229"/>
      <c r="I24" s="106"/>
      <c r="J24" s="106"/>
      <c r="K24" s="106"/>
      <c r="L24" s="106"/>
      <c r="M24" s="106"/>
      <c r="N24" s="106"/>
      <c r="O24" s="106"/>
      <c r="P24" s="106"/>
      <c r="Q24" s="106"/>
      <c r="R24" s="106"/>
      <c r="S24" s="106"/>
      <c r="T24" s="106"/>
      <c r="U24" s="106"/>
      <c r="V24" s="106"/>
      <c r="W24" s="106"/>
      <c r="X24" s="106"/>
      <c r="Y24" s="106"/>
      <c r="Z24" s="106"/>
    </row>
    <row r="25" spans="1:26" ht="18.600000000000001" thickBot="1">
      <c r="A25" s="241" t="s">
        <v>12999</v>
      </c>
      <c r="B25" s="166">
        <f>COUNTIF(Bug_Report!F:F, "Low")</f>
        <v>8</v>
      </c>
      <c r="C25" s="106"/>
      <c r="D25" s="106"/>
      <c r="E25" s="106"/>
      <c r="F25" s="106"/>
      <c r="G25" s="222"/>
      <c r="H25" s="230"/>
      <c r="I25" s="106"/>
      <c r="J25" s="106"/>
      <c r="K25" s="106"/>
      <c r="L25" s="106"/>
      <c r="M25" s="106"/>
      <c r="N25" s="106"/>
      <c r="O25" s="106"/>
      <c r="P25" s="106"/>
      <c r="Q25" s="106"/>
      <c r="R25" s="106"/>
      <c r="S25" s="106"/>
      <c r="T25" s="106"/>
      <c r="U25" s="106"/>
      <c r="V25" s="106"/>
      <c r="W25" s="106"/>
      <c r="X25" s="106"/>
      <c r="Y25" s="106"/>
      <c r="Z25" s="106"/>
    </row>
    <row r="26" spans="1:26" ht="18.600000000000001" thickBot="1">
      <c r="A26" s="241" t="s">
        <v>13000</v>
      </c>
      <c r="B26" s="167">
        <f>SUM(B22:B25)</f>
        <v>110</v>
      </c>
      <c r="C26" s="106"/>
      <c r="D26" s="106"/>
      <c r="E26" s="106"/>
      <c r="F26" s="106"/>
      <c r="G26" s="222"/>
      <c r="H26" s="230"/>
      <c r="I26" s="106"/>
      <c r="J26" s="106"/>
      <c r="K26" s="106"/>
      <c r="L26" s="106"/>
      <c r="M26" s="106"/>
      <c r="N26" s="106"/>
      <c r="O26" s="106"/>
      <c r="P26" s="106"/>
      <c r="Q26" s="106"/>
      <c r="R26" s="106"/>
      <c r="S26" s="106"/>
      <c r="T26" s="106"/>
      <c r="U26" s="106"/>
      <c r="V26" s="106"/>
      <c r="W26" s="106"/>
      <c r="X26" s="106"/>
      <c r="Y26" s="106"/>
      <c r="Z26" s="106"/>
    </row>
    <row r="27" spans="1:26">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row>
    <row r="28" spans="1:26">
      <c r="A28" s="415" t="s">
        <v>13001</v>
      </c>
      <c r="B28" s="415"/>
      <c r="C28" s="415"/>
      <c r="D28" s="415"/>
      <c r="E28" s="106"/>
      <c r="F28" s="106"/>
      <c r="G28" s="106"/>
      <c r="H28" s="106"/>
      <c r="I28" s="106"/>
      <c r="J28" s="106"/>
      <c r="K28" s="106"/>
      <c r="L28" s="106"/>
      <c r="M28" s="106"/>
      <c r="N28" s="106"/>
      <c r="O28" s="106"/>
      <c r="P28" s="106"/>
      <c r="Q28" s="106"/>
      <c r="R28" s="106"/>
      <c r="S28" s="106"/>
      <c r="T28" s="106"/>
      <c r="U28" s="106"/>
      <c r="V28" s="106"/>
      <c r="W28" s="106"/>
      <c r="X28" s="106"/>
      <c r="Y28" s="106"/>
      <c r="Z28" s="106"/>
    </row>
    <row r="29" spans="1:26">
      <c r="A29" s="111" t="s">
        <v>13002</v>
      </c>
      <c r="B29" s="111" t="s">
        <v>1435</v>
      </c>
      <c r="C29" s="111" t="s">
        <v>1367</v>
      </c>
      <c r="D29" s="111" t="s">
        <v>13003</v>
      </c>
      <c r="E29" s="106"/>
      <c r="F29" s="106"/>
      <c r="G29" s="106"/>
      <c r="H29" s="106"/>
      <c r="I29" s="106"/>
      <c r="J29" s="106"/>
      <c r="K29" s="106"/>
      <c r="L29" s="106"/>
      <c r="M29" s="106"/>
      <c r="N29" s="106"/>
      <c r="O29" s="106"/>
      <c r="P29" s="106"/>
      <c r="Q29" s="106"/>
      <c r="R29" s="106"/>
      <c r="S29" s="106"/>
      <c r="T29" s="106"/>
      <c r="U29" s="106"/>
      <c r="V29" s="106"/>
      <c r="W29" s="106"/>
      <c r="X29" s="106"/>
      <c r="Y29" s="106"/>
      <c r="Z29" s="106"/>
    </row>
    <row r="30" spans="1:26" ht="28.9">
      <c r="A30" s="112" t="s">
        <v>13004</v>
      </c>
      <c r="B30" s="112">
        <v>9</v>
      </c>
      <c r="C30" s="112">
        <v>6</v>
      </c>
      <c r="D30" s="113">
        <v>0.67</v>
      </c>
      <c r="E30" s="106"/>
      <c r="F30" s="106"/>
      <c r="G30" s="106"/>
      <c r="H30" s="106"/>
      <c r="I30" s="106"/>
      <c r="J30" s="106"/>
      <c r="K30" s="106"/>
      <c r="L30" s="106"/>
      <c r="M30" s="106"/>
      <c r="N30" s="106"/>
      <c r="O30" s="106"/>
      <c r="P30" s="106"/>
      <c r="Q30" s="106"/>
      <c r="R30" s="106"/>
      <c r="S30" s="106"/>
      <c r="T30" s="106"/>
      <c r="U30" s="106"/>
      <c r="V30" s="106"/>
      <c r="W30" s="106"/>
      <c r="X30" s="106"/>
      <c r="Y30" s="106"/>
      <c r="Z30" s="106"/>
    </row>
    <row r="31" spans="1:26" ht="34.5" customHeight="1">
      <c r="A31" s="112" t="s">
        <v>13005</v>
      </c>
      <c r="B31" s="112">
        <v>12</v>
      </c>
      <c r="C31" s="112">
        <v>12</v>
      </c>
      <c r="D31" s="113">
        <v>1</v>
      </c>
      <c r="E31" s="106"/>
      <c r="F31" s="106"/>
      <c r="G31" s="106"/>
      <c r="H31" s="106"/>
      <c r="I31" s="106"/>
      <c r="J31" s="106"/>
      <c r="K31" s="106"/>
      <c r="L31" s="106"/>
      <c r="M31" s="106"/>
      <c r="N31" s="106"/>
      <c r="O31" s="106"/>
      <c r="P31" s="106"/>
      <c r="Q31" s="106"/>
      <c r="R31" s="106"/>
      <c r="S31" s="106"/>
      <c r="T31" s="106"/>
      <c r="U31" s="106"/>
      <c r="V31" s="106"/>
      <c r="W31" s="106"/>
      <c r="X31" s="106"/>
      <c r="Y31" s="106"/>
      <c r="Z31" s="106"/>
    </row>
    <row r="32" spans="1:26">
      <c r="A32" s="112" t="s">
        <v>13006</v>
      </c>
      <c r="B32" s="112">
        <v>6</v>
      </c>
      <c r="C32" s="112">
        <v>6</v>
      </c>
      <c r="D32" s="113">
        <v>1</v>
      </c>
      <c r="E32" s="106"/>
      <c r="F32" s="106"/>
      <c r="G32" s="106"/>
      <c r="H32" s="106"/>
      <c r="I32" s="106"/>
      <c r="J32" s="106"/>
      <c r="K32" s="106"/>
      <c r="L32" s="106"/>
      <c r="M32" s="106"/>
      <c r="N32" s="106"/>
      <c r="O32" s="106"/>
      <c r="P32" s="106"/>
      <c r="Q32" s="106"/>
      <c r="R32" s="106"/>
      <c r="S32" s="106"/>
      <c r="T32" s="106"/>
      <c r="U32" s="106"/>
      <c r="V32" s="106"/>
      <c r="W32" s="106"/>
      <c r="X32" s="106"/>
      <c r="Y32" s="106"/>
      <c r="Z32" s="106"/>
    </row>
    <row r="33" spans="1:26">
      <c r="A33" s="112" t="s">
        <v>13007</v>
      </c>
      <c r="B33" s="112">
        <v>14</v>
      </c>
      <c r="C33" s="112">
        <v>12</v>
      </c>
      <c r="D33" s="113">
        <v>0.86</v>
      </c>
      <c r="E33" s="106"/>
      <c r="F33" s="106"/>
      <c r="G33" s="106"/>
      <c r="H33" s="106"/>
      <c r="I33" s="106"/>
      <c r="J33" s="106"/>
      <c r="K33" s="106"/>
      <c r="L33" s="106"/>
      <c r="M33" s="106"/>
      <c r="N33" s="106"/>
      <c r="O33" s="106"/>
      <c r="P33" s="106"/>
      <c r="Q33" s="106"/>
      <c r="R33" s="106"/>
      <c r="S33" s="106"/>
      <c r="T33" s="106"/>
      <c r="U33" s="106"/>
      <c r="V33" s="106"/>
      <c r="W33" s="106"/>
      <c r="X33" s="106"/>
      <c r="Y33" s="106"/>
      <c r="Z33" s="106"/>
    </row>
    <row r="34" spans="1:26">
      <c r="A34" s="112" t="s">
        <v>13008</v>
      </c>
      <c r="B34" s="112">
        <v>9</v>
      </c>
      <c r="C34" s="112">
        <v>9</v>
      </c>
      <c r="D34" s="113">
        <v>1</v>
      </c>
      <c r="E34" s="106"/>
      <c r="F34" s="106"/>
      <c r="G34" s="106"/>
      <c r="H34" s="106"/>
      <c r="I34" s="106"/>
      <c r="J34" s="106"/>
      <c r="K34" s="106"/>
      <c r="L34" s="106"/>
      <c r="M34" s="106"/>
      <c r="N34" s="106"/>
      <c r="O34" s="106"/>
      <c r="P34" s="106"/>
      <c r="Q34" s="106"/>
      <c r="R34" s="106"/>
      <c r="S34" s="106"/>
      <c r="T34" s="106"/>
      <c r="U34" s="106"/>
      <c r="V34" s="106"/>
      <c r="W34" s="106"/>
      <c r="X34" s="106"/>
      <c r="Y34" s="106"/>
      <c r="Z34" s="106"/>
    </row>
    <row r="35" spans="1:26">
      <c r="A35" s="112" t="s">
        <v>13009</v>
      </c>
      <c r="B35" s="112">
        <v>6</v>
      </c>
      <c r="C35" s="112">
        <v>6</v>
      </c>
      <c r="D35" s="113">
        <v>1</v>
      </c>
      <c r="E35" s="106"/>
      <c r="F35" s="106"/>
      <c r="G35" s="106"/>
      <c r="H35" s="106"/>
      <c r="I35" s="106"/>
      <c r="J35" s="106"/>
      <c r="K35" s="106"/>
      <c r="L35" s="106"/>
      <c r="M35" s="106"/>
      <c r="N35" s="106"/>
      <c r="O35" s="106"/>
      <c r="P35" s="106"/>
      <c r="Q35" s="106"/>
      <c r="R35" s="106"/>
      <c r="S35" s="106"/>
      <c r="T35" s="106"/>
      <c r="U35" s="106"/>
      <c r="V35" s="106"/>
      <c r="W35" s="106"/>
      <c r="X35" s="106"/>
      <c r="Y35" s="106"/>
      <c r="Z35" s="106"/>
    </row>
    <row r="36" spans="1:26">
      <c r="A36" s="112" t="s">
        <v>13010</v>
      </c>
      <c r="B36" s="112">
        <v>7</v>
      </c>
      <c r="C36" s="112">
        <v>6</v>
      </c>
      <c r="D36" s="113">
        <v>0.86</v>
      </c>
      <c r="E36" s="106"/>
      <c r="F36" s="106"/>
      <c r="G36" s="106"/>
      <c r="H36" s="106"/>
      <c r="I36" s="106"/>
      <c r="J36" s="106"/>
      <c r="K36" s="106"/>
      <c r="L36" s="106"/>
      <c r="M36" s="106"/>
      <c r="N36" s="106"/>
      <c r="O36" s="106"/>
      <c r="P36" s="106"/>
      <c r="Q36" s="106"/>
      <c r="R36" s="106"/>
      <c r="S36" s="106"/>
      <c r="T36" s="106"/>
      <c r="U36" s="106"/>
      <c r="V36" s="106"/>
      <c r="W36" s="106"/>
      <c r="X36" s="106"/>
      <c r="Y36" s="106"/>
      <c r="Z36" s="106"/>
    </row>
    <row r="37" spans="1:26">
      <c r="A37" s="112" t="s">
        <v>13011</v>
      </c>
      <c r="B37" s="112">
        <v>8</v>
      </c>
      <c r="C37" s="112">
        <v>7</v>
      </c>
      <c r="D37" s="113">
        <v>0.88</v>
      </c>
      <c r="E37" s="106"/>
      <c r="F37" s="106"/>
      <c r="G37" s="106"/>
      <c r="H37" s="106"/>
      <c r="I37" s="106"/>
      <c r="J37" s="106"/>
      <c r="K37" s="106"/>
      <c r="L37" s="106"/>
      <c r="M37" s="106"/>
      <c r="N37" s="106"/>
      <c r="O37" s="106"/>
      <c r="P37" s="106"/>
      <c r="Q37" s="106"/>
      <c r="R37" s="106"/>
      <c r="S37" s="106"/>
      <c r="T37" s="106"/>
      <c r="U37" s="106"/>
      <c r="V37" s="106"/>
      <c r="W37" s="106"/>
      <c r="X37" s="106"/>
      <c r="Y37" s="106"/>
      <c r="Z37" s="106"/>
    </row>
    <row r="38" spans="1:26" ht="15" thickBot="1">
      <c r="A38" s="112" t="s">
        <v>13012</v>
      </c>
      <c r="B38" s="112">
        <v>18</v>
      </c>
      <c r="C38" s="112">
        <v>17</v>
      </c>
      <c r="D38" s="113">
        <v>0.94</v>
      </c>
      <c r="E38" s="106"/>
      <c r="F38" s="106"/>
      <c r="G38" s="106"/>
      <c r="H38" s="106"/>
      <c r="I38" s="106"/>
      <c r="J38" s="106"/>
      <c r="K38" s="106"/>
      <c r="L38" s="106"/>
      <c r="M38" s="106"/>
      <c r="N38" s="106"/>
      <c r="O38" s="106"/>
      <c r="P38" s="106"/>
      <c r="Q38" s="106"/>
      <c r="R38" s="106"/>
      <c r="S38" s="106"/>
      <c r="T38" s="106"/>
      <c r="U38" s="106"/>
      <c r="V38" s="106"/>
      <c r="W38" s="106"/>
      <c r="X38" s="106"/>
      <c r="Y38" s="106"/>
      <c r="Z38" s="106"/>
    </row>
    <row r="39" spans="1:26" ht="18.600000000000001" thickBot="1">
      <c r="A39" s="106"/>
      <c r="B39" s="106"/>
      <c r="C39" s="106"/>
      <c r="D39" s="106"/>
      <c r="E39" s="106"/>
      <c r="F39" s="106"/>
      <c r="G39" s="221"/>
      <c r="H39" s="229"/>
      <c r="I39" s="106"/>
      <c r="J39" s="106"/>
      <c r="K39" s="106"/>
      <c r="L39" s="106"/>
      <c r="M39" s="106"/>
      <c r="N39" s="106"/>
      <c r="O39" s="106"/>
      <c r="P39" s="106"/>
      <c r="Q39" s="106"/>
      <c r="R39" s="106"/>
      <c r="S39" s="106"/>
      <c r="T39" s="106"/>
      <c r="U39" s="106"/>
      <c r="V39" s="106"/>
      <c r="W39" s="106"/>
      <c r="X39" s="106"/>
      <c r="Y39" s="106"/>
      <c r="Z39" s="106"/>
    </row>
    <row r="40" spans="1:26">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spans="1:26">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spans="1:26">
      <c r="A42" s="415" t="s">
        <v>13013</v>
      </c>
      <c r="B42" s="415"/>
      <c r="C42" s="415"/>
      <c r="D42" s="415"/>
      <c r="E42" s="106"/>
      <c r="F42" s="106"/>
      <c r="G42" s="106"/>
      <c r="H42" s="106"/>
      <c r="I42" s="106"/>
      <c r="J42" s="106"/>
      <c r="K42" s="106"/>
      <c r="L42" s="106"/>
      <c r="M42" s="106"/>
      <c r="N42" s="106"/>
      <c r="O42" s="106"/>
      <c r="P42" s="106"/>
      <c r="Q42" s="106"/>
      <c r="R42" s="106"/>
      <c r="S42" s="106"/>
      <c r="T42" s="106"/>
      <c r="U42" s="106"/>
      <c r="V42" s="106"/>
      <c r="W42" s="106"/>
      <c r="X42" s="106"/>
      <c r="Y42" s="106"/>
      <c r="Z42" s="106"/>
    </row>
    <row r="43" spans="1:26" ht="27.6" customHeight="1">
      <c r="A43" s="412" t="s">
        <v>13014</v>
      </c>
      <c r="B43" s="412"/>
      <c r="C43" s="412"/>
      <c r="D43" s="412"/>
      <c r="E43" s="106"/>
      <c r="F43" s="106"/>
      <c r="G43" s="106"/>
      <c r="H43" s="106"/>
      <c r="I43" s="106"/>
      <c r="J43" s="106"/>
      <c r="K43" s="106"/>
      <c r="L43" s="106"/>
      <c r="M43" s="106"/>
      <c r="N43" s="106"/>
      <c r="O43" s="106"/>
      <c r="P43" s="106"/>
      <c r="Q43" s="106"/>
      <c r="R43" s="106"/>
      <c r="S43" s="106"/>
      <c r="T43" s="106"/>
      <c r="U43" s="106"/>
      <c r="V43" s="106"/>
      <c r="W43" s="106"/>
      <c r="X43" s="106"/>
      <c r="Y43" s="106"/>
      <c r="Z43" s="106"/>
    </row>
    <row r="44" spans="1:26" ht="27.6" customHeight="1">
      <c r="A44" s="412" t="s">
        <v>13015</v>
      </c>
      <c r="B44" s="412"/>
      <c r="C44" s="412"/>
      <c r="D44" s="412"/>
      <c r="E44" s="106"/>
      <c r="F44" s="106"/>
      <c r="G44" s="106"/>
      <c r="H44" s="106"/>
      <c r="I44" s="106"/>
      <c r="J44" s="106"/>
      <c r="K44" s="106"/>
      <c r="L44" s="106"/>
      <c r="M44" s="106"/>
      <c r="N44" s="106"/>
      <c r="O44" s="106"/>
      <c r="P44" s="106"/>
      <c r="Q44" s="106"/>
      <c r="R44" s="106"/>
      <c r="S44" s="106"/>
      <c r="T44" s="106"/>
      <c r="U44" s="106"/>
      <c r="V44" s="106"/>
      <c r="W44" s="106"/>
      <c r="X44" s="106"/>
      <c r="Y44" s="106"/>
      <c r="Z44" s="106"/>
    </row>
    <row r="45" spans="1:26" ht="41.45" customHeight="1">
      <c r="A45" s="417" t="s">
        <v>13016</v>
      </c>
      <c r="B45" s="417"/>
      <c r="C45" s="417"/>
      <c r="D45" s="417"/>
      <c r="E45" s="106"/>
      <c r="F45" s="106"/>
      <c r="G45" s="106"/>
      <c r="H45" s="106"/>
      <c r="I45" s="106"/>
      <c r="J45" s="106"/>
      <c r="K45" s="106"/>
      <c r="L45" s="106"/>
      <c r="M45" s="106"/>
      <c r="N45" s="106"/>
      <c r="O45" s="106"/>
      <c r="P45" s="106"/>
      <c r="Q45" s="106"/>
      <c r="R45" s="106"/>
      <c r="S45" s="106"/>
      <c r="T45" s="106"/>
      <c r="U45" s="106"/>
      <c r="V45" s="106"/>
      <c r="W45" s="106"/>
      <c r="X45" s="106"/>
      <c r="Y45" s="106"/>
      <c r="Z45" s="106"/>
    </row>
    <row r="46" spans="1:26" ht="43.15" customHeight="1">
      <c r="A46" s="418" t="s">
        <v>13017</v>
      </c>
      <c r="B46" s="418"/>
      <c r="C46" s="418"/>
      <c r="D46" s="418"/>
      <c r="E46" s="106"/>
      <c r="F46" s="106"/>
      <c r="G46" s="106"/>
      <c r="H46" s="106"/>
      <c r="I46" s="106"/>
      <c r="J46" s="106"/>
      <c r="K46" s="106"/>
      <c r="L46" s="106"/>
      <c r="M46" s="106"/>
      <c r="N46" s="106"/>
      <c r="O46" s="106"/>
      <c r="P46" s="106"/>
      <c r="Q46" s="106"/>
      <c r="R46" s="106"/>
      <c r="S46" s="106"/>
      <c r="T46" s="106"/>
      <c r="U46" s="106"/>
      <c r="V46" s="106"/>
      <c r="W46" s="106"/>
      <c r="X46" s="106"/>
      <c r="Y46" s="106"/>
      <c r="Z46" s="106"/>
    </row>
    <row r="47" spans="1:26" ht="43.15" customHeight="1">
      <c r="A47" s="418" t="s">
        <v>13018</v>
      </c>
      <c r="B47" s="418"/>
      <c r="C47" s="418"/>
      <c r="D47" s="418"/>
      <c r="E47" s="106"/>
      <c r="F47" s="106"/>
      <c r="G47" s="106"/>
      <c r="H47" s="106"/>
      <c r="I47" s="106"/>
      <c r="J47" s="106"/>
      <c r="K47" s="106"/>
      <c r="L47" s="106"/>
      <c r="M47" s="106"/>
      <c r="N47" s="106"/>
      <c r="O47" s="106"/>
      <c r="P47" s="106"/>
      <c r="Q47" s="106"/>
      <c r="R47" s="106"/>
      <c r="S47" s="106"/>
      <c r="T47" s="106"/>
      <c r="U47" s="106"/>
      <c r="V47" s="106"/>
      <c r="W47" s="106"/>
      <c r="X47" s="106"/>
      <c r="Y47" s="106"/>
      <c r="Z47" s="106"/>
    </row>
    <row r="48" spans="1:26" ht="41.45" customHeight="1">
      <c r="A48" s="412" t="s">
        <v>13019</v>
      </c>
      <c r="B48" s="412"/>
      <c r="C48" s="412"/>
      <c r="D48" s="412"/>
      <c r="E48" s="106"/>
      <c r="F48" s="106"/>
      <c r="G48" s="106"/>
      <c r="H48" s="106"/>
      <c r="I48" s="106"/>
      <c r="J48" s="106"/>
      <c r="K48" s="106"/>
      <c r="L48" s="106"/>
      <c r="M48" s="106"/>
      <c r="N48" s="106"/>
      <c r="O48" s="106"/>
      <c r="P48" s="106"/>
      <c r="Q48" s="106"/>
      <c r="R48" s="106"/>
      <c r="S48" s="106"/>
      <c r="T48" s="106"/>
      <c r="U48" s="106"/>
      <c r="V48" s="106"/>
      <c r="W48" s="106"/>
      <c r="X48" s="106"/>
      <c r="Y48" s="106"/>
      <c r="Z48" s="106"/>
    </row>
    <row r="49" spans="1:26" ht="27.6" customHeight="1">
      <c r="A49" s="417" t="s">
        <v>13020</v>
      </c>
      <c r="B49" s="417"/>
      <c r="C49" s="417"/>
      <c r="D49" s="417"/>
      <c r="E49" s="106"/>
      <c r="F49" s="106"/>
      <c r="G49" s="106"/>
      <c r="H49" s="106"/>
      <c r="I49" s="106"/>
      <c r="J49" s="106"/>
      <c r="K49" s="106"/>
      <c r="L49" s="106"/>
      <c r="M49" s="106"/>
      <c r="N49" s="106"/>
      <c r="O49" s="106"/>
      <c r="P49" s="106"/>
      <c r="Q49" s="106"/>
      <c r="R49" s="106"/>
      <c r="S49" s="106"/>
      <c r="T49" s="106"/>
      <c r="U49" s="106"/>
      <c r="V49" s="106"/>
      <c r="W49" s="106"/>
      <c r="X49" s="106"/>
      <c r="Y49" s="106"/>
      <c r="Z49" s="106"/>
    </row>
    <row r="50" spans="1:26" ht="27.6" customHeight="1">
      <c r="A50" s="417" t="s">
        <v>13021</v>
      </c>
      <c r="B50" s="417"/>
      <c r="C50" s="417"/>
      <c r="D50" s="417"/>
      <c r="E50" s="106"/>
      <c r="F50" s="106"/>
      <c r="G50" s="106"/>
      <c r="H50" s="106"/>
      <c r="I50" s="106"/>
      <c r="J50" s="106"/>
      <c r="K50" s="106"/>
      <c r="L50" s="106"/>
      <c r="M50" s="106"/>
      <c r="N50" s="106"/>
      <c r="O50" s="106"/>
      <c r="P50" s="106"/>
      <c r="Q50" s="106"/>
      <c r="R50" s="106"/>
      <c r="S50" s="106"/>
      <c r="T50" s="106"/>
      <c r="U50" s="106"/>
      <c r="V50" s="106"/>
      <c r="W50" s="106"/>
      <c r="X50" s="106"/>
      <c r="Y50" s="106"/>
      <c r="Z50" s="106"/>
    </row>
    <row r="51" spans="1:26" ht="27.6" customHeight="1">
      <c r="A51" s="412" t="s">
        <v>13022</v>
      </c>
      <c r="B51" s="412"/>
      <c r="C51" s="412"/>
      <c r="D51" s="412"/>
      <c r="E51" s="106"/>
      <c r="F51" s="106"/>
      <c r="G51" s="106"/>
      <c r="H51" s="106"/>
      <c r="I51" s="106"/>
      <c r="J51" s="106"/>
      <c r="K51" s="106"/>
      <c r="L51" s="106"/>
      <c r="M51" s="106"/>
      <c r="N51" s="106"/>
      <c r="O51" s="106"/>
      <c r="P51" s="106"/>
      <c r="Q51" s="106"/>
      <c r="R51" s="106"/>
      <c r="S51" s="106"/>
      <c r="T51" s="106"/>
      <c r="U51" s="106"/>
      <c r="V51" s="106"/>
      <c r="W51" s="106"/>
      <c r="X51" s="106"/>
      <c r="Y51" s="106"/>
      <c r="Z51" s="106"/>
    </row>
    <row r="52" spans="1:26" ht="41.45" customHeight="1">
      <c r="A52" s="417" t="s">
        <v>13023</v>
      </c>
      <c r="B52" s="417"/>
      <c r="C52" s="417"/>
      <c r="D52" s="417"/>
      <c r="E52" s="106"/>
      <c r="F52" s="106"/>
      <c r="G52" s="106"/>
      <c r="H52" s="106"/>
      <c r="I52" s="106"/>
      <c r="J52" s="106"/>
      <c r="K52" s="106"/>
      <c r="L52" s="106"/>
      <c r="M52" s="106"/>
      <c r="N52" s="106"/>
      <c r="O52" s="106"/>
      <c r="P52" s="106"/>
      <c r="Q52" s="106"/>
      <c r="R52" s="106"/>
      <c r="S52" s="106"/>
      <c r="T52" s="106"/>
      <c r="U52" s="106"/>
      <c r="V52" s="106"/>
      <c r="W52" s="106"/>
      <c r="X52" s="106"/>
      <c r="Y52" s="106"/>
      <c r="Z52" s="106"/>
    </row>
    <row r="53" spans="1:26">
      <c r="A53" s="114"/>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spans="1:26">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c r="A55" s="424" t="s">
        <v>13024</v>
      </c>
      <c r="B55" s="424"/>
      <c r="C55" s="424"/>
      <c r="D55" s="424"/>
      <c r="E55" s="106"/>
      <c r="F55" s="106"/>
      <c r="G55" s="106"/>
      <c r="H55" s="106"/>
      <c r="I55" s="106"/>
      <c r="J55" s="106"/>
      <c r="K55" s="106"/>
      <c r="L55" s="106"/>
      <c r="M55" s="106"/>
      <c r="N55" s="106"/>
      <c r="O55" s="106"/>
      <c r="P55" s="106"/>
      <c r="Q55" s="106"/>
      <c r="R55" s="106"/>
      <c r="S55" s="106"/>
      <c r="T55" s="106"/>
      <c r="U55" s="106"/>
      <c r="V55" s="106"/>
      <c r="W55" s="106"/>
      <c r="X55" s="106"/>
      <c r="Y55" s="106"/>
      <c r="Z55" s="106"/>
    </row>
    <row r="56" spans="1:26" ht="264" customHeight="1">
      <c r="A56" s="425" t="s">
        <v>13025</v>
      </c>
      <c r="B56" s="425"/>
      <c r="C56" s="425"/>
      <c r="D56" s="425"/>
      <c r="E56" s="106"/>
      <c r="F56" s="106"/>
      <c r="G56" s="106"/>
      <c r="H56" s="106"/>
      <c r="I56" s="106"/>
      <c r="J56" s="106"/>
      <c r="K56" s="106"/>
      <c r="L56" s="106"/>
      <c r="M56" s="106"/>
      <c r="N56" s="106"/>
      <c r="O56" s="106"/>
      <c r="P56" s="106"/>
      <c r="Q56" s="106"/>
      <c r="R56" s="106"/>
      <c r="S56" s="106"/>
      <c r="T56" s="106"/>
      <c r="U56" s="106"/>
      <c r="V56" s="106"/>
      <c r="W56" s="106"/>
      <c r="X56" s="106"/>
      <c r="Y56" s="106"/>
      <c r="Z56" s="106"/>
    </row>
    <row r="57" spans="1:26">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c r="A59" s="422" t="s">
        <v>13026</v>
      </c>
      <c r="B59" s="422"/>
      <c r="C59" s="422"/>
      <c r="D59" s="422"/>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56" customHeight="1">
      <c r="A60" s="423" t="s">
        <v>13027</v>
      </c>
      <c r="B60" s="423"/>
      <c r="C60" s="423"/>
      <c r="D60" s="423"/>
      <c r="E60" s="106"/>
      <c r="F60" s="106"/>
      <c r="G60" s="106"/>
      <c r="H60" s="106"/>
      <c r="I60" s="106"/>
      <c r="J60" s="106"/>
      <c r="K60" s="106"/>
      <c r="L60" s="106"/>
      <c r="M60" s="106"/>
      <c r="N60" s="106"/>
      <c r="O60" s="106"/>
      <c r="P60" s="106"/>
      <c r="Q60" s="106"/>
      <c r="R60" s="106"/>
      <c r="S60" s="106"/>
      <c r="T60" s="106"/>
      <c r="U60" s="106"/>
      <c r="V60" s="106"/>
      <c r="W60" s="106"/>
      <c r="X60" s="106"/>
      <c r="Y60" s="106"/>
      <c r="Z60" s="106"/>
    </row>
    <row r="61" spans="1:26">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spans="1:26">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spans="1:26">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spans="1:26">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spans="1:26">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spans="1:2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spans="1:26">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spans="1:26">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spans="1:26">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spans="1:26">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spans="1:26">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spans="1:26">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spans="1:26">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spans="1:26">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spans="1:26">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spans="1:2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spans="1:26">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spans="1:26">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spans="1:26">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spans="1:26">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spans="1:26">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spans="1:26">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spans="1:26">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spans="1:26">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spans="1:26">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spans="1:2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spans="1:26">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spans="1:26">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spans="1:26">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spans="1:26">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spans="1:26">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spans="1:26">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spans="1:26">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spans="1:26">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spans="1:26">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spans="1:2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spans="1:26">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spans="1:26">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spans="1:26">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spans="1:26">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spans="1:26">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spans="1:26">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spans="1:26">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spans="1:26">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spans="1:26">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spans="1:2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spans="1:26">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spans="1:26">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spans="1:26">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spans="1:26">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spans="1:26">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spans="1:26">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spans="1:26">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spans="1:26">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spans="1:26">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spans="1:2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spans="1:26">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spans="1:26">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spans="1:26">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spans="1:26">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spans="1:26">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spans="1:26">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spans="1:26">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spans="1:26">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spans="1:26">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spans="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spans="1:26">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spans="1:26">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spans="1:26">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spans="1:26">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spans="1:26">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spans="1:26">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spans="1:26">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spans="1:26">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spans="1:26">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spans="1:2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spans="1:26">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spans="1:26">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spans="1:26">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spans="1:26">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spans="1:26">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spans="1:26">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spans="1:26">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spans="1:26">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spans="1:26">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spans="1:2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spans="1:26">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spans="1:26">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spans="1:26">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spans="1:26">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spans="1:26">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spans="1:26">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spans="1:26">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spans="1:26">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spans="1:26">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spans="1:2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spans="1:26">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spans="1:26">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spans="1:26">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spans="1:26">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spans="1:26">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spans="1:26">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spans="1:26">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spans="1:26">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spans="1:26">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spans="1:2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spans="1:26">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spans="1:26">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spans="1:26">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spans="1:26">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spans="1:26">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spans="1:26">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spans="1:26">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spans="1:26">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spans="1:26">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spans="1:2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spans="1:26">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spans="1:26">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spans="1:26">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spans="1:26">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spans="1:26">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spans="1:26">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spans="1:26">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spans="1:26">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spans="1:26">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spans="1:2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spans="1:26">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spans="1:26">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spans="1:26">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spans="1:26">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spans="1:26">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spans="1:26">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spans="1:26">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spans="1:26">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spans="1:26">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spans="1:2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spans="1:26">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spans="1:26">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spans="1:26">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spans="1:26">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spans="1:26">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spans="1:26">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spans="1:26">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spans="1:26">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spans="1:26">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spans="1:2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spans="1:26">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spans="1:26">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spans="1:26">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spans="1:26">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spans="1:26">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spans="1:26">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spans="1:26">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spans="1:26">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spans="1:26">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spans="1:2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spans="1:26">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spans="1:26">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spans="1:26">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spans="1:26">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spans="1:26">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spans="1:26">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spans="1:26">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spans="1:26">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spans="1:26">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spans="1: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spans="1:26">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spans="1:26">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spans="1:26">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spans="1:26">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spans="1:26">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spans="1:26">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spans="1:26">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spans="1:26">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spans="1:26">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spans="1:2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spans="1:26">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spans="1:26">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spans="1:26">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spans="1:26">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spans="1:26">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spans="1:26">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spans="1:26">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spans="1:26">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spans="1:26">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spans="1:2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spans="1:26">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spans="1:26">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spans="1:26">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spans="1:26">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spans="1:26">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spans="1:26">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spans="1:26">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spans="1:26">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spans="1:26">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spans="1:2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spans="1:26">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spans="1:26">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spans="1:26">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spans="1:26">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spans="1:26">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spans="1:26">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spans="1:26">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spans="1:26">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spans="1:26">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spans="1:2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spans="1:26">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spans="1:26">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spans="1:26">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spans="1:26">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spans="1:26">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spans="1:26">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spans="1:26">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spans="1:26">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spans="1:26">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spans="1:2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spans="1:26">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spans="1:26">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spans="1:26">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spans="1:26">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spans="1:26">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spans="1:26">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spans="1:26">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spans="1:26">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spans="1:26">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spans="1:2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spans="1:26">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spans="1:26">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spans="1:26">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spans="1:26">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spans="1:26">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spans="1:26">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spans="1:26">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spans="1:26">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spans="1:26">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spans="1:2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spans="1:26">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spans="1:26">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spans="1:26">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spans="1:26">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spans="1:26">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spans="1:26">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spans="1:26">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spans="1:26">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spans="1:26">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spans="1:2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spans="1:26">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spans="1:26">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spans="1:26">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spans="1:26">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spans="1:26">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spans="1:26">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spans="1:26">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spans="1:26">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spans="1:26">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spans="1:2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spans="1:26">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spans="1:26">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spans="1:26">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spans="1:26">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spans="1:26">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spans="1:26">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spans="1:26">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spans="1:26">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spans="1:26">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spans="1: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spans="1:26">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spans="1:26">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spans="1:26">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spans="1:26">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spans="1:26">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spans="1:26">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spans="1:26">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spans="1:26">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spans="1:26">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spans="1:2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spans="1:26">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spans="1:26">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spans="1:26">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spans="1:26">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spans="1:26">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spans="1:26">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spans="1:26">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spans="1:26">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spans="1:26">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spans="1:2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spans="1:26">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spans="1:26">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spans="1:26">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spans="1:26">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spans="1:26">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spans="1:26">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spans="1:26">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spans="1:26">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spans="1:26">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spans="1:2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spans="1:26">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spans="1:26">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spans="1:26">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spans="1:26">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spans="1:26">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spans="1:26">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spans="1:26">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spans="1:26">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spans="1:26">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spans="1:2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spans="1:26">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spans="1:26">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spans="1:26">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spans="1:26">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spans="1:26">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spans="1:26">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spans="1:26">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spans="1:26">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spans="1:26">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spans="1:2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spans="1:26">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spans="1:26">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spans="1:26">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spans="1:26">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spans="1:26">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spans="1:26">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spans="1:26">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spans="1:26">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spans="1:26">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spans="1:2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spans="1:26">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spans="1:26">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spans="1:26">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spans="1:26">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spans="1:26">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spans="1:26">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spans="1:26">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spans="1:26">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spans="1:26">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spans="1:2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spans="1:26">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spans="1:26">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spans="1:26">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spans="1:26">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spans="1:26">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spans="1:26">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spans="1:26">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spans="1:26">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spans="1:26">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spans="1:2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spans="1:26">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spans="1:26">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spans="1:26">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spans="1:26">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spans="1:26">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spans="1:26">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spans="1:26">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spans="1:26">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spans="1:26">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spans="1:2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spans="1:26">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spans="1:26">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spans="1:26">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spans="1:26">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spans="1:26">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spans="1:26">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spans="1:26">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spans="1:26">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spans="1:26">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spans="1: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spans="1:26">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spans="1:26">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spans="1:26">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spans="1:26">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spans="1:26">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spans="1:26">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spans="1:26">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spans="1:26">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spans="1:26">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spans="1:2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spans="1:26">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spans="1:26">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spans="1:26">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spans="1:26">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spans="1:26">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spans="1:26">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spans="1:26">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spans="1:26">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spans="1:26">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spans="1:2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spans="1:26">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spans="1:26">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spans="1:26">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spans="1:26">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spans="1:26">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spans="1:26">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spans="1:26">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spans="1:26">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spans="1:26">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spans="1:2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spans="1:26">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spans="1:26">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spans="1:26">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spans="1:26">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spans="1:26">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spans="1:26">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spans="1:26">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spans="1:26">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spans="1:26">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spans="1:2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spans="1:26">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spans="1:26">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spans="1:26">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spans="1:26">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spans="1:26">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spans="1:26">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spans="1:26">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spans="1:26">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spans="1:26">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spans="1:2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spans="1:26">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spans="1:26">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spans="1:26">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spans="1:26">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spans="1:26">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spans="1:26">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spans="1:26">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spans="1:26">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spans="1:26">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spans="1:2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spans="1:26">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spans="1:26">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spans="1:26">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spans="1:26">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spans="1:26">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spans="1:26">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spans="1:26">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spans="1:26">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spans="1:26">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spans="1:2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spans="1:26">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spans="1:26">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spans="1:26">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spans="1:26">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spans="1:26">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spans="1:26">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spans="1:26">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spans="1:26">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spans="1:26">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spans="1:2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spans="1:26">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spans="1:26">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spans="1:26">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spans="1:26">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spans="1:26">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spans="1:26">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spans="1:26">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spans="1:26">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spans="1:26">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spans="1:2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spans="1:26">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spans="1:26">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spans="1:26">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spans="1:26">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spans="1:26">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spans="1:26">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spans="1:26">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spans="1:26">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spans="1:26">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spans="1: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spans="1:26">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spans="1:26">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spans="1:26">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spans="1:26">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spans="1:26">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spans="1:26">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spans="1:26">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spans="1:26">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spans="1:26">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spans="1:2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spans="1:26">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spans="1:26">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spans="1:26">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spans="1:26">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spans="1:26">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spans="1:26">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spans="1:26">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spans="1:26">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spans="1:26">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spans="1:2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spans="1:26">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spans="1:26">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spans="1:26">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spans="1:26">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spans="1:26">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spans="1:26">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spans="1:26">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spans="1:26">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spans="1:26">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spans="1:2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spans="1:26">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spans="1:26">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spans="1:26">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spans="1:26">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spans="1:26">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spans="1:26">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spans="1:26">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spans="1:26">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spans="1:26">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spans="1:2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spans="1:26">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spans="1:26">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spans="1:26">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spans="1:26">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spans="1:26">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spans="1:26">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spans="1:26">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spans="1:26">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spans="1:26">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spans="1:2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spans="1:26">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spans="1:26">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spans="1:26">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spans="1:26">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spans="1:26">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spans="1:26">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spans="1:26">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spans="1:26">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spans="1:26">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spans="1:2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spans="1:26">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spans="1:26">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spans="1:26">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spans="1:26">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spans="1:26">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spans="1:26">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spans="1:26">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spans="1:26">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spans="1:26">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spans="1:2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spans="1:26">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spans="1:26">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spans="1:26">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spans="1:26">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spans="1:26">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spans="1:26">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spans="1:26">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spans="1:26">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spans="1:26">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spans="1:2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spans="1:26">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spans="1:26">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spans="1:26">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spans="1:26">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spans="1:26">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spans="1:26">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spans="1:26">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spans="1:26">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spans="1:26">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spans="1:2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spans="1:26">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spans="1:26">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spans="1:26">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spans="1:26">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spans="1:26">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spans="1:26">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spans="1:26">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spans="1:26">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spans="1:26">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spans="1: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spans="1:26">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spans="1:26">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spans="1:26">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spans="1:26">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spans="1:26">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spans="1:26">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spans="1:26">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spans="1:26">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spans="1:26">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spans="1:2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spans="1:26">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spans="1:26">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spans="1:26">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spans="1:26">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spans="1:26">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spans="1:26">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spans="1:26">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spans="1:26">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spans="1:26">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spans="1:2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spans="1:26">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spans="1:26">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spans="1:26">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spans="1:26">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spans="1:26">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spans="1:26">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spans="1:26">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spans="1:26">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spans="1:26">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spans="1:2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spans="1:26">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spans="1:26">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spans="1:26">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spans="1:26">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spans="1:26">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spans="1:26">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spans="1:26">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spans="1:26">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spans="1:26">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spans="1:2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spans="1:26">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spans="1:26">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spans="1:26">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spans="1:26">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spans="1:26">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spans="1:26">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spans="1:26">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spans="1:26">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spans="1:26">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spans="1:2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spans="1:26">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spans="1:26">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spans="1:26">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spans="1:26">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spans="1:26">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spans="1:26">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spans="1:26">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spans="1:26">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spans="1:26">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spans="1:2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spans="1:26">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spans="1:26">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spans="1:26">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spans="1:26">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spans="1:26">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spans="1:26">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spans="1:26">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spans="1:26">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spans="1:26">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spans="1:2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spans="1:26">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spans="1:26">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spans="1:26">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spans="1:26">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spans="1:26">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spans="1:26">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spans="1:26">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spans="1:26">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spans="1:26">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spans="1:2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spans="1:26">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spans="1:26">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spans="1:26">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spans="1:26">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spans="1:26">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spans="1:26">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spans="1:26">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spans="1:26">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spans="1:26">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spans="1:2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spans="1:26">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spans="1:26">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spans="1:26">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spans="1:26">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spans="1:26">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spans="1:26">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spans="1:26">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spans="1:26">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spans="1:26">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spans="1: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spans="1:26">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spans="1:26">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spans="1:26">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spans="1:26">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spans="1:26">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spans="1:26">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spans="1:26">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spans="1:26">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spans="1:26">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spans="1:2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spans="1:26">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spans="1:26">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spans="1:26">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spans="1:26">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spans="1:26">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spans="1:26">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spans="1:26">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spans="1:26">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spans="1:26">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spans="1:2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spans="1:26">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spans="1:26">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spans="1:26">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spans="1:26">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spans="1:26">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spans="1:26">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spans="1:26">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spans="1:26">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spans="1:26">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spans="1:2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spans="1:26">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spans="1:26">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spans="1:26">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spans="1:26">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spans="1:26">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spans="1:26">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spans="1:26">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spans="1:26">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spans="1:26">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spans="1:2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spans="1:26">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spans="1:26">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spans="1:26">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spans="1:26">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spans="1:26">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spans="1:26">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spans="1:26">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spans="1:26">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spans="1:26">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spans="1:2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spans="1:26">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spans="1:26">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spans="1:26">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spans="1:26">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spans="1:26">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spans="1:26">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spans="1:26">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spans="1:26">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spans="1:26">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spans="1:2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spans="1:26">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spans="1:26">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spans="1:26">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spans="1:26">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spans="1:26">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spans="1:26">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spans="1:26">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spans="1:26">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spans="1:26">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spans="1:2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spans="1:26">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spans="1:26">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spans="1:26">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spans="1:26">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spans="1:26">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spans="1:26">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spans="1:26">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spans="1:26">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spans="1:26">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spans="1:2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spans="1:26">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spans="1:26">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spans="1:26">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spans="1:26">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spans="1:26">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spans="1:26">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spans="1:26">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spans="1:26">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spans="1:26">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spans="1:2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spans="1:26">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spans="1:26">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spans="1:26">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spans="1:26">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spans="1:26">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spans="1:26">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spans="1:26">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spans="1:26">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spans="1:26">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spans="1: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spans="1:26">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spans="1:26">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spans="1:26">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spans="1:26">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spans="1:26">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spans="1:26">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spans="1:26">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spans="1:26">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spans="1:26">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spans="1:2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spans="1:26">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spans="1:26">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spans="1:26">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spans="1:26">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spans="1:26">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spans="1:26">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spans="1:26">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spans="1:26">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spans="1:26">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spans="1:2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spans="1:26">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spans="1:26">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spans="1:26">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spans="1:26">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spans="1:26">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spans="1:26">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spans="1:26">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spans="1:26">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spans="1:26">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spans="1:2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spans="1:26">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spans="1:26">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spans="1:26">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spans="1:26">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spans="1:26">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spans="1:26">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spans="1:26">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spans="1:26">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spans="1:26">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spans="1:2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spans="1:26">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spans="1:26">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spans="1:26">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spans="1:26">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spans="1:26">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spans="1:26">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spans="1:26">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spans="1:26">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spans="1:26">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spans="1:2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spans="1:26">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spans="1:26">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spans="1:26">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spans="1:26">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spans="1:26">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spans="1:26">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spans="1:26">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spans="1:26">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spans="1:26">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spans="1:2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spans="1:26">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spans="1:26">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spans="1:26">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spans="1:26">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spans="1:26">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spans="1:26">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spans="1:26">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spans="1:26">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spans="1:26">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spans="1:2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spans="1:26">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spans="1:26">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spans="1:26">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spans="1:26">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spans="1:26">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spans="1:26">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spans="1:26">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spans="1:26">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spans="1:26">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spans="1:2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spans="1:26">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spans="1:26">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spans="1:26">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spans="1:26">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spans="1:26">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spans="1:26">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spans="1:26">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spans="1:26">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spans="1:26">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spans="1:2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spans="1:26">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spans="1:26">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spans="1:26">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spans="1:26">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spans="1:26">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spans="1:26">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spans="1:26">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spans="1:26">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spans="1:26">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spans="1: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spans="1:26">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spans="1:26">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spans="1:26">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spans="1:26">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spans="1:26">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spans="1:26">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spans="1:26">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spans="1:26">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spans="1:26">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spans="1:2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spans="1:26">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spans="1:26">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spans="1:26">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spans="1:26">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spans="1:26">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spans="1:26">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spans="1:26">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spans="1:26">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spans="1:26">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spans="1:2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spans="1:26">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spans="1:26">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spans="1:26">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spans="1:26">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spans="1:26">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spans="1:26">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spans="1:26">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spans="1:26">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spans="1:26">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spans="1:2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spans="1:26">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spans="1:26">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spans="1:26">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spans="1:26">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spans="1:26">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spans="1:26">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spans="1:26">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spans="1:26">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spans="1:26">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spans="1:2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spans="1:26">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spans="1:26">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spans="1:26">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spans="1:26">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spans="1:26">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spans="1:26">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spans="1:26">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spans="1:26">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spans="1:26">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spans="1:2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spans="1:26">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spans="1:26">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spans="1:26">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spans="1:26">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spans="1:26">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spans="1:26">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spans="1:26">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spans="1:26">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spans="1:26">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spans="1:2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spans="1:26">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spans="1:26">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spans="1:26">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spans="1:26">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spans="1:26">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spans="1:26">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spans="1:26">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spans="1:26">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spans="1:26">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spans="1:2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spans="1:26">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spans="1:26">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spans="1:26">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sheetData>
  <mergeCells count="24">
    <mergeCell ref="A59:D59"/>
    <mergeCell ref="A60:D60"/>
    <mergeCell ref="A49:D49"/>
    <mergeCell ref="A50:D50"/>
    <mergeCell ref="A51:D51"/>
    <mergeCell ref="A52:D52"/>
    <mergeCell ref="A55:D55"/>
    <mergeCell ref="A56:D56"/>
    <mergeCell ref="B2:D2"/>
    <mergeCell ref="A48:D48"/>
    <mergeCell ref="A1:D1"/>
    <mergeCell ref="A10:B10"/>
    <mergeCell ref="A28:D28"/>
    <mergeCell ref="A21:B21"/>
    <mergeCell ref="A42:D42"/>
    <mergeCell ref="A43:D43"/>
    <mergeCell ref="A44:D44"/>
    <mergeCell ref="A45:D45"/>
    <mergeCell ref="A46:D46"/>
    <mergeCell ref="A47:D47"/>
    <mergeCell ref="A16:B16"/>
    <mergeCell ref="A6:B6"/>
    <mergeCell ref="B3:D3"/>
    <mergeCell ref="B4:D4"/>
  </mergeCells>
  <dataValidations count="1">
    <dataValidation type="list" allowBlank="1" showInputMessage="1" showErrorMessage="1" sqref="H21:H26 H28:H39" xr:uid="{AB9CA482-223B-424F-B0C7-243897AC23E8}">
      <formula1>"AY,Afram,Omar,Aly,Ayman"</formula1>
    </dataValidation>
  </dataValidations>
  <hyperlinks>
    <hyperlink ref="B3:D3" r:id="rId1" display="https://opensource-demo.orangehrmlive.com/web/index.php/auth/login" xr:uid="{1369E2DE-90BF-4446-9239-6DE6EE619EE4}"/>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F3"/>
  <sheetViews>
    <sheetView workbookViewId="0">
      <selection activeCell="C2" sqref="A2:C3"/>
    </sheetView>
  </sheetViews>
  <sheetFormatPr defaultRowHeight="24.6" customHeight="1"/>
  <cols>
    <col min="3" max="3" width="33.28515625" customWidth="1"/>
    <col min="4" max="4" width="84.28515625" bestFit="1" customWidth="1"/>
    <col min="6" max="6" width="24.42578125" customWidth="1"/>
  </cols>
  <sheetData>
    <row r="1" spans="1:6" ht="30.6" customHeight="1">
      <c r="A1" s="13" t="s">
        <v>13028</v>
      </c>
      <c r="B1" s="8" t="s">
        <v>6</v>
      </c>
      <c r="C1" s="10" t="s">
        <v>13029</v>
      </c>
      <c r="D1" s="8" t="s">
        <v>13030</v>
      </c>
      <c r="E1" s="14" t="s">
        <v>10</v>
      </c>
      <c r="F1" s="14" t="s">
        <v>13031</v>
      </c>
    </row>
    <row r="2" spans="1:6" ht="14.45">
      <c r="B2" s="12"/>
      <c r="D2" s="5"/>
      <c r="E2" t="s">
        <v>13032</v>
      </c>
      <c r="F2" s="5"/>
    </row>
    <row r="3" spans="1:6" ht="14.45">
      <c r="B3" s="12"/>
      <c r="C3" s="11"/>
      <c r="D3" s="5"/>
    </row>
  </sheetData>
  <phoneticPr fontId="5" type="noConversion"/>
  <conditionalFormatting sqref="E1:E1048576">
    <cfRule type="cellIs" dxfId="1" priority="2" operator="equal">
      <formula>"Opened"</formula>
    </cfRule>
  </conditionalFormatting>
  <conditionalFormatting sqref="E3">
    <cfRule type="cellIs" dxfId="0" priority="1" operator="equal">
      <formula>"Closed"</formula>
    </cfRule>
  </conditionalFormatting>
  <dataValidations count="1">
    <dataValidation type="list" allowBlank="1" showInputMessage="1" showErrorMessage="1" sqref="E1:E1048576" xr:uid="{00000000-0002-0000-0400-000000000000}">
      <formula1>"Opened,Closed"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B7"/>
  <sheetViews>
    <sheetView workbookViewId="0">
      <selection activeCell="F10" sqref="F10"/>
    </sheetView>
  </sheetViews>
  <sheetFormatPr defaultRowHeight="24.6" customHeight="1"/>
  <cols>
    <col min="1" max="1" width="8.7109375" style="6"/>
    <col min="2" max="2" width="21.140625" style="6" bestFit="1" customWidth="1"/>
  </cols>
  <sheetData>
    <row r="1" spans="1:2" ht="31.5" customHeight="1">
      <c r="A1" s="7" t="s">
        <v>6</v>
      </c>
      <c r="B1" s="7" t="s">
        <v>13033</v>
      </c>
    </row>
    <row r="2" spans="1:2" ht="54" customHeight="1">
      <c r="A2" s="20"/>
      <c r="B2" s="336"/>
    </row>
    <row r="3" spans="1:2" ht="30" customHeight="1">
      <c r="A3" s="20"/>
      <c r="B3" s="336"/>
    </row>
    <row r="4" spans="1:2" ht="30" customHeight="1">
      <c r="A4" s="20"/>
      <c r="B4" s="336"/>
    </row>
    <row r="5" spans="1:2" ht="30.6" customHeight="1">
      <c r="A5" s="20"/>
      <c r="B5" s="336"/>
    </row>
    <row r="6" spans="1:2" ht="30.6" customHeight="1">
      <c r="A6" s="20"/>
    </row>
    <row r="7" spans="1:2" ht="30" customHeight="1">
      <c r="A7" s="20"/>
      <c r="B7" s="33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3"/>
  <sheetViews>
    <sheetView topLeftCell="H1" workbookViewId="0">
      <selection activeCell="F21" sqref="F21"/>
    </sheetView>
  </sheetViews>
  <sheetFormatPr defaultRowHeight="14.45"/>
  <cols>
    <col min="1" max="1" width="13.140625" bestFit="1" customWidth="1"/>
    <col min="2" max="2" width="35.42578125" customWidth="1"/>
  </cols>
  <sheetData>
    <row r="1" spans="1:4">
      <c r="A1" s="33" t="s">
        <v>1341</v>
      </c>
      <c r="B1" s="33" t="s">
        <v>13034</v>
      </c>
      <c r="C1" s="33" t="s">
        <v>10</v>
      </c>
      <c r="D1" s="37"/>
    </row>
    <row r="2" spans="1:4">
      <c r="A2" s="3"/>
      <c r="B2" s="5"/>
    </row>
    <row r="3" spans="1:4">
      <c r="A3" s="12"/>
      <c r="B3"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J14"/>
  <sheetViews>
    <sheetView workbookViewId="0">
      <selection activeCell="J8" sqref="J8"/>
    </sheetView>
  </sheetViews>
  <sheetFormatPr defaultRowHeight="25.5" customHeight="1"/>
  <cols>
    <col min="2" max="2" width="11.140625" customWidth="1"/>
    <col min="3" max="3" width="14.85546875" customWidth="1"/>
    <col min="5" max="5" width="12.42578125" customWidth="1"/>
    <col min="6" max="6" width="13.42578125" customWidth="1"/>
    <col min="7" max="7" width="14.5703125" customWidth="1"/>
    <col min="8" max="8" width="12.85546875" customWidth="1"/>
    <col min="9" max="9" width="20.140625" bestFit="1" customWidth="1"/>
    <col min="10" max="10" width="35.85546875" bestFit="1" customWidth="1"/>
  </cols>
  <sheetData>
    <row r="1" spans="1:10" ht="30" customHeight="1">
      <c r="A1" s="4" t="s">
        <v>6</v>
      </c>
      <c r="B1" s="4" t="s">
        <v>13035</v>
      </c>
      <c r="C1" s="4" t="s">
        <v>13036</v>
      </c>
    </row>
    <row r="2" spans="1:10" ht="25.5" customHeight="1">
      <c r="A2" s="3"/>
      <c r="B2" s="2"/>
      <c r="C2" s="2"/>
    </row>
    <row r="3" spans="1:10" ht="25.5" customHeight="1">
      <c r="A3" s="3"/>
      <c r="B3" s="2"/>
      <c r="C3" s="2"/>
    </row>
    <row r="4" spans="1:10" s="24" customFormat="1" ht="25.5" customHeight="1">
      <c r="A4" s="3"/>
      <c r="B4" s="15"/>
      <c r="C4" s="15"/>
      <c r="E4" s="34" t="s">
        <v>13037</v>
      </c>
      <c r="F4" s="34" t="s">
        <v>13038</v>
      </c>
      <c r="G4" s="34" t="s">
        <v>13039</v>
      </c>
      <c r="H4" s="34" t="s">
        <v>13040</v>
      </c>
      <c r="I4" s="35" t="s">
        <v>13041</v>
      </c>
      <c r="J4" s="35" t="s">
        <v>13042</v>
      </c>
    </row>
    <row r="5" spans="1:10" ht="25.5" customHeight="1">
      <c r="A5" s="3"/>
      <c r="B5" s="2"/>
      <c r="C5" s="2"/>
      <c r="E5" s="9"/>
      <c r="F5" s="9"/>
      <c r="G5" s="9"/>
      <c r="H5" s="9"/>
      <c r="I5" s="9"/>
      <c r="J5" s="36"/>
    </row>
    <row r="6" spans="1:10" ht="25.5" customHeight="1">
      <c r="A6" s="3"/>
      <c r="B6" s="2"/>
      <c r="C6" s="19"/>
      <c r="I6" s="18"/>
      <c r="J6" s="17"/>
    </row>
    <row r="7" spans="1:10" ht="25.5" customHeight="1">
      <c r="A7" s="3"/>
      <c r="B7" s="2"/>
      <c r="C7" s="2"/>
      <c r="F7" s="16"/>
    </row>
    <row r="8" spans="1:10" ht="25.5" customHeight="1">
      <c r="A8" s="3"/>
      <c r="B8" s="2"/>
      <c r="C8" s="2"/>
      <c r="J8">
        <f>COUNTIF(Test_Cases!L:L, "Failed")</f>
        <v>119</v>
      </c>
    </row>
    <row r="9" spans="1:10" ht="25.5" customHeight="1">
      <c r="A9" s="3"/>
      <c r="B9" s="2"/>
      <c r="C9" s="2"/>
    </row>
    <row r="10" spans="1:10" ht="25.5" customHeight="1">
      <c r="A10" s="3"/>
      <c r="B10" s="2"/>
      <c r="C10" s="2"/>
    </row>
    <row r="11" spans="1:10" ht="25.5" customHeight="1">
      <c r="A11" s="3"/>
      <c r="B11" s="2"/>
      <c r="C11" s="19"/>
    </row>
    <row r="12" spans="1:10" ht="25.5" customHeight="1">
      <c r="A12" s="3"/>
    </row>
    <row r="13" spans="1:10" ht="25.5" customHeight="1">
      <c r="A13" s="3"/>
    </row>
    <row r="14" spans="1:10" ht="25.5" customHeight="1">
      <c r="A14"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068840B4ED1C4EB4681537101D73D3" ma:contentTypeVersion="0" ma:contentTypeDescription="Create a new document." ma:contentTypeScope="" ma:versionID="14ee93917d3ca5361d2f5f100ef608bb">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16F53AF-F56A-4336-8932-F251058E1CD8}"/>
</file>

<file path=customXml/itemProps2.xml><?xml version="1.0" encoding="utf-8"?>
<ds:datastoreItem xmlns:ds="http://schemas.openxmlformats.org/officeDocument/2006/customXml" ds:itemID="{1EC84D09-F9EA-499B-A311-B435225208A9}"/>
</file>

<file path=customXml/itemProps3.xml><?xml version="1.0" encoding="utf-8"?>
<ds:datastoreItem xmlns:ds="http://schemas.openxmlformats.org/officeDocument/2006/customXml" ds:itemID="{FCDA311A-7E47-4203-8DD3-5F0CDAB87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2025-09-30T14:33:50Z</dcterms:created>
  <dcterms:modified xsi:type="dcterms:W3CDTF">2026-07-09T14:37:13Z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0x01010001068840B4ED1C4EB4681537101D73D3</vt:lpwstr>
  </property>
  <property fmtid="{D5CDD505-2E9C-101B-9397-08002B2CF9AE}" pid="3" name="MediaServiceImageTags">
    <vt:lpwstr/>
  </property>
</Properties>
</file>